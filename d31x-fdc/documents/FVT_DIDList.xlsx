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FoxtronPi\fdc-bsp-m7-autosar\app\d31x-fdc\documents\"/>
    </mc:Choice>
  </mc:AlternateContent>
  <xr:revisionPtr revIDLastSave="0" documentId="13_ncr:1_{CCB0B0CC-2DF6-4C30-9467-237F272FCB46}" xr6:coauthVersionLast="47" xr6:coauthVersionMax="47" xr10:uidLastSave="{00000000-0000-0000-0000-000000000000}"/>
  <bookViews>
    <workbookView xWindow="-120" yWindow="-120" windowWidth="38640" windowHeight="15720" xr2:uid="{2334096D-C916-4ECC-A330-456E72890FD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" l="1"/>
  <c r="N25" i="1"/>
  <c r="L25" i="1"/>
  <c r="K25" i="1"/>
  <c r="J25" i="1"/>
  <c r="I25" i="1"/>
  <c r="H25" i="1"/>
  <c r="R24" i="1"/>
  <c r="Q24" i="1"/>
  <c r="P24" i="1"/>
  <c r="M24" i="1"/>
  <c r="K24" i="1"/>
  <c r="J24" i="1"/>
  <c r="I24" i="1"/>
  <c r="H24" i="1"/>
  <c r="R17" i="1"/>
  <c r="Q17" i="1"/>
  <c r="P17" i="1"/>
  <c r="M17" i="1"/>
  <c r="K17" i="1"/>
  <c r="J17" i="1"/>
  <c r="I17" i="1"/>
  <c r="H17" i="1"/>
  <c r="R5" i="1"/>
  <c r="Q5" i="1"/>
  <c r="P5" i="1"/>
  <c r="M5" i="1"/>
  <c r="K5" i="1"/>
  <c r="J5" i="1"/>
  <c r="I5" i="1"/>
  <c r="H5" i="1"/>
  <c r="H11" i="1"/>
  <c r="I11" i="1"/>
  <c r="J11" i="1"/>
  <c r="K11" i="1"/>
  <c r="L11" i="1"/>
  <c r="N11" i="1"/>
  <c r="O11" i="1"/>
  <c r="H12" i="1"/>
  <c r="I12" i="1"/>
  <c r="J12" i="1"/>
  <c r="K12" i="1"/>
  <c r="L12" i="1"/>
  <c r="N12" i="1"/>
  <c r="O12" i="1"/>
  <c r="H13" i="1"/>
  <c r="I13" i="1"/>
  <c r="J13" i="1"/>
  <c r="K13" i="1"/>
  <c r="L13" i="1"/>
  <c r="N13" i="1"/>
  <c r="O13" i="1"/>
  <c r="H14" i="1"/>
  <c r="I14" i="1"/>
  <c r="J14" i="1"/>
  <c r="K14" i="1"/>
  <c r="L14" i="1"/>
  <c r="N14" i="1"/>
  <c r="O14" i="1"/>
  <c r="H15" i="1"/>
  <c r="I15" i="1"/>
  <c r="J15" i="1"/>
  <c r="K15" i="1"/>
  <c r="L15" i="1"/>
  <c r="N15" i="1"/>
  <c r="O15" i="1"/>
  <c r="H16" i="1"/>
  <c r="I16" i="1"/>
  <c r="J16" i="1"/>
  <c r="K16" i="1"/>
  <c r="L16" i="1"/>
  <c r="N16" i="1"/>
  <c r="O16" i="1"/>
  <c r="H18" i="1"/>
  <c r="I18" i="1"/>
  <c r="J18" i="1"/>
  <c r="K18" i="1"/>
  <c r="L18" i="1"/>
  <c r="N18" i="1"/>
  <c r="O18" i="1"/>
  <c r="H19" i="1"/>
  <c r="I19" i="1"/>
  <c r="J19" i="1"/>
  <c r="K19" i="1"/>
  <c r="L19" i="1"/>
  <c r="N19" i="1"/>
  <c r="O19" i="1"/>
  <c r="H20" i="1"/>
  <c r="I20" i="1"/>
  <c r="J20" i="1"/>
  <c r="K20" i="1"/>
  <c r="L20" i="1"/>
  <c r="N20" i="1"/>
  <c r="O20" i="1"/>
  <c r="H21" i="1"/>
  <c r="I21" i="1"/>
  <c r="J21" i="1"/>
  <c r="K21" i="1"/>
  <c r="L21" i="1"/>
  <c r="N21" i="1"/>
  <c r="O21" i="1"/>
  <c r="H22" i="1"/>
  <c r="I22" i="1"/>
  <c r="J22" i="1"/>
  <c r="K22" i="1"/>
  <c r="L22" i="1"/>
  <c r="N22" i="1"/>
  <c r="O22" i="1"/>
  <c r="H23" i="1"/>
  <c r="I23" i="1"/>
  <c r="J23" i="1"/>
  <c r="K23" i="1"/>
  <c r="L23" i="1"/>
  <c r="N23" i="1"/>
  <c r="O23" i="1"/>
  <c r="O10" i="1"/>
  <c r="N10" i="1"/>
  <c r="L10" i="1"/>
  <c r="K10" i="1"/>
  <c r="J10" i="1"/>
  <c r="I10" i="1"/>
  <c r="H10" i="1"/>
  <c r="O9" i="1"/>
  <c r="N9" i="1"/>
  <c r="L9" i="1"/>
  <c r="K9" i="1"/>
  <c r="J9" i="1"/>
  <c r="I9" i="1"/>
  <c r="H9" i="1"/>
  <c r="O8" i="1"/>
  <c r="N8" i="1"/>
  <c r="L8" i="1"/>
  <c r="K8" i="1"/>
  <c r="J8" i="1"/>
  <c r="I8" i="1"/>
  <c r="H8" i="1"/>
  <c r="O7" i="1"/>
  <c r="N7" i="1"/>
  <c r="L7" i="1"/>
  <c r="K7" i="1"/>
  <c r="J7" i="1"/>
  <c r="I7" i="1"/>
  <c r="H7" i="1"/>
  <c r="O6" i="1"/>
  <c r="N6" i="1"/>
  <c r="L6" i="1"/>
  <c r="K6" i="1"/>
  <c r="J6" i="1"/>
  <c r="I6" i="1"/>
  <c r="H6" i="1"/>
  <c r="H2" i="1" l="1"/>
  <c r="K2" i="1"/>
  <c r="I2" i="1"/>
  <c r="J2" i="1"/>
</calcChain>
</file>

<file path=xl/sharedStrings.xml><?xml version="1.0" encoding="utf-8"?>
<sst xmlns="http://schemas.openxmlformats.org/spreadsheetml/2006/main" count="172" uniqueCount="97">
  <si>
    <t>DID Num</t>
    <phoneticPr fontId="1" type="noConversion"/>
  </si>
  <si>
    <t>DID Description</t>
    <phoneticPr fontId="1" type="noConversion"/>
  </si>
  <si>
    <t>Module</t>
    <phoneticPr fontId="1" type="noConversion"/>
  </si>
  <si>
    <t>Size
(Bytes)</t>
    <phoneticPr fontId="2" type="noConversion"/>
  </si>
  <si>
    <t>R/W Mode</t>
    <phoneticPr fontId="2" type="noConversion"/>
  </si>
  <si>
    <t>R</t>
    <phoneticPr fontId="1" type="noConversion"/>
  </si>
  <si>
    <t>CDD Function Name</t>
    <phoneticPr fontId="1" type="noConversion"/>
  </si>
  <si>
    <t>Sub Data Name Abbr.</t>
    <phoneticPr fontId="1" type="noConversion"/>
  </si>
  <si>
    <t>Input-1 Variable Name (DID Size)</t>
    <phoneticPr fontId="1" type="noConversion"/>
  </si>
  <si>
    <t>Input-2 Variable Name (DID Num)</t>
    <phoneticPr fontId="1" type="noConversion"/>
  </si>
  <si>
    <t>XXX</t>
    <phoneticPr fontId="1" type="noConversion"/>
  </si>
  <si>
    <t>W</t>
    <phoneticPr fontId="1" type="noConversion"/>
  </si>
  <si>
    <t>Output-1 Variable Name (DID State)</t>
    <phoneticPr fontId="1" type="noConversion"/>
  </si>
  <si>
    <t>Input-3 Variable Name</t>
    <phoneticPr fontId="1" type="noConversion"/>
  </si>
  <si>
    <t>Output-2 Variable Name</t>
    <phoneticPr fontId="1" type="noConversion"/>
  </si>
  <si>
    <t>(For Read Mode)</t>
    <phoneticPr fontId="1" type="noConversion"/>
  </si>
  <si>
    <t>(For Write Mode)</t>
    <phoneticPr fontId="1" type="noConversion"/>
  </si>
  <si>
    <r>
      <t>R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Set
W</t>
    </r>
    <r>
      <rPr>
        <sz val="14"/>
        <color theme="1"/>
        <rFont val="細明體"/>
        <family val="1"/>
        <charset val="136"/>
      </rPr>
      <t>：</t>
    </r>
    <r>
      <rPr>
        <sz val="14"/>
        <color theme="1"/>
        <rFont val="Times New Roman"/>
        <family val="1"/>
      </rPr>
      <t>APP Get</t>
    </r>
    <phoneticPr fontId="1" type="noConversion"/>
  </si>
  <si>
    <t>HALOUT Variable Name</t>
    <phoneticPr fontId="1" type="noConversion"/>
  </si>
  <si>
    <t>HALIN Variable Name</t>
    <phoneticPr fontId="1" type="noConversion"/>
  </si>
  <si>
    <t>VHAL_DIDSetXXX_raw?</t>
    <phoneticPr fontId="1" type="noConversion"/>
  </si>
  <si>
    <t>VHAL_DIDGetXXX_raw?</t>
    <phoneticPr fontId="1" type="noConversion"/>
  </si>
  <si>
    <t>Argument
Datatype</t>
    <phoneticPr fontId="1" type="noConversion"/>
  </si>
  <si>
    <t>uint8</t>
  </si>
  <si>
    <t>HALIN Variable Name (DID State)</t>
    <phoneticPr fontId="1" type="noConversion"/>
  </si>
  <si>
    <t>VHAL_DIDStaXXX_flg</t>
    <phoneticPr fontId="1" type="noConversion"/>
  </si>
  <si>
    <t>VHAL_DIDFlashXXX_raw?</t>
    <phoneticPr fontId="1" type="noConversion"/>
  </si>
  <si>
    <t>0x1001</t>
    <phoneticPr fontId="2" type="noConversion"/>
  </si>
  <si>
    <t>0x1002</t>
    <phoneticPr fontId="2" type="noConversion"/>
  </si>
  <si>
    <t>0x1003</t>
    <phoneticPr fontId="2" type="noConversion"/>
  </si>
  <si>
    <t>0x1004</t>
    <phoneticPr fontId="2" type="noConversion"/>
  </si>
  <si>
    <t>0x1005</t>
    <phoneticPr fontId="2" type="noConversion"/>
  </si>
  <si>
    <t>0x100A</t>
    <phoneticPr fontId="2" type="noConversion"/>
  </si>
  <si>
    <t>0x100B</t>
    <phoneticPr fontId="2" type="noConversion"/>
  </si>
  <si>
    <t>0x100C</t>
    <phoneticPr fontId="2" type="noConversion"/>
  </si>
  <si>
    <t>0x100D</t>
    <phoneticPr fontId="2" type="noConversion"/>
  </si>
  <si>
    <t>0x100E</t>
    <phoneticPr fontId="2" type="noConversion"/>
  </si>
  <si>
    <t>0x100F</t>
    <phoneticPr fontId="2" type="noConversion"/>
  </si>
  <si>
    <t>0x1010</t>
    <phoneticPr fontId="2" type="noConversion"/>
  </si>
  <si>
    <t>0x1011</t>
    <phoneticPr fontId="2" type="noConversion"/>
  </si>
  <si>
    <t>0x1012</t>
    <phoneticPr fontId="2" type="noConversion"/>
  </si>
  <si>
    <t>FoxPi_Motion_Status</t>
    <phoneticPr fontId="1" type="noConversion"/>
  </si>
  <si>
    <t>FoxPi_Brake_Status</t>
    <phoneticPr fontId="1" type="noConversion"/>
  </si>
  <si>
    <t>FoxPi_WheelSpeed</t>
    <phoneticPr fontId="1" type="noConversion"/>
  </si>
  <si>
    <t>FoxPi_EPS_Status</t>
    <phoneticPr fontId="1" type="noConversion"/>
  </si>
  <si>
    <t>FoxPi_Button_Status</t>
    <phoneticPr fontId="1" type="noConversion"/>
  </si>
  <si>
    <t>FoxPi_USS_Distance</t>
    <phoneticPr fontId="1" type="noConversion"/>
  </si>
  <si>
    <t>FoxPi_USS_Fault_Status</t>
    <phoneticPr fontId="1" type="noConversion"/>
  </si>
  <si>
    <t>FoxPi_PTG_USS_SW</t>
    <phoneticPr fontId="1" type="noConversion"/>
  </si>
  <si>
    <t>FoxPi_Switch_Status</t>
    <phoneticPr fontId="1" type="noConversion"/>
  </si>
  <si>
    <t>FoxPi_Lamp_Status</t>
    <phoneticPr fontId="1" type="noConversion"/>
  </si>
  <si>
    <t>FoxPi_Lamp_Ctrl</t>
    <phoneticPr fontId="1" type="noConversion"/>
  </si>
  <si>
    <t>FoxPi_Battery_Status</t>
    <phoneticPr fontId="1" type="noConversion"/>
  </si>
  <si>
    <t>FoxPi_TPMS_Status</t>
    <phoneticPr fontId="1" type="noConversion"/>
  </si>
  <si>
    <t>FoxPi_Motor_Status</t>
    <phoneticPr fontId="1" type="noConversion"/>
  </si>
  <si>
    <t>FoxtronPi</t>
    <phoneticPr fontId="1" type="noConversion"/>
  </si>
  <si>
    <t>FoxPiLampCtrl</t>
    <phoneticPr fontId="1" type="noConversion"/>
  </si>
  <si>
    <t>FoxPi_Ctrl_Enable_Switch</t>
    <phoneticPr fontId="1" type="noConversion"/>
  </si>
  <si>
    <t>FoxPiSwSta</t>
    <phoneticPr fontId="1" type="noConversion"/>
  </si>
  <si>
    <t>FoxPiLampSta</t>
    <phoneticPr fontId="1" type="noConversion"/>
  </si>
  <si>
    <t>FoxPiTPMSSta</t>
    <phoneticPr fontId="1" type="noConversion"/>
  </si>
  <si>
    <t>FoxPiMotorSta</t>
    <phoneticPr fontId="1" type="noConversion"/>
  </si>
  <si>
    <t>FoxPi_Pedal_Position</t>
    <phoneticPr fontId="1" type="noConversion"/>
  </si>
  <si>
    <t>FoxPi_Shifter_Allow</t>
    <phoneticPr fontId="1" type="noConversion"/>
  </si>
  <si>
    <t>FoxPiShifterAllow</t>
    <phoneticPr fontId="1" type="noConversion"/>
  </si>
  <si>
    <t>FoxPiCtrlEnSw</t>
    <phoneticPr fontId="1" type="noConversion"/>
  </si>
  <si>
    <t>FoxPiUSSFaultSta</t>
    <phoneticPr fontId="1" type="noConversion"/>
  </si>
  <si>
    <t>FoxPiPTGUSSSw</t>
    <phoneticPr fontId="1" type="noConversion"/>
  </si>
  <si>
    <t>FoxPiUSSDist</t>
    <phoneticPr fontId="1" type="noConversion"/>
  </si>
  <si>
    <t>FoxPiButtonSta</t>
    <phoneticPr fontId="1" type="noConversion"/>
  </si>
  <si>
    <t>FoxPiEPSSta</t>
    <phoneticPr fontId="1" type="noConversion"/>
  </si>
  <si>
    <t>FoxPiBrakeSta</t>
    <phoneticPr fontId="1" type="noConversion"/>
  </si>
  <si>
    <t>FoxPiMotionSta</t>
    <phoneticPr fontId="1" type="noConversion"/>
  </si>
  <si>
    <t>FoxPiWheelSpd</t>
    <phoneticPr fontId="1" type="noConversion"/>
  </si>
  <si>
    <t>FoxPiPedalPos</t>
    <phoneticPr fontId="1" type="noConversion"/>
  </si>
  <si>
    <t>FoxPiBattSta</t>
    <phoneticPr fontId="1" type="noConversion"/>
  </si>
  <si>
    <t>0x0202</t>
  </si>
  <si>
    <t>WriteRandomNumberDKC</t>
    <phoneticPr fontId="2" type="noConversion"/>
  </si>
  <si>
    <t>VCU</t>
    <phoneticPr fontId="1" type="noConversion"/>
  </si>
  <si>
    <t>uint8</t>
    <phoneticPr fontId="1" type="noConversion"/>
  </si>
  <si>
    <t>DKCKey</t>
    <phoneticPr fontId="1" type="noConversion"/>
  </si>
  <si>
    <t>CSOP_DIDGet_DKCKey</t>
  </si>
  <si>
    <t>u16_DIDLen_DKCKey</t>
  </si>
  <si>
    <t>u16_DIDNum_DKCKey</t>
  </si>
  <si>
    <t>u8_DIDSta_DKCKey</t>
  </si>
  <si>
    <t>u8Array8_DKCKey</t>
  </si>
  <si>
    <t>VHAL_DIDGetDKCKey_raw8</t>
  </si>
  <si>
    <t>VHAL_DIDStaDKCKey_flg</t>
  </si>
  <si>
    <t>VHAL_DIDFlashDKCKey_raw8</t>
  </si>
  <si>
    <t>CSOP_DIDSet_DKCKey</t>
  </si>
  <si>
    <t>VHAL_DIDSetDKCKey_raw8</t>
  </si>
  <si>
    <t>FoxPi_Driving_Ctrl</t>
  </si>
  <si>
    <t>FoxPiDrivingCtrl</t>
    <phoneticPr fontId="1" type="noConversion"/>
  </si>
  <si>
    <t>0x1006</t>
  </si>
  <si>
    <t>0x1007</t>
  </si>
  <si>
    <t>0x1008</t>
  </si>
  <si>
    <t>0x1009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</si>
</sst>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.00_ ;_ &quot;￥&quot;* \-#,##0.00_ ;_ &quot;￥&quot;* &quot;-&quot;??_ ;_ @_ 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宋体"/>
      <family val="3"/>
      <charset val="134"/>
    </font>
    <font>
      <sz val="12"/>
      <name val="宋体"/>
      <charset val="134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sz val="14"/>
      <color theme="1"/>
      <name val="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</cellStyleXfs>
  <cellXfs count="3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 wrapText="1"/>
      <protection locked="0"/>
    </xf>
    <xf numFmtId="49" fontId="7" fillId="0" borderId="1" xfId="0" applyNumberFormat="1" applyFont="1" applyBorder="1" applyAlignment="1" applyProtection="1">
      <alignment horizontal="left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</cellXfs>
  <cellStyles count="3">
    <cellStyle name="一般" xfId="0" builtinId="0"/>
    <cellStyle name="一般 10" xfId="1" xr:uid="{2686D65A-1568-4131-B532-D70941E252E9}"/>
    <cellStyle name="一般 2 2" xfId="2" xr:uid="{3DFC156D-043A-4A4F-96FA-77565BA36F42}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3326-32ED-4F0B-B334-29FB2E3906BB}">
  <dimension ref="A1:AK27"/>
  <sheetViews>
    <sheetView tabSelected="1" workbookViewId="0">
      <selection activeCell="E7" sqref="E7"/>
    </sheetView>
  </sheetViews>
  <sheetFormatPr defaultRowHeight="15.75"/>
  <cols>
    <col min="1" max="1" width="12.125" style="4" bestFit="1" customWidth="1"/>
    <col min="2" max="2" width="44.75" style="5" bestFit="1" customWidth="1"/>
    <col min="3" max="3" width="13.375" style="4" customWidth="1"/>
    <col min="4" max="4" width="12.75" style="4" customWidth="1"/>
    <col min="5" max="5" width="8.875" style="4" bestFit="1" customWidth="1"/>
    <col min="6" max="6" width="17.375" style="4" customWidth="1"/>
    <col min="7" max="7" width="25.75" style="5" bestFit="1" customWidth="1"/>
    <col min="8" max="8" width="42.75" style="29" bestFit="1" customWidth="1"/>
    <col min="9" max="9" width="36.375" style="5" customWidth="1"/>
    <col min="10" max="10" width="37.875" style="5" customWidth="1"/>
    <col min="11" max="11" width="40.75" style="5" customWidth="1"/>
    <col min="12" max="12" width="34.375" style="5" bestFit="1" customWidth="1"/>
    <col min="13" max="13" width="33" style="30" bestFit="1" customWidth="1"/>
    <col min="14" max="14" width="48.125" style="5" bestFit="1" customWidth="1"/>
    <col min="15" max="15" width="45.75" style="5" bestFit="1" customWidth="1"/>
    <col min="16" max="16" width="46.625" style="4" customWidth="1"/>
    <col min="17" max="17" width="46" style="4" customWidth="1"/>
    <col min="18" max="18" width="46.625" style="4" customWidth="1"/>
    <col min="19" max="19" width="39.5" style="32" bestFit="1" customWidth="1"/>
    <col min="20" max="16384" width="9" style="4"/>
  </cols>
  <sheetData>
    <row r="1" spans="1:37" s="3" customFormat="1" ht="37.5">
      <c r="A1" s="1" t="s">
        <v>0</v>
      </c>
      <c r="B1" s="2" t="s">
        <v>1</v>
      </c>
      <c r="C1" s="1" t="s">
        <v>2</v>
      </c>
      <c r="D1" s="9" t="s">
        <v>22</v>
      </c>
      <c r="E1" s="9" t="s">
        <v>3</v>
      </c>
      <c r="F1" s="1" t="s">
        <v>4</v>
      </c>
      <c r="G1" s="15" t="s">
        <v>7</v>
      </c>
      <c r="H1" s="21" t="s">
        <v>6</v>
      </c>
      <c r="I1" s="22" t="s">
        <v>8</v>
      </c>
      <c r="J1" s="22" t="s">
        <v>9</v>
      </c>
      <c r="K1" s="22" t="s">
        <v>12</v>
      </c>
      <c r="L1" s="23" t="s">
        <v>13</v>
      </c>
      <c r="M1" s="24" t="s">
        <v>14</v>
      </c>
      <c r="N1" s="18" t="s">
        <v>18</v>
      </c>
      <c r="O1" s="22" t="s">
        <v>24</v>
      </c>
      <c r="P1" s="2" t="s">
        <v>19</v>
      </c>
      <c r="Q1" s="22" t="s">
        <v>24</v>
      </c>
      <c r="R1" s="15" t="s">
        <v>19</v>
      </c>
      <c r="S1" s="31"/>
    </row>
    <row r="2" spans="1:37" s="14" customFormat="1" ht="39">
      <c r="A2" s="11"/>
      <c r="B2" s="12"/>
      <c r="C2" s="11"/>
      <c r="D2" s="11"/>
      <c r="E2" s="13"/>
      <c r="F2" s="13" t="s">
        <v>17</v>
      </c>
      <c r="G2" s="16" t="s">
        <v>10</v>
      </c>
      <c r="H2" s="25" t="str">
        <f>IF(F2="W", "CSOP_DIDGet_" &amp; G2, "CSOP_DIDSet_" &amp; G2)</f>
        <v>CSOP_DIDSet_XXX</v>
      </c>
      <c r="I2" s="12" t="str">
        <f xml:space="preserve"> "u16_DIDLen_" &amp; G2</f>
        <v>u16_DIDLen_XXX</v>
      </c>
      <c r="J2" s="12" t="str">
        <f xml:space="preserve"> "u16_DIDNum_" &amp; G2</f>
        <v>u16_DIDNum_XXX</v>
      </c>
      <c r="K2" s="12" t="str">
        <f xml:space="preserve"> "u8_DIDSta_" &amp; G2</f>
        <v>u8_DIDSta_XXX</v>
      </c>
      <c r="L2" s="16" t="s">
        <v>15</v>
      </c>
      <c r="M2" s="26" t="s">
        <v>16</v>
      </c>
      <c r="N2" s="19" t="s">
        <v>20</v>
      </c>
      <c r="O2" s="19" t="s">
        <v>25</v>
      </c>
      <c r="P2" s="12" t="s">
        <v>21</v>
      </c>
      <c r="Q2" s="19" t="s">
        <v>25</v>
      </c>
      <c r="R2" s="16" t="s">
        <v>26</v>
      </c>
      <c r="S2" s="25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</row>
    <row r="3" spans="1:37" ht="18.75">
      <c r="A3" s="33" t="s">
        <v>76</v>
      </c>
      <c r="B3" s="34" t="s">
        <v>77</v>
      </c>
      <c r="C3" s="6" t="s">
        <v>78</v>
      </c>
      <c r="D3" s="6" t="s">
        <v>79</v>
      </c>
      <c r="E3" s="6">
        <v>8</v>
      </c>
      <c r="F3" s="6" t="s">
        <v>11</v>
      </c>
      <c r="G3" s="17" t="s">
        <v>80</v>
      </c>
      <c r="H3" s="27" t="s">
        <v>81</v>
      </c>
      <c r="I3" s="10" t="s">
        <v>82</v>
      </c>
      <c r="J3" s="10" t="s">
        <v>83</v>
      </c>
      <c r="K3" s="10" t="s">
        <v>84</v>
      </c>
      <c r="L3" s="17"/>
      <c r="M3" s="28" t="s">
        <v>85</v>
      </c>
      <c r="N3" s="20"/>
      <c r="O3" s="20"/>
      <c r="P3" s="10" t="s">
        <v>86</v>
      </c>
      <c r="Q3" s="20" t="s">
        <v>87</v>
      </c>
      <c r="R3" s="17" t="s">
        <v>88</v>
      </c>
      <c r="S3" s="27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</row>
    <row r="4" spans="1:37" ht="18.75">
      <c r="A4" s="33"/>
      <c r="B4" s="34"/>
      <c r="C4" s="6" t="s">
        <v>78</v>
      </c>
      <c r="D4" s="6" t="s">
        <v>79</v>
      </c>
      <c r="E4" s="6">
        <v>8</v>
      </c>
      <c r="F4" s="6" t="s">
        <v>5</v>
      </c>
      <c r="G4" s="17" t="s">
        <v>80</v>
      </c>
      <c r="H4" s="27" t="s">
        <v>89</v>
      </c>
      <c r="I4" s="10" t="s">
        <v>82</v>
      </c>
      <c r="J4" s="10" t="s">
        <v>83</v>
      </c>
      <c r="K4" s="10" t="s">
        <v>84</v>
      </c>
      <c r="L4" s="17" t="s">
        <v>85</v>
      </c>
      <c r="M4" s="28"/>
      <c r="N4" s="20" t="s">
        <v>90</v>
      </c>
      <c r="O4" s="20" t="s">
        <v>87</v>
      </c>
      <c r="P4" s="10"/>
      <c r="Q4" s="20"/>
      <c r="R4" s="17"/>
      <c r="S4" s="27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</row>
    <row r="5" spans="1:37" ht="18.75">
      <c r="A5" s="7" t="s">
        <v>27</v>
      </c>
      <c r="B5" s="8" t="s">
        <v>91</v>
      </c>
      <c r="C5" s="6" t="s">
        <v>55</v>
      </c>
      <c r="D5" s="6" t="s">
        <v>23</v>
      </c>
      <c r="E5" s="6">
        <v>21</v>
      </c>
      <c r="F5" s="6" t="s">
        <v>11</v>
      </c>
      <c r="G5" s="8" t="s">
        <v>92</v>
      </c>
      <c r="H5" s="27" t="str">
        <f t="shared" ref="H5:H10" si="0">IF(F5="W", "CSOP_DIDGet_" &amp; G5, "CSOP_DIDSet_" &amp; G5)</f>
        <v>CSOP_DIDGet_FoxPiDrivingCtrl</v>
      </c>
      <c r="I5" s="10" t="str">
        <f t="shared" ref="I5:I10" si="1" xml:space="preserve"> "u16_DIDLen_" &amp; G5</f>
        <v>u16_DIDLen_FoxPiDrivingCtrl</v>
      </c>
      <c r="J5" s="10" t="str">
        <f t="shared" ref="J5:J10" si="2" xml:space="preserve"> "u16_DIDNum_" &amp; G5</f>
        <v>u16_DIDNum_FoxPiDrivingCtrl</v>
      </c>
      <c r="K5" s="10" t="str">
        <f t="shared" ref="K5:K10" si="3" xml:space="preserve"> "u8_DIDSta_" &amp; G5</f>
        <v>u8_DIDSta_FoxPiDrivingCtrl</v>
      </c>
      <c r="M5" s="28" t="str">
        <f t="shared" ref="M5" si="4">IF((MID(D5, 5,LEN(D5)-4)/8 &lt; E5), ("u" &amp; MID(D5, 5,LEN(D5)-4) &amp; "Array" &amp; E5*8/MID(D5, 5,LEN(D5)-4) &amp; "_" &amp; G5),  ("u" &amp; MID(D5, 5,LEN(D5)-4) &amp; "_" &amp; G5))</f>
        <v>u8Array21_FoxPiDrivingCtrl</v>
      </c>
      <c r="O5" s="20"/>
      <c r="P5" s="10" t="str">
        <f>"VHAL_DIDGet" &amp; G6 &amp; "_raw" &amp; MID(D6, 5,LEN(D6)-4)</f>
        <v>VHAL_DIDGetFoxPiDrivingCtrl_raw8</v>
      </c>
      <c r="Q5" s="20" t="str">
        <f>"VHAL_DIDSta" &amp; G5 &amp; "_flg"</f>
        <v>VHAL_DIDStaFoxPiDrivingCtrl_flg</v>
      </c>
      <c r="R5" s="17" t="str">
        <f t="shared" ref="R5" si="5">"VHAL_DIDFlash" &amp; G5 &amp; "_raw" &amp; MID(D5, 5,LEN(D5)-4)</f>
        <v>VHAL_DIDFlashFoxPiDrivingCtrl_raw8</v>
      </c>
    </row>
    <row r="6" spans="1:37" ht="18.75">
      <c r="A6" s="7"/>
      <c r="B6" s="8"/>
      <c r="C6" s="6" t="s">
        <v>55</v>
      </c>
      <c r="D6" s="6" t="s">
        <v>23</v>
      </c>
      <c r="E6" s="6">
        <v>21</v>
      </c>
      <c r="F6" s="6" t="s">
        <v>5</v>
      </c>
      <c r="G6" s="8" t="s">
        <v>92</v>
      </c>
      <c r="H6" s="27" t="str">
        <f t="shared" si="0"/>
        <v>CSOP_DIDSet_FoxPiDrivingCtrl</v>
      </c>
      <c r="I6" s="10" t="str">
        <f t="shared" si="1"/>
        <v>u16_DIDLen_FoxPiDrivingCtrl</v>
      </c>
      <c r="J6" s="10" t="str">
        <f t="shared" si="2"/>
        <v>u16_DIDNum_FoxPiDrivingCtrl</v>
      </c>
      <c r="K6" s="10" t="str">
        <f t="shared" si="3"/>
        <v>u8_DIDSta_FoxPiDrivingCtrl</v>
      </c>
      <c r="L6" s="17" t="str">
        <f t="shared" ref="L6:L10" si="6">IF((MID(D6, 5,LEN(D6)-4)/8 &lt; E6), ("u" &amp; MID(D6, 5,LEN(D6)-4) &amp; "Array" &amp; E6*8/MID(D6, 5,LEN(D6)-4) &amp; "_" &amp; G6),  ("u" &amp; MID(D6, 5,LEN(D6)-4) &amp; "_" &amp; G6))</f>
        <v>u8Array21_FoxPiDrivingCtrl</v>
      </c>
      <c r="M6" s="28"/>
      <c r="N6" s="20" t="str">
        <f t="shared" ref="N6:N10" si="7">"VHAL_DIDSet" &amp; G6 &amp; "_raw" &amp; MID(D6, 5,LEN(D6)-4)</f>
        <v>VHAL_DIDSetFoxPiDrivingCtrl_raw8</v>
      </c>
      <c r="O6" s="20" t="str">
        <f t="shared" ref="O6:O10" si="8">"VHAL_DIDSta" &amp; G6 &amp; "_flg"</f>
        <v>VHAL_DIDStaFoxPiDrivingCtrl_flg</v>
      </c>
    </row>
    <row r="7" spans="1:37" ht="18.75">
      <c r="A7" s="7" t="s">
        <v>28</v>
      </c>
      <c r="B7" s="8" t="s">
        <v>41</v>
      </c>
      <c r="C7" s="6" t="s">
        <v>55</v>
      </c>
      <c r="D7" s="6" t="s">
        <v>23</v>
      </c>
      <c r="E7" s="6">
        <v>13</v>
      </c>
      <c r="F7" s="6" t="s">
        <v>5</v>
      </c>
      <c r="G7" s="8" t="s">
        <v>72</v>
      </c>
      <c r="H7" s="27" t="str">
        <f t="shared" si="0"/>
        <v>CSOP_DIDSet_FoxPiMotionSta</v>
      </c>
      <c r="I7" s="10" t="str">
        <f t="shared" si="1"/>
        <v>u16_DIDLen_FoxPiMotionSta</v>
      </c>
      <c r="J7" s="10" t="str">
        <f t="shared" si="2"/>
        <v>u16_DIDNum_FoxPiMotionSta</v>
      </c>
      <c r="K7" s="10" t="str">
        <f t="shared" si="3"/>
        <v>u8_DIDSta_FoxPiMotionSta</v>
      </c>
      <c r="L7" s="17" t="str">
        <f t="shared" si="6"/>
        <v>u8Array13_FoxPiMotionSta</v>
      </c>
      <c r="M7" s="28"/>
      <c r="N7" s="20" t="str">
        <f t="shared" si="7"/>
        <v>VHAL_DIDSetFoxPiMotionSta_raw8</v>
      </c>
      <c r="O7" s="20" t="str">
        <f t="shared" si="8"/>
        <v>VHAL_DIDStaFoxPiMotionSta_flg</v>
      </c>
    </row>
    <row r="8" spans="1:37" ht="18.75">
      <c r="A8" s="7" t="s">
        <v>29</v>
      </c>
      <c r="B8" s="8" t="s">
        <v>42</v>
      </c>
      <c r="C8" s="6" t="s">
        <v>55</v>
      </c>
      <c r="D8" s="6" t="s">
        <v>23</v>
      </c>
      <c r="E8" s="6">
        <v>13</v>
      </c>
      <c r="F8" s="6" t="s">
        <v>5</v>
      </c>
      <c r="G8" s="8" t="s">
        <v>71</v>
      </c>
      <c r="H8" s="27" t="str">
        <f t="shared" si="0"/>
        <v>CSOP_DIDSet_FoxPiBrakeSta</v>
      </c>
      <c r="I8" s="10" t="str">
        <f t="shared" si="1"/>
        <v>u16_DIDLen_FoxPiBrakeSta</v>
      </c>
      <c r="J8" s="10" t="str">
        <f t="shared" si="2"/>
        <v>u16_DIDNum_FoxPiBrakeSta</v>
      </c>
      <c r="K8" s="10" t="str">
        <f t="shared" si="3"/>
        <v>u8_DIDSta_FoxPiBrakeSta</v>
      </c>
      <c r="L8" s="17" t="str">
        <f t="shared" si="6"/>
        <v>u8Array13_FoxPiBrakeSta</v>
      </c>
      <c r="M8" s="28"/>
      <c r="N8" s="20" t="str">
        <f t="shared" si="7"/>
        <v>VHAL_DIDSetFoxPiBrakeSta_raw8</v>
      </c>
      <c r="O8" s="20" t="str">
        <f t="shared" si="8"/>
        <v>VHAL_DIDStaFoxPiBrakeSta_flg</v>
      </c>
    </row>
    <row r="9" spans="1:37" ht="18.75">
      <c r="A9" s="7" t="s">
        <v>30</v>
      </c>
      <c r="B9" s="8" t="s">
        <v>43</v>
      </c>
      <c r="C9" s="6" t="s">
        <v>55</v>
      </c>
      <c r="D9" s="6" t="s">
        <v>23</v>
      </c>
      <c r="E9" s="6">
        <v>16</v>
      </c>
      <c r="F9" s="6" t="s">
        <v>5</v>
      </c>
      <c r="G9" s="8" t="s">
        <v>73</v>
      </c>
      <c r="H9" s="27" t="str">
        <f t="shared" si="0"/>
        <v>CSOP_DIDSet_FoxPiWheelSpd</v>
      </c>
      <c r="I9" s="10" t="str">
        <f t="shared" si="1"/>
        <v>u16_DIDLen_FoxPiWheelSpd</v>
      </c>
      <c r="J9" s="10" t="str">
        <f t="shared" si="2"/>
        <v>u16_DIDNum_FoxPiWheelSpd</v>
      </c>
      <c r="K9" s="10" t="str">
        <f t="shared" si="3"/>
        <v>u8_DIDSta_FoxPiWheelSpd</v>
      </c>
      <c r="L9" s="17" t="str">
        <f t="shared" si="6"/>
        <v>u8Array16_FoxPiWheelSpd</v>
      </c>
      <c r="M9" s="28"/>
      <c r="N9" s="20" t="str">
        <f t="shared" si="7"/>
        <v>VHAL_DIDSetFoxPiWheelSpd_raw8</v>
      </c>
      <c r="O9" s="20" t="str">
        <f t="shared" si="8"/>
        <v>VHAL_DIDStaFoxPiWheelSpd_flg</v>
      </c>
    </row>
    <row r="10" spans="1:37" ht="18.75">
      <c r="A10" s="7" t="s">
        <v>31</v>
      </c>
      <c r="B10" s="8" t="s">
        <v>44</v>
      </c>
      <c r="C10" s="6" t="s">
        <v>55</v>
      </c>
      <c r="D10" s="6" t="s">
        <v>23</v>
      </c>
      <c r="E10" s="6">
        <v>11</v>
      </c>
      <c r="F10" s="6" t="s">
        <v>5</v>
      </c>
      <c r="G10" s="8" t="s">
        <v>70</v>
      </c>
      <c r="H10" s="27" t="str">
        <f t="shared" si="0"/>
        <v>CSOP_DIDSet_FoxPiEPSSta</v>
      </c>
      <c r="I10" s="10" t="str">
        <f t="shared" si="1"/>
        <v>u16_DIDLen_FoxPiEPSSta</v>
      </c>
      <c r="J10" s="10" t="str">
        <f t="shared" si="2"/>
        <v>u16_DIDNum_FoxPiEPSSta</v>
      </c>
      <c r="K10" s="10" t="str">
        <f t="shared" si="3"/>
        <v>u8_DIDSta_FoxPiEPSSta</v>
      </c>
      <c r="L10" s="17" t="str">
        <f t="shared" si="6"/>
        <v>u8Array11_FoxPiEPSSta</v>
      </c>
      <c r="M10" s="28"/>
      <c r="N10" s="20" t="str">
        <f t="shared" si="7"/>
        <v>VHAL_DIDSetFoxPiEPSSta_raw8</v>
      </c>
      <c r="O10" s="20" t="str">
        <f t="shared" si="8"/>
        <v>VHAL_DIDStaFoxPiEPSSta_flg</v>
      </c>
    </row>
    <row r="11" spans="1:37" ht="18.75">
      <c r="A11" s="7" t="s">
        <v>93</v>
      </c>
      <c r="B11" s="8" t="s">
        <v>45</v>
      </c>
      <c r="C11" s="6" t="s">
        <v>55</v>
      </c>
      <c r="D11" s="6" t="s">
        <v>23</v>
      </c>
      <c r="E11" s="6">
        <v>2</v>
      </c>
      <c r="F11" s="6" t="s">
        <v>5</v>
      </c>
      <c r="G11" s="8" t="s">
        <v>69</v>
      </c>
      <c r="H11" s="27" t="str">
        <f t="shared" ref="H11:H23" si="9">IF(F11="W", "CSOP_DIDGet_" &amp; G11, "CSOP_DIDSet_" &amp; G11)</f>
        <v>CSOP_DIDSet_FoxPiButtonSta</v>
      </c>
      <c r="I11" s="10" t="str">
        <f t="shared" ref="I11:I23" si="10" xml:space="preserve"> "u16_DIDLen_" &amp; G11</f>
        <v>u16_DIDLen_FoxPiButtonSta</v>
      </c>
      <c r="J11" s="10" t="str">
        <f t="shared" ref="J11:J23" si="11" xml:space="preserve"> "u16_DIDNum_" &amp; G11</f>
        <v>u16_DIDNum_FoxPiButtonSta</v>
      </c>
      <c r="K11" s="10" t="str">
        <f t="shared" ref="K11:K23" si="12" xml:space="preserve"> "u8_DIDSta_" &amp; G11</f>
        <v>u8_DIDSta_FoxPiButtonSta</v>
      </c>
      <c r="L11" s="17" t="str">
        <f t="shared" ref="L11:L23" si="13">IF((MID(D11, 5,LEN(D11)-4)/8 &lt; E11), ("u" &amp; MID(D11, 5,LEN(D11)-4) &amp; "Array" &amp; E11*8/MID(D11, 5,LEN(D11)-4) &amp; "_" &amp; G11),  ("u" &amp; MID(D11, 5,LEN(D11)-4) &amp; "_" &amp; G11))</f>
        <v>u8Array2_FoxPiButtonSta</v>
      </c>
      <c r="M11" s="28"/>
      <c r="N11" s="20" t="str">
        <f t="shared" ref="N11:N23" si="14">"VHAL_DIDSet" &amp; G11 &amp; "_raw" &amp; MID(D11, 5,LEN(D11)-4)</f>
        <v>VHAL_DIDSetFoxPiButtonSta_raw8</v>
      </c>
      <c r="O11" s="20" t="str">
        <f t="shared" ref="O11:O23" si="15">"VHAL_DIDSta" &amp; G11 &amp; "_flg"</f>
        <v>VHAL_DIDStaFoxPiButtonSta_flg</v>
      </c>
    </row>
    <row r="12" spans="1:37" ht="18.75">
      <c r="A12" s="7" t="s">
        <v>94</v>
      </c>
      <c r="B12" s="8" t="s">
        <v>46</v>
      </c>
      <c r="C12" s="6" t="s">
        <v>55</v>
      </c>
      <c r="D12" s="6" t="s">
        <v>23</v>
      </c>
      <c r="E12" s="6">
        <v>20</v>
      </c>
      <c r="F12" s="6" t="s">
        <v>5</v>
      </c>
      <c r="G12" s="8" t="s">
        <v>68</v>
      </c>
      <c r="H12" s="27" t="str">
        <f t="shared" si="9"/>
        <v>CSOP_DIDSet_FoxPiUSSDist</v>
      </c>
      <c r="I12" s="10" t="str">
        <f t="shared" si="10"/>
        <v>u16_DIDLen_FoxPiUSSDist</v>
      </c>
      <c r="J12" s="10" t="str">
        <f t="shared" si="11"/>
        <v>u16_DIDNum_FoxPiUSSDist</v>
      </c>
      <c r="K12" s="10" t="str">
        <f t="shared" si="12"/>
        <v>u8_DIDSta_FoxPiUSSDist</v>
      </c>
      <c r="L12" s="17" t="str">
        <f t="shared" si="13"/>
        <v>u8Array20_FoxPiUSSDist</v>
      </c>
      <c r="M12" s="28"/>
      <c r="N12" s="20" t="str">
        <f t="shared" si="14"/>
        <v>VHAL_DIDSetFoxPiUSSDist_raw8</v>
      </c>
      <c r="O12" s="20" t="str">
        <f t="shared" si="15"/>
        <v>VHAL_DIDStaFoxPiUSSDist_flg</v>
      </c>
    </row>
    <row r="13" spans="1:37" ht="18.75">
      <c r="A13" s="7" t="s">
        <v>95</v>
      </c>
      <c r="B13" s="8" t="s">
        <v>47</v>
      </c>
      <c r="C13" s="6" t="s">
        <v>55</v>
      </c>
      <c r="D13" s="6" t="s">
        <v>23</v>
      </c>
      <c r="E13" s="6">
        <v>2</v>
      </c>
      <c r="F13" s="6" t="s">
        <v>5</v>
      </c>
      <c r="G13" s="8" t="s">
        <v>66</v>
      </c>
      <c r="H13" s="27" t="str">
        <f t="shared" si="9"/>
        <v>CSOP_DIDSet_FoxPiUSSFaultSta</v>
      </c>
      <c r="I13" s="10" t="str">
        <f t="shared" si="10"/>
        <v>u16_DIDLen_FoxPiUSSFaultSta</v>
      </c>
      <c r="J13" s="10" t="str">
        <f t="shared" si="11"/>
        <v>u16_DIDNum_FoxPiUSSFaultSta</v>
      </c>
      <c r="K13" s="10" t="str">
        <f t="shared" si="12"/>
        <v>u8_DIDSta_FoxPiUSSFaultSta</v>
      </c>
      <c r="L13" s="17" t="str">
        <f t="shared" si="13"/>
        <v>u8Array2_FoxPiUSSFaultSta</v>
      </c>
      <c r="M13" s="28"/>
      <c r="N13" s="20" t="str">
        <f t="shared" si="14"/>
        <v>VHAL_DIDSetFoxPiUSSFaultSta_raw8</v>
      </c>
      <c r="O13" s="20" t="str">
        <f t="shared" si="15"/>
        <v>VHAL_DIDStaFoxPiUSSFaultSta_flg</v>
      </c>
    </row>
    <row r="14" spans="1:37" ht="18.75">
      <c r="A14" s="7" t="s">
        <v>96</v>
      </c>
      <c r="B14" s="8" t="s">
        <v>48</v>
      </c>
      <c r="C14" s="6" t="s">
        <v>55</v>
      </c>
      <c r="D14" s="6" t="s">
        <v>23</v>
      </c>
      <c r="E14" s="6">
        <v>1</v>
      </c>
      <c r="F14" s="6" t="s">
        <v>5</v>
      </c>
      <c r="G14" s="8" t="s">
        <v>67</v>
      </c>
      <c r="H14" s="27" t="str">
        <f t="shared" si="9"/>
        <v>CSOP_DIDSet_FoxPiPTGUSSSw</v>
      </c>
      <c r="I14" s="10" t="str">
        <f t="shared" si="10"/>
        <v>u16_DIDLen_FoxPiPTGUSSSw</v>
      </c>
      <c r="J14" s="10" t="str">
        <f t="shared" si="11"/>
        <v>u16_DIDNum_FoxPiPTGUSSSw</v>
      </c>
      <c r="K14" s="10" t="str">
        <f t="shared" si="12"/>
        <v>u8_DIDSta_FoxPiPTGUSSSw</v>
      </c>
      <c r="L14" s="17" t="str">
        <f t="shared" si="13"/>
        <v>u8_FoxPiPTGUSSSw</v>
      </c>
      <c r="M14" s="28"/>
      <c r="N14" s="20" t="str">
        <f t="shared" si="14"/>
        <v>VHAL_DIDSetFoxPiPTGUSSSw_raw8</v>
      </c>
      <c r="O14" s="20" t="str">
        <f t="shared" si="15"/>
        <v>VHAL_DIDStaFoxPiPTGUSSSw_flg</v>
      </c>
    </row>
    <row r="15" spans="1:37" ht="18.75">
      <c r="A15" s="7" t="s">
        <v>32</v>
      </c>
      <c r="B15" s="8" t="s">
        <v>49</v>
      </c>
      <c r="C15" s="6" t="s">
        <v>55</v>
      </c>
      <c r="D15" s="6" t="s">
        <v>23</v>
      </c>
      <c r="E15" s="6">
        <v>2</v>
      </c>
      <c r="F15" s="6" t="s">
        <v>5</v>
      </c>
      <c r="G15" s="8" t="s">
        <v>58</v>
      </c>
      <c r="H15" s="27" t="str">
        <f t="shared" si="9"/>
        <v>CSOP_DIDSet_FoxPiSwSta</v>
      </c>
      <c r="I15" s="10" t="str">
        <f t="shared" si="10"/>
        <v>u16_DIDLen_FoxPiSwSta</v>
      </c>
      <c r="J15" s="10" t="str">
        <f t="shared" si="11"/>
        <v>u16_DIDNum_FoxPiSwSta</v>
      </c>
      <c r="K15" s="10" t="str">
        <f t="shared" si="12"/>
        <v>u8_DIDSta_FoxPiSwSta</v>
      </c>
      <c r="L15" s="17" t="str">
        <f t="shared" si="13"/>
        <v>u8Array2_FoxPiSwSta</v>
      </c>
      <c r="M15" s="28"/>
      <c r="N15" s="20" t="str">
        <f t="shared" si="14"/>
        <v>VHAL_DIDSetFoxPiSwSta_raw8</v>
      </c>
      <c r="O15" s="20" t="str">
        <f t="shared" si="15"/>
        <v>VHAL_DIDStaFoxPiSwSta_flg</v>
      </c>
    </row>
    <row r="16" spans="1:37" ht="18.75">
      <c r="A16" s="7" t="s">
        <v>33</v>
      </c>
      <c r="B16" s="8" t="s">
        <v>50</v>
      </c>
      <c r="C16" s="6" t="s">
        <v>55</v>
      </c>
      <c r="D16" s="6" t="s">
        <v>23</v>
      </c>
      <c r="E16" s="6">
        <v>2</v>
      </c>
      <c r="F16" s="6" t="s">
        <v>5</v>
      </c>
      <c r="G16" s="8" t="s">
        <v>59</v>
      </c>
      <c r="H16" s="27" t="str">
        <f t="shared" si="9"/>
        <v>CSOP_DIDSet_FoxPiLampSta</v>
      </c>
      <c r="I16" s="10" t="str">
        <f t="shared" si="10"/>
        <v>u16_DIDLen_FoxPiLampSta</v>
      </c>
      <c r="J16" s="10" t="str">
        <f t="shared" si="11"/>
        <v>u16_DIDNum_FoxPiLampSta</v>
      </c>
      <c r="K16" s="10" t="str">
        <f t="shared" si="12"/>
        <v>u8_DIDSta_FoxPiLampSta</v>
      </c>
      <c r="L16" s="17" t="str">
        <f t="shared" si="13"/>
        <v>u8Array2_FoxPiLampSta</v>
      </c>
      <c r="M16" s="28"/>
      <c r="N16" s="20" t="str">
        <f t="shared" si="14"/>
        <v>VHAL_DIDSetFoxPiLampSta_raw8</v>
      </c>
      <c r="O16" s="20" t="str">
        <f t="shared" si="15"/>
        <v>VHAL_DIDStaFoxPiLampSta_flg</v>
      </c>
    </row>
    <row r="17" spans="1:18" ht="18.75">
      <c r="A17" s="7" t="s">
        <v>34</v>
      </c>
      <c r="B17" s="8" t="s">
        <v>51</v>
      </c>
      <c r="C17" s="6" t="s">
        <v>55</v>
      </c>
      <c r="D17" s="6" t="s">
        <v>23</v>
      </c>
      <c r="E17" s="6">
        <v>6</v>
      </c>
      <c r="F17" s="6" t="s">
        <v>11</v>
      </c>
      <c r="G17" s="8" t="s">
        <v>56</v>
      </c>
      <c r="H17" s="27" t="str">
        <f t="shared" si="9"/>
        <v>CSOP_DIDGet_FoxPiLampCtrl</v>
      </c>
      <c r="I17" s="10" t="str">
        <f t="shared" si="10"/>
        <v>u16_DIDLen_FoxPiLampCtrl</v>
      </c>
      <c r="J17" s="10" t="str">
        <f t="shared" si="11"/>
        <v>u16_DIDNum_FoxPiLampCtrl</v>
      </c>
      <c r="K17" s="10" t="str">
        <f t="shared" si="12"/>
        <v>u8_DIDSta_FoxPiLampCtrl</v>
      </c>
      <c r="M17" s="28" t="str">
        <f t="shared" ref="M17" si="16">IF((MID(D17, 5,LEN(D17)-4)/8 &lt; E17), ("u" &amp; MID(D17, 5,LEN(D17)-4) &amp; "Array" &amp; E17*8/MID(D17, 5,LEN(D17)-4) &amp; "_" &amp; G17),  ("u" &amp; MID(D17, 5,LEN(D17)-4) &amp; "_" &amp; G17))</f>
        <v>u8Array6_FoxPiLampCtrl</v>
      </c>
      <c r="O17" s="20"/>
      <c r="P17" s="10" t="str">
        <f>"VHAL_DIDGet" &amp; G18 &amp; "_raw" &amp; MID(D18, 5,LEN(D18)-4)</f>
        <v>VHAL_DIDGetFoxPiLampCtrl_raw8</v>
      </c>
      <c r="Q17" s="20" t="str">
        <f>"VHAL_DIDSta" &amp; G17 &amp; "_flg"</f>
        <v>VHAL_DIDStaFoxPiLampCtrl_flg</v>
      </c>
      <c r="R17" s="17" t="str">
        <f t="shared" ref="R17" si="17">"VHAL_DIDFlash" &amp; G17 &amp; "_raw" &amp; MID(D17, 5,LEN(D17)-4)</f>
        <v>VHAL_DIDFlashFoxPiLampCtrl_raw8</v>
      </c>
    </row>
    <row r="18" spans="1:18" ht="18.75">
      <c r="A18" s="7"/>
      <c r="B18" s="8"/>
      <c r="C18" s="6" t="s">
        <v>55</v>
      </c>
      <c r="D18" s="6" t="s">
        <v>23</v>
      </c>
      <c r="E18" s="6">
        <v>6</v>
      </c>
      <c r="F18" s="6" t="s">
        <v>5</v>
      </c>
      <c r="G18" s="8" t="s">
        <v>56</v>
      </c>
      <c r="H18" s="27" t="str">
        <f t="shared" si="9"/>
        <v>CSOP_DIDSet_FoxPiLampCtrl</v>
      </c>
      <c r="I18" s="10" t="str">
        <f t="shared" si="10"/>
        <v>u16_DIDLen_FoxPiLampCtrl</v>
      </c>
      <c r="J18" s="10" t="str">
        <f t="shared" si="11"/>
        <v>u16_DIDNum_FoxPiLampCtrl</v>
      </c>
      <c r="K18" s="10" t="str">
        <f t="shared" si="12"/>
        <v>u8_DIDSta_FoxPiLampCtrl</v>
      </c>
      <c r="L18" s="17" t="str">
        <f t="shared" si="13"/>
        <v>u8Array6_FoxPiLampCtrl</v>
      </c>
      <c r="M18" s="28"/>
      <c r="N18" s="20" t="str">
        <f t="shared" si="14"/>
        <v>VHAL_DIDSetFoxPiLampCtrl_raw8</v>
      </c>
      <c r="O18" s="20" t="str">
        <f t="shared" si="15"/>
        <v>VHAL_DIDStaFoxPiLampCtrl_flg</v>
      </c>
    </row>
    <row r="19" spans="1:18" ht="18.75">
      <c r="A19" s="7" t="s">
        <v>35</v>
      </c>
      <c r="B19" s="8" t="s">
        <v>52</v>
      </c>
      <c r="C19" s="6" t="s">
        <v>55</v>
      </c>
      <c r="D19" s="6" t="s">
        <v>23</v>
      </c>
      <c r="E19" s="6">
        <v>4</v>
      </c>
      <c r="F19" s="6" t="s">
        <v>5</v>
      </c>
      <c r="G19" s="8" t="s">
        <v>75</v>
      </c>
      <c r="H19" s="27" t="str">
        <f t="shared" si="9"/>
        <v>CSOP_DIDSet_FoxPiBattSta</v>
      </c>
      <c r="I19" s="10" t="str">
        <f t="shared" si="10"/>
        <v>u16_DIDLen_FoxPiBattSta</v>
      </c>
      <c r="J19" s="10" t="str">
        <f t="shared" si="11"/>
        <v>u16_DIDNum_FoxPiBattSta</v>
      </c>
      <c r="K19" s="10" t="str">
        <f t="shared" si="12"/>
        <v>u8_DIDSta_FoxPiBattSta</v>
      </c>
      <c r="L19" s="17" t="str">
        <f t="shared" si="13"/>
        <v>u8Array4_FoxPiBattSta</v>
      </c>
      <c r="M19" s="28"/>
      <c r="N19" s="20" t="str">
        <f t="shared" si="14"/>
        <v>VHAL_DIDSetFoxPiBattSta_raw8</v>
      </c>
      <c r="O19" s="20" t="str">
        <f t="shared" si="15"/>
        <v>VHAL_DIDStaFoxPiBattSta_flg</v>
      </c>
    </row>
    <row r="20" spans="1:18" ht="18.75">
      <c r="A20" s="7" t="s">
        <v>36</v>
      </c>
      <c r="B20" s="8" t="s">
        <v>53</v>
      </c>
      <c r="C20" s="6" t="s">
        <v>55</v>
      </c>
      <c r="D20" s="6" t="s">
        <v>23</v>
      </c>
      <c r="E20" s="6">
        <v>13</v>
      </c>
      <c r="F20" s="6" t="s">
        <v>5</v>
      </c>
      <c r="G20" s="8" t="s">
        <v>60</v>
      </c>
      <c r="H20" s="27" t="str">
        <f t="shared" si="9"/>
        <v>CSOP_DIDSet_FoxPiTPMSSta</v>
      </c>
      <c r="I20" s="10" t="str">
        <f t="shared" si="10"/>
        <v>u16_DIDLen_FoxPiTPMSSta</v>
      </c>
      <c r="J20" s="10" t="str">
        <f t="shared" si="11"/>
        <v>u16_DIDNum_FoxPiTPMSSta</v>
      </c>
      <c r="K20" s="10" t="str">
        <f t="shared" si="12"/>
        <v>u8_DIDSta_FoxPiTPMSSta</v>
      </c>
      <c r="L20" s="17" t="str">
        <f t="shared" si="13"/>
        <v>u8Array13_FoxPiTPMSSta</v>
      </c>
      <c r="M20" s="28"/>
      <c r="N20" s="20" t="str">
        <f t="shared" si="14"/>
        <v>VHAL_DIDSetFoxPiTPMSSta_raw8</v>
      </c>
      <c r="O20" s="20" t="str">
        <f t="shared" si="15"/>
        <v>VHAL_DIDStaFoxPiTPMSSta_flg</v>
      </c>
    </row>
    <row r="21" spans="1:18" ht="18.75">
      <c r="A21" s="7" t="s">
        <v>37</v>
      </c>
      <c r="B21" s="8" t="s">
        <v>62</v>
      </c>
      <c r="C21" s="6" t="s">
        <v>55</v>
      </c>
      <c r="D21" s="6" t="s">
        <v>23</v>
      </c>
      <c r="E21" s="6">
        <v>3</v>
      </c>
      <c r="F21" s="6" t="s">
        <v>5</v>
      </c>
      <c r="G21" s="8" t="s">
        <v>74</v>
      </c>
      <c r="H21" s="27" t="str">
        <f t="shared" si="9"/>
        <v>CSOP_DIDSet_FoxPiPedalPos</v>
      </c>
      <c r="I21" s="10" t="str">
        <f t="shared" si="10"/>
        <v>u16_DIDLen_FoxPiPedalPos</v>
      </c>
      <c r="J21" s="10" t="str">
        <f t="shared" si="11"/>
        <v>u16_DIDNum_FoxPiPedalPos</v>
      </c>
      <c r="K21" s="10" t="str">
        <f t="shared" si="12"/>
        <v>u8_DIDSta_FoxPiPedalPos</v>
      </c>
      <c r="L21" s="17" t="str">
        <f t="shared" si="13"/>
        <v>u8Array3_FoxPiPedalPos</v>
      </c>
      <c r="M21" s="28"/>
      <c r="N21" s="20" t="str">
        <f t="shared" si="14"/>
        <v>VHAL_DIDSetFoxPiPedalPos_raw8</v>
      </c>
      <c r="O21" s="20" t="str">
        <f t="shared" si="15"/>
        <v>VHAL_DIDStaFoxPiPedalPos_flg</v>
      </c>
    </row>
    <row r="22" spans="1:18" ht="18.75">
      <c r="A22" s="7" t="s">
        <v>38</v>
      </c>
      <c r="B22" s="8" t="s">
        <v>54</v>
      </c>
      <c r="C22" s="6" t="s">
        <v>55</v>
      </c>
      <c r="D22" s="6" t="s">
        <v>23</v>
      </c>
      <c r="E22" s="6">
        <v>11</v>
      </c>
      <c r="F22" s="6" t="s">
        <v>5</v>
      </c>
      <c r="G22" s="8" t="s">
        <v>61</v>
      </c>
      <c r="H22" s="27" t="str">
        <f t="shared" si="9"/>
        <v>CSOP_DIDSet_FoxPiMotorSta</v>
      </c>
      <c r="I22" s="10" t="str">
        <f t="shared" si="10"/>
        <v>u16_DIDLen_FoxPiMotorSta</v>
      </c>
      <c r="J22" s="10" t="str">
        <f t="shared" si="11"/>
        <v>u16_DIDNum_FoxPiMotorSta</v>
      </c>
      <c r="K22" s="10" t="str">
        <f t="shared" si="12"/>
        <v>u8_DIDSta_FoxPiMotorSta</v>
      </c>
      <c r="L22" s="17" t="str">
        <f t="shared" si="13"/>
        <v>u8Array11_FoxPiMotorSta</v>
      </c>
      <c r="M22" s="28"/>
      <c r="N22" s="20" t="str">
        <f t="shared" si="14"/>
        <v>VHAL_DIDSetFoxPiMotorSta_raw8</v>
      </c>
      <c r="O22" s="20" t="str">
        <f t="shared" si="15"/>
        <v>VHAL_DIDStaFoxPiMotorSta_flg</v>
      </c>
    </row>
    <row r="23" spans="1:18" ht="18.75">
      <c r="A23" s="7" t="s">
        <v>39</v>
      </c>
      <c r="B23" s="8" t="s">
        <v>63</v>
      </c>
      <c r="C23" s="6" t="s">
        <v>55</v>
      </c>
      <c r="D23" s="6" t="s">
        <v>23</v>
      </c>
      <c r="E23" s="6">
        <v>3</v>
      </c>
      <c r="F23" s="6" t="s">
        <v>5</v>
      </c>
      <c r="G23" s="8" t="s">
        <v>64</v>
      </c>
      <c r="H23" s="27" t="str">
        <f t="shared" si="9"/>
        <v>CSOP_DIDSet_FoxPiShifterAllow</v>
      </c>
      <c r="I23" s="10" t="str">
        <f t="shared" si="10"/>
        <v>u16_DIDLen_FoxPiShifterAllow</v>
      </c>
      <c r="J23" s="10" t="str">
        <f t="shared" si="11"/>
        <v>u16_DIDNum_FoxPiShifterAllow</v>
      </c>
      <c r="K23" s="10" t="str">
        <f t="shared" si="12"/>
        <v>u8_DIDSta_FoxPiShifterAllow</v>
      </c>
      <c r="L23" s="17" t="str">
        <f t="shared" si="13"/>
        <v>u8Array3_FoxPiShifterAllow</v>
      </c>
      <c r="M23" s="28"/>
      <c r="N23" s="20" t="str">
        <f t="shared" si="14"/>
        <v>VHAL_DIDSetFoxPiShifterAllow_raw8</v>
      </c>
      <c r="O23" s="20" t="str">
        <f t="shared" si="15"/>
        <v>VHAL_DIDStaFoxPiShifterAllow_flg</v>
      </c>
    </row>
    <row r="24" spans="1:18" ht="18.75">
      <c r="A24" s="7" t="s">
        <v>40</v>
      </c>
      <c r="B24" s="8" t="s">
        <v>57</v>
      </c>
      <c r="C24" s="6" t="s">
        <v>55</v>
      </c>
      <c r="D24" s="6" t="s">
        <v>23</v>
      </c>
      <c r="E24" s="6">
        <v>1</v>
      </c>
      <c r="F24" s="6" t="s">
        <v>11</v>
      </c>
      <c r="G24" s="8" t="s">
        <v>65</v>
      </c>
      <c r="H24" s="27" t="str">
        <f t="shared" ref="H24:H25" si="18">IF(F24="W", "CSOP_DIDGet_" &amp; G24, "CSOP_DIDSet_" &amp; G24)</f>
        <v>CSOP_DIDGet_FoxPiCtrlEnSw</v>
      </c>
      <c r="I24" s="10" t="str">
        <f t="shared" ref="I24:I25" si="19" xml:space="preserve"> "u16_DIDLen_" &amp; G24</f>
        <v>u16_DIDLen_FoxPiCtrlEnSw</v>
      </c>
      <c r="J24" s="10" t="str">
        <f t="shared" ref="J24:J25" si="20" xml:space="preserve"> "u16_DIDNum_" &amp; G24</f>
        <v>u16_DIDNum_FoxPiCtrlEnSw</v>
      </c>
      <c r="K24" s="10" t="str">
        <f t="shared" ref="K24:K25" si="21" xml:space="preserve"> "u8_DIDSta_" &amp; G24</f>
        <v>u8_DIDSta_FoxPiCtrlEnSw</v>
      </c>
      <c r="M24" s="28" t="str">
        <f t="shared" ref="M24" si="22">IF((MID(D24, 5,LEN(D24)-4)/8 &lt; E24), ("u" &amp; MID(D24, 5,LEN(D24)-4) &amp; "Array" &amp; E24*8/MID(D24, 5,LEN(D24)-4) &amp; "_" &amp; G24),  ("u" &amp; MID(D24, 5,LEN(D24)-4) &amp; "_" &amp; G24))</f>
        <v>u8_FoxPiCtrlEnSw</v>
      </c>
      <c r="O24" s="20"/>
      <c r="P24" s="10" t="str">
        <f>"VHAL_DIDGet" &amp; G25 &amp; "_raw" &amp; MID(D25, 5,LEN(D25)-4)</f>
        <v>VHAL_DIDGetFoxPiCtrlEnSw_raw8</v>
      </c>
      <c r="Q24" s="20" t="str">
        <f>"VHAL_DIDSta" &amp; G24 &amp; "_flg"</f>
        <v>VHAL_DIDStaFoxPiCtrlEnSw_flg</v>
      </c>
      <c r="R24" s="17" t="str">
        <f t="shared" ref="R24" si="23">"VHAL_DIDFlash" &amp; G24 &amp; "_raw" &amp; MID(D24, 5,LEN(D24)-4)</f>
        <v>VHAL_DIDFlashFoxPiCtrlEnSw_raw8</v>
      </c>
    </row>
    <row r="25" spans="1:18" ht="18.75">
      <c r="A25" s="7"/>
      <c r="B25" s="8"/>
      <c r="C25" s="6" t="s">
        <v>55</v>
      </c>
      <c r="D25" s="6" t="s">
        <v>23</v>
      </c>
      <c r="E25" s="6">
        <v>1</v>
      </c>
      <c r="F25" s="6" t="s">
        <v>5</v>
      </c>
      <c r="G25" s="8" t="s">
        <v>65</v>
      </c>
      <c r="H25" s="27" t="str">
        <f t="shared" si="18"/>
        <v>CSOP_DIDSet_FoxPiCtrlEnSw</v>
      </c>
      <c r="I25" s="10" t="str">
        <f t="shared" si="19"/>
        <v>u16_DIDLen_FoxPiCtrlEnSw</v>
      </c>
      <c r="J25" s="10" t="str">
        <f t="shared" si="20"/>
        <v>u16_DIDNum_FoxPiCtrlEnSw</v>
      </c>
      <c r="K25" s="10" t="str">
        <f t="shared" si="21"/>
        <v>u8_DIDSta_FoxPiCtrlEnSw</v>
      </c>
      <c r="L25" s="17" t="str">
        <f t="shared" ref="L25" si="24">IF((MID(D25, 5,LEN(D25)-4)/8 &lt; E25), ("u" &amp; MID(D25, 5,LEN(D25)-4) &amp; "Array" &amp; E25*8/MID(D25, 5,LEN(D25)-4) &amp; "_" &amp; G25),  ("u" &amp; MID(D25, 5,LEN(D25)-4) &amp; "_" &amp; G25))</f>
        <v>u8_FoxPiCtrlEnSw</v>
      </c>
      <c r="M25" s="28"/>
      <c r="N25" s="20" t="str">
        <f t="shared" ref="N25" si="25">"VHAL_DIDSet" &amp; G25 &amp; "_raw" &amp; MID(D25, 5,LEN(D25)-4)</f>
        <v>VHAL_DIDSetFoxPiCtrlEnSw_raw8</v>
      </c>
      <c r="O25" s="20" t="str">
        <f t="shared" ref="O25" si="26">"VHAL_DIDSta" &amp; G25 &amp; "_flg"</f>
        <v>VHAL_DIDStaFoxPiCtrlEnSw_flg</v>
      </c>
    </row>
    <row r="26" spans="1:18" ht="18.75">
      <c r="H26" s="27"/>
      <c r="I26" s="10"/>
      <c r="J26" s="10"/>
      <c r="K26" s="10"/>
      <c r="L26" s="17"/>
      <c r="M26" s="28"/>
      <c r="N26" s="20"/>
      <c r="O26" s="20"/>
    </row>
    <row r="27" spans="1:18" ht="18.75">
      <c r="H27" s="27"/>
      <c r="I27" s="10"/>
      <c r="J27" s="10"/>
      <c r="K27" s="10"/>
      <c r="L27" s="17"/>
      <c r="M27" s="28"/>
      <c r="N27" s="20"/>
      <c r="O27" s="20"/>
    </row>
  </sheetData>
  <phoneticPr fontId="2" type="noConversion"/>
  <conditionalFormatting sqref="A5:B25 G5:G25">
    <cfRule type="cellIs" dxfId="0" priority="2" stopIfTrue="1" operator="equal">
      <formula>"tbd"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林柏毅(Boki.BY.Lin)</dc:creator>
  <cp:lastModifiedBy>林柏毅(Boki.BY.Lin)</cp:lastModifiedBy>
  <dcterms:created xsi:type="dcterms:W3CDTF">2024-04-24T05:04:47Z</dcterms:created>
  <dcterms:modified xsi:type="dcterms:W3CDTF">2025-04-23T06:00:45Z</dcterms:modified>
</cp:coreProperties>
</file>