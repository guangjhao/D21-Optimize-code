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33\Desktop\Project\AUTOSAR\Sprint_2520-gen2\fdc-bsp-m7-autosar\app\d31hawd-fdc2\documents\"/>
    </mc:Choice>
  </mc:AlternateContent>
  <xr:revisionPtr revIDLastSave="0" documentId="13_ncr:1_{1AC08A39-4A2D-4E48-AA66-E0681D091BA8}" xr6:coauthVersionLast="47" xr6:coauthVersionMax="47" xr10:uidLastSave="{00000000-0000-0000-0000-000000000000}"/>
  <bookViews>
    <workbookView xWindow="-120" yWindow="-120" windowWidth="38640" windowHeight="15720" xr2:uid="{2334096D-C916-4ECC-A330-456E72890FD4}"/>
  </bookViews>
  <sheets>
    <sheet name="D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0" i="1" l="1"/>
  <c r="I70" i="1"/>
  <c r="J70" i="1"/>
  <c r="K70" i="1"/>
  <c r="L70" i="1"/>
  <c r="N70" i="1"/>
  <c r="O70" i="1"/>
  <c r="H71" i="1"/>
  <c r="I71" i="1"/>
  <c r="J71" i="1"/>
  <c r="K71" i="1"/>
  <c r="L71" i="1"/>
  <c r="N71" i="1"/>
  <c r="O71" i="1"/>
  <c r="H72" i="1"/>
  <c r="I72" i="1"/>
  <c r="J72" i="1"/>
  <c r="K72" i="1"/>
  <c r="L72" i="1"/>
  <c r="N72" i="1"/>
  <c r="O72" i="1"/>
  <c r="H73" i="1"/>
  <c r="I73" i="1"/>
  <c r="J73" i="1"/>
  <c r="K73" i="1"/>
  <c r="L73" i="1"/>
  <c r="N73" i="1"/>
  <c r="O73" i="1"/>
  <c r="H74" i="1"/>
  <c r="I74" i="1"/>
  <c r="J74" i="1"/>
  <c r="K74" i="1"/>
  <c r="L74" i="1"/>
  <c r="N74" i="1"/>
  <c r="O74" i="1"/>
  <c r="H75" i="1"/>
  <c r="I75" i="1"/>
  <c r="J75" i="1"/>
  <c r="K75" i="1"/>
  <c r="L75" i="1"/>
  <c r="N75" i="1"/>
  <c r="O75" i="1"/>
  <c r="H76" i="1"/>
  <c r="I76" i="1"/>
  <c r="J76" i="1"/>
  <c r="K76" i="1"/>
  <c r="L76" i="1"/>
  <c r="N76" i="1"/>
  <c r="O76" i="1"/>
  <c r="O65" i="1" l="1"/>
  <c r="N65" i="1"/>
  <c r="L65" i="1"/>
  <c r="K65" i="1"/>
  <c r="J65" i="1"/>
  <c r="I65" i="1"/>
  <c r="H65" i="1"/>
  <c r="R64" i="1"/>
  <c r="Q64" i="1"/>
  <c r="P64" i="1"/>
  <c r="M64" i="1"/>
  <c r="K64" i="1"/>
  <c r="J64" i="1"/>
  <c r="I64" i="1"/>
  <c r="H64" i="1"/>
  <c r="O60" i="1"/>
  <c r="N60" i="1"/>
  <c r="L60" i="1"/>
  <c r="K60" i="1"/>
  <c r="J60" i="1"/>
  <c r="I60" i="1"/>
  <c r="H60" i="1"/>
  <c r="O52" i="1"/>
  <c r="N52" i="1"/>
  <c r="L52" i="1"/>
  <c r="K52" i="1"/>
  <c r="J52" i="1"/>
  <c r="I52" i="1"/>
  <c r="H52" i="1"/>
  <c r="R51" i="1"/>
  <c r="Q51" i="1"/>
  <c r="P51" i="1"/>
  <c r="M51" i="1"/>
  <c r="K51" i="1"/>
  <c r="J51" i="1"/>
  <c r="I51" i="1"/>
  <c r="H51" i="1"/>
  <c r="O69" i="1"/>
  <c r="N69" i="1"/>
  <c r="L69" i="1"/>
  <c r="K69" i="1"/>
  <c r="J69" i="1"/>
  <c r="I69" i="1"/>
  <c r="H69" i="1"/>
  <c r="O68" i="1"/>
  <c r="N68" i="1"/>
  <c r="L68" i="1"/>
  <c r="K68" i="1"/>
  <c r="J68" i="1"/>
  <c r="I68" i="1"/>
  <c r="H68" i="1"/>
  <c r="O67" i="1"/>
  <c r="N67" i="1"/>
  <c r="L67" i="1"/>
  <c r="K67" i="1"/>
  <c r="J67" i="1"/>
  <c r="I67" i="1"/>
  <c r="H67" i="1"/>
  <c r="O66" i="1"/>
  <c r="N66" i="1"/>
  <c r="L66" i="1"/>
  <c r="K66" i="1"/>
  <c r="J66" i="1"/>
  <c r="I66" i="1"/>
  <c r="H66" i="1"/>
  <c r="O63" i="1"/>
  <c r="N63" i="1"/>
  <c r="L63" i="1"/>
  <c r="K63" i="1"/>
  <c r="J63" i="1"/>
  <c r="I63" i="1"/>
  <c r="H63" i="1"/>
  <c r="O62" i="1"/>
  <c r="N62" i="1"/>
  <c r="L62" i="1"/>
  <c r="K62" i="1"/>
  <c r="J62" i="1"/>
  <c r="I62" i="1"/>
  <c r="H62" i="1"/>
  <c r="O61" i="1"/>
  <c r="N61" i="1"/>
  <c r="L61" i="1"/>
  <c r="K61" i="1"/>
  <c r="J61" i="1"/>
  <c r="I61" i="1"/>
  <c r="H61" i="1"/>
  <c r="O59" i="1"/>
  <c r="N59" i="1"/>
  <c r="L59" i="1"/>
  <c r="K59" i="1"/>
  <c r="J59" i="1"/>
  <c r="I59" i="1"/>
  <c r="H59" i="1"/>
  <c r="O58" i="1"/>
  <c r="N58" i="1"/>
  <c r="L58" i="1"/>
  <c r="K58" i="1"/>
  <c r="J58" i="1"/>
  <c r="I58" i="1"/>
  <c r="H58" i="1"/>
  <c r="O57" i="1"/>
  <c r="N57" i="1"/>
  <c r="L57" i="1"/>
  <c r="K57" i="1"/>
  <c r="J57" i="1"/>
  <c r="I57" i="1"/>
  <c r="H57" i="1"/>
  <c r="O56" i="1"/>
  <c r="N56" i="1"/>
  <c r="L56" i="1"/>
  <c r="K56" i="1"/>
  <c r="J56" i="1"/>
  <c r="I56" i="1"/>
  <c r="H56" i="1"/>
  <c r="O55" i="1"/>
  <c r="N55" i="1"/>
  <c r="L55" i="1"/>
  <c r="K55" i="1"/>
  <c r="J55" i="1"/>
  <c r="I55" i="1"/>
  <c r="H55" i="1"/>
  <c r="O54" i="1"/>
  <c r="N54" i="1"/>
  <c r="L54" i="1"/>
  <c r="K54" i="1"/>
  <c r="J54" i="1"/>
  <c r="I54" i="1"/>
  <c r="H54" i="1"/>
  <c r="O53" i="1"/>
  <c r="N53" i="1"/>
  <c r="L53" i="1"/>
  <c r="K53" i="1"/>
  <c r="J53" i="1"/>
  <c r="I53" i="1"/>
  <c r="H53" i="1"/>
  <c r="O50" i="1"/>
  <c r="N50" i="1"/>
  <c r="L50" i="1"/>
  <c r="K50" i="1"/>
  <c r="J50" i="1"/>
  <c r="I50" i="1"/>
  <c r="H50" i="1"/>
  <c r="O30" i="1"/>
  <c r="N30" i="1"/>
  <c r="L30" i="1"/>
  <c r="K30" i="1"/>
  <c r="J30" i="1"/>
  <c r="I30" i="1"/>
  <c r="H30" i="1"/>
  <c r="R29" i="1"/>
  <c r="Q29" i="1"/>
  <c r="P29" i="1"/>
  <c r="M29" i="1"/>
  <c r="K29" i="1"/>
  <c r="J29" i="1"/>
  <c r="I29" i="1"/>
  <c r="H29" i="1"/>
  <c r="O28" i="1"/>
  <c r="N28" i="1"/>
  <c r="L28" i="1"/>
  <c r="K28" i="1"/>
  <c r="J28" i="1"/>
  <c r="I28" i="1"/>
  <c r="H28" i="1"/>
  <c r="R27" i="1"/>
  <c r="Q27" i="1"/>
  <c r="P27" i="1"/>
  <c r="M27" i="1"/>
  <c r="K27" i="1"/>
  <c r="J27" i="1"/>
  <c r="I27" i="1"/>
  <c r="H27" i="1"/>
  <c r="O26" i="1"/>
  <c r="N26" i="1"/>
  <c r="L26" i="1"/>
  <c r="K26" i="1"/>
  <c r="J26" i="1"/>
  <c r="I26" i="1"/>
  <c r="H26" i="1"/>
  <c r="R25" i="1"/>
  <c r="Q25" i="1"/>
  <c r="P25" i="1"/>
  <c r="M25" i="1"/>
  <c r="K25" i="1"/>
  <c r="J25" i="1"/>
  <c r="I25" i="1"/>
  <c r="H25" i="1"/>
  <c r="O10" i="1"/>
  <c r="N10" i="1"/>
  <c r="L10" i="1"/>
  <c r="K10" i="1"/>
  <c r="J10" i="1"/>
  <c r="I10" i="1"/>
  <c r="H10" i="1"/>
  <c r="O9" i="1"/>
  <c r="N9" i="1"/>
  <c r="L9" i="1"/>
  <c r="K9" i="1"/>
  <c r="J9" i="1"/>
  <c r="I9" i="1"/>
  <c r="H9" i="1"/>
  <c r="P44" i="1"/>
  <c r="P46" i="1"/>
  <c r="P48" i="1"/>
  <c r="R23" i="1"/>
  <c r="R44" i="1"/>
  <c r="R46" i="1"/>
  <c r="R48" i="1"/>
  <c r="N45" i="1"/>
  <c r="O45" i="1"/>
  <c r="N47" i="1"/>
  <c r="O47" i="1"/>
  <c r="N49" i="1"/>
  <c r="O49" i="1"/>
  <c r="N42" i="1"/>
  <c r="N43" i="1"/>
  <c r="Q46" i="1"/>
  <c r="Q48" i="1"/>
  <c r="L45" i="1"/>
  <c r="L47" i="1"/>
  <c r="L49" i="1"/>
  <c r="M44" i="1"/>
  <c r="M46" i="1"/>
  <c r="M48" i="1"/>
  <c r="K49" i="1"/>
  <c r="J49" i="1"/>
  <c r="I49" i="1"/>
  <c r="H49" i="1"/>
  <c r="K48" i="1"/>
  <c r="J48" i="1"/>
  <c r="I48" i="1"/>
  <c r="H48" i="1"/>
  <c r="K47" i="1"/>
  <c r="J47" i="1"/>
  <c r="I47" i="1"/>
  <c r="H47" i="1"/>
  <c r="K46" i="1"/>
  <c r="J46" i="1"/>
  <c r="I46" i="1"/>
  <c r="H46" i="1"/>
  <c r="K45" i="1"/>
  <c r="J45" i="1"/>
  <c r="I45" i="1"/>
  <c r="H45" i="1"/>
  <c r="H44" i="1"/>
  <c r="I44" i="1"/>
  <c r="J44" i="1"/>
  <c r="K44" i="1"/>
  <c r="Q44" i="1"/>
  <c r="R5" i="1"/>
  <c r="R7" i="1"/>
  <c r="R11" i="1"/>
  <c r="R13" i="1"/>
  <c r="R15" i="1"/>
  <c r="R17" i="1"/>
  <c r="R19" i="1"/>
  <c r="R21" i="1"/>
  <c r="R3" i="1"/>
  <c r="Q5" i="1"/>
  <c r="Q7" i="1"/>
  <c r="Q11" i="1"/>
  <c r="Q13" i="1"/>
  <c r="Q15" i="1"/>
  <c r="Q17" i="1"/>
  <c r="Q19" i="1"/>
  <c r="Q21" i="1"/>
  <c r="Q23" i="1"/>
  <c r="Q3" i="1"/>
  <c r="O4" i="1"/>
  <c r="O43" i="1"/>
  <c r="O24" i="1"/>
  <c r="O31" i="1"/>
  <c r="O32" i="1"/>
  <c r="O33" i="1"/>
  <c r="O34" i="1"/>
  <c r="O35" i="1"/>
  <c r="O36" i="1"/>
  <c r="O37" i="1"/>
  <c r="O38" i="1"/>
  <c r="O39" i="1"/>
  <c r="O40" i="1"/>
  <c r="O41" i="1"/>
  <c r="O42" i="1"/>
  <c r="O6" i="1"/>
  <c r="O8" i="1"/>
  <c r="O12" i="1"/>
  <c r="O14" i="1"/>
  <c r="O16" i="1"/>
  <c r="O18" i="1"/>
  <c r="O20" i="1"/>
  <c r="O22" i="1"/>
  <c r="N4" i="1"/>
  <c r="N6" i="1"/>
  <c r="N8" i="1"/>
  <c r="N12" i="1"/>
  <c r="N14" i="1"/>
  <c r="N16" i="1"/>
  <c r="N18" i="1"/>
  <c r="N20" i="1"/>
  <c r="N22" i="1"/>
  <c r="N24" i="1"/>
  <c r="N31" i="1"/>
  <c r="N32" i="1"/>
  <c r="N33" i="1"/>
  <c r="N34" i="1"/>
  <c r="N35" i="1"/>
  <c r="N36" i="1"/>
  <c r="N37" i="1"/>
  <c r="N38" i="1"/>
  <c r="N39" i="1"/>
  <c r="N40" i="1"/>
  <c r="N41" i="1"/>
  <c r="P3" i="1"/>
  <c r="P5" i="1"/>
  <c r="P7" i="1"/>
  <c r="P11" i="1"/>
  <c r="P13" i="1"/>
  <c r="P15" i="1"/>
  <c r="P17" i="1"/>
  <c r="P19" i="1"/>
  <c r="P21" i="1"/>
  <c r="P23" i="1"/>
  <c r="M3" i="1"/>
  <c r="H3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6" i="1"/>
  <c r="L8" i="1"/>
  <c r="L12" i="1"/>
  <c r="L14" i="1"/>
  <c r="L16" i="1"/>
  <c r="L18" i="1"/>
  <c r="L20" i="1"/>
  <c r="L22" i="1"/>
  <c r="L24" i="1"/>
  <c r="L4" i="1"/>
  <c r="M5" i="1"/>
  <c r="M7" i="1"/>
  <c r="M11" i="1"/>
  <c r="M13" i="1"/>
  <c r="M15" i="1"/>
  <c r="M17" i="1"/>
  <c r="M19" i="1"/>
  <c r="M21" i="1"/>
  <c r="M23" i="1"/>
  <c r="H4" i="1"/>
  <c r="I3" i="1"/>
  <c r="J3" i="1"/>
  <c r="K3" i="1"/>
  <c r="I4" i="1"/>
  <c r="J4" i="1"/>
  <c r="K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11" i="1"/>
  <c r="I11" i="1"/>
  <c r="J11" i="1"/>
  <c r="K11" i="1"/>
  <c r="H12" i="1"/>
  <c r="I12" i="1"/>
  <c r="J12" i="1"/>
  <c r="K12" i="1"/>
  <c r="H13" i="1"/>
  <c r="I13" i="1"/>
  <c r="J13" i="1"/>
  <c r="K13" i="1"/>
  <c r="H14" i="1"/>
  <c r="I14" i="1"/>
  <c r="J14" i="1"/>
  <c r="K14" i="1"/>
  <c r="H15" i="1"/>
  <c r="I15" i="1"/>
  <c r="J15" i="1"/>
  <c r="K15" i="1"/>
  <c r="H16" i="1"/>
  <c r="I16" i="1"/>
  <c r="J16" i="1"/>
  <c r="K16" i="1"/>
  <c r="H17" i="1"/>
  <c r="I17" i="1"/>
  <c r="J17" i="1"/>
  <c r="K17" i="1"/>
  <c r="H18" i="1"/>
  <c r="I18" i="1"/>
  <c r="J18" i="1"/>
  <c r="K18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2" i="1"/>
  <c r="K2" i="1"/>
  <c r="I2" i="1"/>
  <c r="J2" i="1"/>
</calcChain>
</file>

<file path=xl/sharedStrings.xml><?xml version="1.0" encoding="utf-8"?>
<sst xmlns="http://schemas.openxmlformats.org/spreadsheetml/2006/main" count="437" uniqueCount="204">
  <si>
    <t>0x0301</t>
    <phoneticPr fontId="2" type="noConversion"/>
  </si>
  <si>
    <t>0x0302</t>
  </si>
  <si>
    <t>TurnLampRearRightThresholdCurrent</t>
  </si>
  <si>
    <t>0x0303</t>
  </si>
  <si>
    <t>TurnLampFrontLeftThresholdCurrent</t>
  </si>
  <si>
    <t>0x0304</t>
  </si>
  <si>
    <t>TurnLampRearLeftThresholdCurrent</t>
  </si>
  <si>
    <t>0x0305</t>
  </si>
  <si>
    <t>FollowMeHomeTimer</t>
  </si>
  <si>
    <t>0x0306</t>
  </si>
  <si>
    <t>AutoLock</t>
  </si>
  <si>
    <t>0x0307</t>
  </si>
  <si>
    <t>0x0203</t>
  </si>
  <si>
    <t>Dyno mode switch</t>
  </si>
  <si>
    <t>BCM</t>
    <phoneticPr fontId="1" type="noConversion"/>
  </si>
  <si>
    <t>VCU</t>
    <phoneticPr fontId="1" type="noConversion"/>
  </si>
  <si>
    <t>TPM</t>
    <phoneticPr fontId="1" type="noConversion"/>
  </si>
  <si>
    <t>0x0B01</t>
    <phoneticPr fontId="2" type="noConversion"/>
  </si>
  <si>
    <t>0x0B02</t>
  </si>
  <si>
    <t>readRightForwardSensorID</t>
  </si>
  <si>
    <t>0x0B03</t>
  </si>
  <si>
    <t>readLeftRearSensorID</t>
  </si>
  <si>
    <t>0x0B04</t>
  </si>
  <si>
    <t>readRightRearSensorID</t>
  </si>
  <si>
    <t>0x0B05</t>
  </si>
  <si>
    <t>readWheelPressure</t>
    <phoneticPr fontId="2" type="noConversion"/>
  </si>
  <si>
    <t>0x0B06</t>
  </si>
  <si>
    <t>readWheelTemperature</t>
    <phoneticPr fontId="2" type="noConversion"/>
  </si>
  <si>
    <t>0x0B07</t>
  </si>
  <si>
    <t>readWheelSensorBatteryStatus</t>
    <phoneticPr fontId="2" type="noConversion"/>
  </si>
  <si>
    <t>0x0B08</t>
  </si>
  <si>
    <t>readLeftForwardLowPressureThreshold</t>
  </si>
  <si>
    <t>0x0B09</t>
  </si>
  <si>
    <t>readRightForwardLowPressureThreshold</t>
  </si>
  <si>
    <t>0x0B0A</t>
    <phoneticPr fontId="2" type="noConversion"/>
  </si>
  <si>
    <t>readLeftRearLowPressureThreshold</t>
  </si>
  <si>
    <t>0x0B0B</t>
    <phoneticPr fontId="2" type="noConversion"/>
  </si>
  <si>
    <t>readRightRearLowPressureThreshold</t>
  </si>
  <si>
    <t>0x0B0C</t>
    <phoneticPr fontId="2" type="noConversion"/>
  </si>
  <si>
    <t>readSensorMode</t>
    <phoneticPr fontId="2" type="noConversion"/>
  </si>
  <si>
    <t>0x0B0D</t>
    <phoneticPr fontId="2" type="noConversion"/>
  </si>
  <si>
    <t>DID Num</t>
    <phoneticPr fontId="1" type="noConversion"/>
  </si>
  <si>
    <t>DID Description</t>
    <phoneticPr fontId="1" type="noConversion"/>
  </si>
  <si>
    <t>Module</t>
    <phoneticPr fontId="1" type="noConversion"/>
  </si>
  <si>
    <t>0x0202</t>
  </si>
  <si>
    <t>0x0201</t>
    <phoneticPr fontId="2" type="noConversion"/>
  </si>
  <si>
    <t>XWD switch</t>
    <phoneticPr fontId="2" type="noConversion"/>
  </si>
  <si>
    <t>WriteRandomNumberDKC</t>
    <phoneticPr fontId="2" type="noConversion"/>
  </si>
  <si>
    <t>Size
(Bytes)</t>
    <phoneticPr fontId="2" type="noConversion"/>
  </si>
  <si>
    <t>R/W Mode</t>
    <phoneticPr fontId="2" type="noConversion"/>
  </si>
  <si>
    <t>R</t>
    <phoneticPr fontId="1" type="noConversion"/>
  </si>
  <si>
    <t>TurnLampFrontRightThresholdCurrent</t>
    <phoneticPr fontId="1" type="noConversion"/>
  </si>
  <si>
    <t>CDD Function Name</t>
    <phoneticPr fontId="1" type="noConversion"/>
  </si>
  <si>
    <t>Sub Data Name Abbr.</t>
    <phoneticPr fontId="1" type="noConversion"/>
  </si>
  <si>
    <t>DKCKey</t>
    <phoneticPr fontId="1" type="noConversion"/>
  </si>
  <si>
    <t>DynoMode</t>
  </si>
  <si>
    <t>TurnLampFRThreCurr</t>
  </si>
  <si>
    <t>TurnLampRRThreCurr</t>
    <phoneticPr fontId="1" type="noConversion"/>
  </si>
  <si>
    <t>TurnLampFLThreCurr</t>
    <phoneticPr fontId="1" type="noConversion"/>
  </si>
  <si>
    <t>TurnLampRLThreCurr</t>
    <phoneticPr fontId="1" type="noConversion"/>
  </si>
  <si>
    <t>FMHTimer</t>
    <phoneticPr fontId="1" type="noConversion"/>
  </si>
  <si>
    <t>AutoLock</t>
    <phoneticPr fontId="1" type="noConversion"/>
  </si>
  <si>
    <t>DRLDisable</t>
    <phoneticPr fontId="1" type="noConversion"/>
  </si>
  <si>
    <t>DRLDis</t>
  </si>
  <si>
    <t>readLeftForwardSensorID</t>
    <phoneticPr fontId="1" type="noConversion"/>
  </si>
  <si>
    <t>LFSensorID</t>
    <phoneticPr fontId="1" type="noConversion"/>
  </si>
  <si>
    <t>RFSensorID</t>
    <phoneticPr fontId="1" type="noConversion"/>
  </si>
  <si>
    <t>LRSensorID</t>
    <phoneticPr fontId="1" type="noConversion"/>
  </si>
  <si>
    <t>RRSensorID</t>
    <phoneticPr fontId="1" type="noConversion"/>
  </si>
  <si>
    <t>WhlPres</t>
    <phoneticPr fontId="1" type="noConversion"/>
  </si>
  <si>
    <t>WhlTmp</t>
    <phoneticPr fontId="1" type="noConversion"/>
  </si>
  <si>
    <t>WhlSensorBattSta</t>
    <phoneticPr fontId="1" type="noConversion"/>
  </si>
  <si>
    <t>LFLowPresThre</t>
    <phoneticPr fontId="1" type="noConversion"/>
  </si>
  <si>
    <t>RFLowPresThre</t>
    <phoneticPr fontId="1" type="noConversion"/>
  </si>
  <si>
    <t>LRLowPresThre</t>
    <phoneticPr fontId="1" type="noConversion"/>
  </si>
  <si>
    <t>RRLowPresThre</t>
    <phoneticPr fontId="1" type="noConversion"/>
  </si>
  <si>
    <t>readTPMSLearnStatus</t>
    <phoneticPr fontId="1" type="noConversion"/>
  </si>
  <si>
    <t>TPMSLearnSta</t>
    <phoneticPr fontId="1" type="noConversion"/>
  </si>
  <si>
    <t>XWDMode</t>
    <phoneticPr fontId="1" type="noConversion"/>
  </si>
  <si>
    <t>Input-1 Variable Name (DID Size)</t>
    <phoneticPr fontId="1" type="noConversion"/>
  </si>
  <si>
    <t>Input-2 Variable Name (DID Num)</t>
    <phoneticPr fontId="1" type="noConversion"/>
  </si>
  <si>
    <t>XXX</t>
    <phoneticPr fontId="1" type="noConversion"/>
  </si>
  <si>
    <t>W</t>
    <phoneticPr fontId="1" type="noConversion"/>
  </si>
  <si>
    <t>Output-1 Variable Name (DID State)</t>
    <phoneticPr fontId="1" type="noConversion"/>
  </si>
  <si>
    <t>Input-3 Variable Name</t>
    <phoneticPr fontId="1" type="noConversion"/>
  </si>
  <si>
    <t>Output-2 Variable Name</t>
    <phoneticPr fontId="1" type="noConversion"/>
  </si>
  <si>
    <t>(For Read Mode)</t>
    <phoneticPr fontId="1" type="noConversion"/>
  </si>
  <si>
    <t>(For Write Mode)</t>
    <phoneticPr fontId="1" type="noConversion"/>
  </si>
  <si>
    <r>
      <t>R</t>
    </r>
    <r>
      <rPr>
        <sz val="14"/>
        <color theme="1"/>
        <rFont val="細明體"/>
        <family val="1"/>
        <charset val="136"/>
      </rPr>
      <t>：</t>
    </r>
    <r>
      <rPr>
        <sz val="14"/>
        <color theme="1"/>
        <rFont val="Times New Roman"/>
        <family val="1"/>
      </rPr>
      <t>APP Set
W</t>
    </r>
    <r>
      <rPr>
        <sz val="14"/>
        <color theme="1"/>
        <rFont val="細明體"/>
        <family val="1"/>
        <charset val="136"/>
      </rPr>
      <t>：</t>
    </r>
    <r>
      <rPr>
        <sz val="14"/>
        <color theme="1"/>
        <rFont val="Times New Roman"/>
        <family val="1"/>
      </rPr>
      <t>APP Get</t>
    </r>
    <phoneticPr fontId="1" type="noConversion"/>
  </si>
  <si>
    <t>SensorMode</t>
    <phoneticPr fontId="1" type="noConversion"/>
  </si>
  <si>
    <t>HALOUT Variable Name</t>
    <phoneticPr fontId="1" type="noConversion"/>
  </si>
  <si>
    <t>HALIN Variable Name</t>
    <phoneticPr fontId="1" type="noConversion"/>
  </si>
  <si>
    <t>DynoMode</t>
    <phoneticPr fontId="1" type="noConversion"/>
  </si>
  <si>
    <t>TurnLampFRThreCurr</t>
    <phoneticPr fontId="1" type="noConversion"/>
  </si>
  <si>
    <t>DRLDis</t>
    <phoneticPr fontId="1" type="noConversion"/>
  </si>
  <si>
    <t>VHAL_DIDSetXXX_raw?</t>
    <phoneticPr fontId="1" type="noConversion"/>
  </si>
  <si>
    <t>VHAL_DIDGetXXX_raw?</t>
    <phoneticPr fontId="1" type="noConversion"/>
  </si>
  <si>
    <t>Argument
Datatype</t>
    <phoneticPr fontId="1" type="noConversion"/>
  </si>
  <si>
    <t>uint8</t>
  </si>
  <si>
    <t>uint8</t>
    <phoneticPr fontId="1" type="noConversion"/>
  </si>
  <si>
    <t>HALIN Variable Name (DID State)</t>
    <phoneticPr fontId="1" type="noConversion"/>
  </si>
  <si>
    <t>VHAL_DIDStaXXX_flg</t>
    <phoneticPr fontId="1" type="noConversion"/>
  </si>
  <si>
    <t>VHAL_DIDFlashXXX_raw?</t>
    <phoneticPr fontId="1" type="noConversion"/>
  </si>
  <si>
    <t>0x0901</t>
    <phoneticPr fontId="2" type="noConversion"/>
  </si>
  <si>
    <t>0x0902</t>
    <phoneticPr fontId="2" type="noConversion"/>
  </si>
  <si>
    <t>apsUssConfiguration</t>
    <phoneticPr fontId="1" type="noConversion"/>
  </si>
  <si>
    <t>apsVehicleTireSize</t>
    <phoneticPr fontId="1" type="noConversion"/>
  </si>
  <si>
    <t>0x0903</t>
    <phoneticPr fontId="2" type="noConversion"/>
  </si>
  <si>
    <t>apsFunctionConfiguration</t>
    <phoneticPr fontId="1" type="noConversion"/>
  </si>
  <si>
    <t>APS</t>
    <phoneticPr fontId="1" type="noConversion"/>
  </si>
  <si>
    <t>TireSize</t>
  </si>
  <si>
    <t>APSFunConfig</t>
    <phoneticPr fontId="1" type="noConversion"/>
  </si>
  <si>
    <t>USSConfig</t>
    <phoneticPr fontId="1" type="noConversion"/>
  </si>
  <si>
    <t>0x0206</t>
  </si>
  <si>
    <t>APPPedalZP</t>
  </si>
  <si>
    <t>0x0207</t>
  </si>
  <si>
    <t>NVMPedalZP</t>
  </si>
  <si>
    <t>DS File Version</t>
    <phoneticPr fontId="1" type="noConversion"/>
  </si>
  <si>
    <t>0x0308</t>
    <phoneticPr fontId="1" type="noConversion"/>
  </si>
  <si>
    <t>0x0309</t>
    <phoneticPr fontId="1" type="noConversion"/>
  </si>
  <si>
    <t>0x030A</t>
    <phoneticPr fontId="1" type="noConversion"/>
  </si>
  <si>
    <t>Auto Wiper High Speed Function Enable</t>
    <phoneticPr fontId="1" type="noConversion"/>
  </si>
  <si>
    <t>Wiper RLS Command Hold Filter</t>
    <phoneticPr fontId="1" type="noConversion"/>
  </si>
  <si>
    <t>Wiper RLS Command Cut Filter</t>
    <phoneticPr fontId="1" type="noConversion"/>
  </si>
  <si>
    <t>WipRLSCmdHoldFilter</t>
    <phoneticPr fontId="1" type="noConversion"/>
  </si>
  <si>
    <t>WipRLSCmdCutFilter</t>
    <phoneticPr fontId="1" type="noConversion"/>
  </si>
  <si>
    <t>AutoWipHSpdEN</t>
  </si>
  <si>
    <t>0xF41C</t>
    <phoneticPr fontId="2" type="noConversion"/>
  </si>
  <si>
    <t>0xF810</t>
    <phoneticPr fontId="2" type="noConversion"/>
  </si>
  <si>
    <t>Protocol Identification</t>
    <phoneticPr fontId="1" type="noConversion"/>
  </si>
  <si>
    <t>ZEV</t>
    <phoneticPr fontId="1" type="noConversion"/>
  </si>
  <si>
    <t>ProtocolId</t>
    <phoneticPr fontId="1" type="noConversion"/>
  </si>
  <si>
    <t>OBD requirements</t>
    <phoneticPr fontId="1" type="noConversion"/>
  </si>
  <si>
    <t>OBDReq</t>
    <phoneticPr fontId="1" type="noConversion"/>
  </si>
  <si>
    <t>Vehicle Speed Sensor</t>
    <phoneticPr fontId="1" type="noConversion"/>
  </si>
  <si>
    <t>Time Since Engine Start</t>
    <phoneticPr fontId="1" type="noConversion"/>
  </si>
  <si>
    <t>Distance Traveled While MIL is Activated</t>
    <phoneticPr fontId="1" type="noConversion"/>
  </si>
  <si>
    <t>Distance traveled since DTCs cleared</t>
    <phoneticPr fontId="1" type="noConversion"/>
  </si>
  <si>
    <t>Accelerator Pedal Position D</t>
    <phoneticPr fontId="1" type="noConversion"/>
  </si>
  <si>
    <t>Accelerator Pedal Position E</t>
    <phoneticPr fontId="1" type="noConversion"/>
  </si>
  <si>
    <t>Vehicle Odometer</t>
    <phoneticPr fontId="1" type="noConversion"/>
  </si>
  <si>
    <t>Number of propulsion system active trips since</t>
    <phoneticPr fontId="1" type="noConversion"/>
  </si>
  <si>
    <t>Vehicle Identification Number</t>
    <phoneticPr fontId="1" type="noConversion"/>
  </si>
  <si>
    <t>Calibration Identifications</t>
    <phoneticPr fontId="1" type="noConversion"/>
  </si>
  <si>
    <t>ECUNAME</t>
    <phoneticPr fontId="1" type="noConversion"/>
  </si>
  <si>
    <t>Positive Kinetic Energy</t>
    <phoneticPr fontId="1" type="noConversion"/>
  </si>
  <si>
    <t>Total Distance Travelled</t>
    <phoneticPr fontId="1" type="noConversion"/>
  </si>
  <si>
    <t>Total Number of Propulsion System Active Events</t>
    <phoneticPr fontId="1" type="noConversion"/>
  </si>
  <si>
    <t>TestGroup</t>
    <phoneticPr fontId="1" type="noConversion"/>
  </si>
  <si>
    <t>VSS</t>
    <phoneticPr fontId="1" type="noConversion"/>
  </si>
  <si>
    <t>RUNTM</t>
    <phoneticPr fontId="1" type="noConversion"/>
  </si>
  <si>
    <t>MILDIST</t>
    <phoneticPr fontId="1" type="noConversion"/>
  </si>
  <si>
    <t>CLRDIST</t>
    <phoneticPr fontId="1" type="noConversion"/>
  </si>
  <si>
    <t>APPD</t>
    <phoneticPr fontId="1" type="noConversion"/>
  </si>
  <si>
    <t>APPE</t>
    <phoneticPr fontId="1" type="noConversion"/>
  </si>
  <si>
    <t>ODOMETER</t>
    <phoneticPr fontId="1" type="noConversion"/>
  </si>
  <si>
    <t>NUMPSATRIPSFLTMEMCLR</t>
  </si>
  <si>
    <t>CALID</t>
    <phoneticPr fontId="1" type="noConversion"/>
  </si>
  <si>
    <t>PSA</t>
    <phoneticPr fontId="1" type="noConversion"/>
  </si>
  <si>
    <t>PKE</t>
    <phoneticPr fontId="1" type="noConversion"/>
  </si>
  <si>
    <t>CDEODT</t>
    <phoneticPr fontId="1" type="noConversion"/>
  </si>
  <si>
    <t>QTYPSATRIPS</t>
  </si>
  <si>
    <t>0xF40D</t>
    <phoneticPr fontId="2" type="noConversion"/>
  </si>
  <si>
    <t>0xF41F</t>
    <phoneticPr fontId="2" type="noConversion"/>
  </si>
  <si>
    <t>0xF421</t>
    <phoneticPr fontId="2" type="noConversion"/>
  </si>
  <si>
    <t>0xF431</t>
    <phoneticPr fontId="2" type="noConversion"/>
  </si>
  <si>
    <t>0xF449</t>
    <phoneticPr fontId="2" type="noConversion"/>
  </si>
  <si>
    <t>0xF44A</t>
    <phoneticPr fontId="2" type="noConversion"/>
  </si>
  <si>
    <t>0xF4A6</t>
    <phoneticPr fontId="2" type="noConversion"/>
  </si>
  <si>
    <t>0xF4D6</t>
    <phoneticPr fontId="2" type="noConversion"/>
  </si>
  <si>
    <t>0xF804</t>
    <phoneticPr fontId="2" type="noConversion"/>
  </si>
  <si>
    <t>0xF80A</t>
    <phoneticPr fontId="2" type="noConversion"/>
  </si>
  <si>
    <t>0xF813</t>
    <phoneticPr fontId="2" type="noConversion"/>
  </si>
  <si>
    <t>0xF819</t>
    <phoneticPr fontId="2" type="noConversion"/>
  </si>
  <si>
    <t>0xF88C</t>
    <phoneticPr fontId="2" type="noConversion"/>
  </si>
  <si>
    <t>0xF88D</t>
    <phoneticPr fontId="2" type="noConversion"/>
  </si>
  <si>
    <t>0xF896</t>
    <phoneticPr fontId="2" type="noConversion"/>
  </si>
  <si>
    <t>0xF802</t>
    <phoneticPr fontId="2" type="noConversion"/>
  </si>
  <si>
    <t>VIN</t>
    <phoneticPr fontId="1" type="noConversion"/>
  </si>
  <si>
    <t>Certification Test Group</t>
    <phoneticPr fontId="1" type="noConversion"/>
  </si>
  <si>
    <t>Vehicle Operation Data PSA</t>
    <phoneticPr fontId="1" type="noConversion"/>
  </si>
  <si>
    <t>v02.16_2025/02/17_R1</t>
    <phoneticPr fontId="1" type="noConversion"/>
  </si>
  <si>
    <t>0x0F0A</t>
    <phoneticPr fontId="2" type="noConversion"/>
  </si>
  <si>
    <t>0x0F0B</t>
    <phoneticPr fontId="2" type="noConversion"/>
  </si>
  <si>
    <t>0x0F0C</t>
    <phoneticPr fontId="2" type="noConversion"/>
  </si>
  <si>
    <t>0x0F0D</t>
    <phoneticPr fontId="2" type="noConversion"/>
  </si>
  <si>
    <t>0x0F07</t>
    <phoneticPr fontId="2" type="noConversion"/>
  </si>
  <si>
    <t>DKCStatus</t>
    <phoneticPr fontId="1" type="noConversion"/>
  </si>
  <si>
    <t>0x0F08</t>
    <phoneticPr fontId="2" type="noConversion"/>
  </si>
  <si>
    <t>DKC-BLEStatus</t>
    <phoneticPr fontId="1" type="noConversion"/>
  </si>
  <si>
    <t>0x0F09</t>
    <phoneticPr fontId="2" type="noConversion"/>
  </si>
  <si>
    <t>UWBAnchorStatus</t>
    <phoneticPr fontId="1" type="noConversion"/>
  </si>
  <si>
    <t>LID-AAnchorStatus</t>
    <phoneticPr fontId="1" type="noConversion"/>
  </si>
  <si>
    <t>DoorNFCAnchorStatus</t>
    <phoneticPr fontId="1" type="noConversion"/>
  </si>
  <si>
    <t>UIDStatus</t>
    <phoneticPr fontId="1" type="noConversion"/>
  </si>
  <si>
    <t>FD-DKC CoordinateXY</t>
    <phoneticPr fontId="1" type="noConversion"/>
  </si>
  <si>
    <t>DKC</t>
    <phoneticPr fontId="1" type="noConversion"/>
  </si>
  <si>
    <t>DKCBLESta</t>
    <phoneticPr fontId="2" type="noConversion"/>
  </si>
  <si>
    <t>DKCSta</t>
    <phoneticPr fontId="2" type="noConversion"/>
  </si>
  <si>
    <t>UIDSta</t>
  </si>
  <si>
    <t>UWBAnchorSta</t>
    <phoneticPr fontId="2" type="noConversion"/>
  </si>
  <si>
    <t>LIDAAnchorSta</t>
    <phoneticPr fontId="2" type="noConversion"/>
  </si>
  <si>
    <t>DoorNFCAnchorSta</t>
    <phoneticPr fontId="2" type="noConversion"/>
  </si>
  <si>
    <t>FDDKCCoordXY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</si>
</sst>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&quot;￥&quot;* #,##0.00_ ;_ &quot;￥&quot;* \-#,##0.00_ ;_ &quot;￥&quot;* &quot;-&quot;??_ ;_ @_ "/>
  </numFmts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宋体"/>
      <family val="3"/>
      <charset val="134"/>
    </font>
    <font>
      <sz val="12"/>
      <name val="宋体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  <font>
      <sz val="14"/>
      <color theme="1"/>
      <name val="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176" fontId="3" fillId="0" borderId="0">
      <alignment vertical="center"/>
    </xf>
  </cellStyleXfs>
  <cellXfs count="43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left" vertical="center" wrapText="1"/>
      <protection locked="0"/>
    </xf>
    <xf numFmtId="49" fontId="7" fillId="0" borderId="1" xfId="1" applyNumberFormat="1" applyFont="1" applyBorder="1" applyAlignment="1" applyProtection="1">
      <alignment horizontal="left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49" fontId="7" fillId="4" borderId="1" xfId="0" applyNumberFormat="1" applyFont="1" applyFill="1" applyBorder="1" applyAlignment="1" applyProtection="1">
      <alignment horizontal="left" vertical="center" wrapText="1"/>
      <protection locked="0"/>
    </xf>
    <xf numFmtId="0" fontId="5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49" fontId="7" fillId="4" borderId="1" xfId="0" applyNumberFormat="1" applyFont="1" applyFill="1" applyBorder="1" applyAlignment="1" applyProtection="1">
      <alignment horizontal="center" vertical="center" wrapText="1"/>
      <protection locked="0"/>
    </xf>
  </cellXfs>
  <cellStyles count="2">
    <cellStyle name="一般" xfId="0" builtinId="0"/>
    <cellStyle name="一般 10" xfId="1" xr:uid="{2686D65A-1568-4131-B532-D70941E252E9}"/>
  </cellStyles>
  <dxfs count="1">
    <dxf>
      <fill>
        <patternFill patternType="solid">
          <fgColor indexed="10"/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83326-32ED-4F0B-B334-29FB2E3906BB}">
  <dimension ref="A1:AK86"/>
  <sheetViews>
    <sheetView tabSelected="1" topLeftCell="A61" zoomScaleNormal="100" workbookViewId="0">
      <selection activeCell="B87" sqref="B87"/>
    </sheetView>
  </sheetViews>
  <sheetFormatPr defaultRowHeight="15.75"/>
  <cols>
    <col min="1" max="1" width="11.75" style="5" bestFit="1" customWidth="1"/>
    <col min="2" max="2" width="49.5" style="7" bestFit="1" customWidth="1"/>
    <col min="3" max="3" width="9.5" style="5" bestFit="1" customWidth="1"/>
    <col min="4" max="4" width="12" style="5" bestFit="1" customWidth="1"/>
    <col min="5" max="5" width="8.875" style="5" bestFit="1" customWidth="1"/>
    <col min="6" max="6" width="15.375" style="5" bestFit="1" customWidth="1"/>
    <col min="7" max="7" width="34.625" style="7" bestFit="1" customWidth="1"/>
    <col min="8" max="8" width="52" style="34" bestFit="1" customWidth="1"/>
    <col min="9" max="9" width="49.5" style="7" bestFit="1" customWidth="1"/>
    <col min="10" max="10" width="50.625" style="7" bestFit="1" customWidth="1"/>
    <col min="11" max="11" width="47.625" style="7" bestFit="1" customWidth="1"/>
    <col min="12" max="12" width="45.625" style="7" bestFit="1" customWidth="1"/>
    <col min="13" max="13" width="29.5" style="35" bestFit="1" customWidth="1"/>
    <col min="14" max="14" width="57.125" style="7" bestFit="1" customWidth="1"/>
    <col min="15" max="15" width="54.75" style="7" bestFit="1" customWidth="1"/>
    <col min="16" max="16" width="48.5" style="5" bestFit="1" customWidth="1"/>
    <col min="17" max="17" width="45.75" style="5" bestFit="1" customWidth="1"/>
    <col min="18" max="18" width="50.375" style="5" bestFit="1" customWidth="1"/>
    <col min="19" max="19" width="25" style="38" bestFit="1" customWidth="1"/>
    <col min="20" max="16384" width="9" style="5"/>
  </cols>
  <sheetData>
    <row r="1" spans="1:37" s="3" customFormat="1" ht="37.5">
      <c r="A1" s="1" t="s">
        <v>41</v>
      </c>
      <c r="B1" s="2" t="s">
        <v>42</v>
      </c>
      <c r="C1" s="1" t="s">
        <v>43</v>
      </c>
      <c r="D1" s="14" t="s">
        <v>97</v>
      </c>
      <c r="E1" s="14" t="s">
        <v>48</v>
      </c>
      <c r="F1" s="1" t="s">
        <v>49</v>
      </c>
      <c r="G1" s="20" t="s">
        <v>53</v>
      </c>
      <c r="H1" s="26" t="s">
        <v>52</v>
      </c>
      <c r="I1" s="27" t="s">
        <v>79</v>
      </c>
      <c r="J1" s="27" t="s">
        <v>80</v>
      </c>
      <c r="K1" s="27" t="s">
        <v>83</v>
      </c>
      <c r="L1" s="28" t="s">
        <v>84</v>
      </c>
      <c r="M1" s="29" t="s">
        <v>85</v>
      </c>
      <c r="N1" s="23" t="s">
        <v>90</v>
      </c>
      <c r="O1" s="27" t="s">
        <v>100</v>
      </c>
      <c r="P1" s="2" t="s">
        <v>91</v>
      </c>
      <c r="Q1" s="27" t="s">
        <v>100</v>
      </c>
      <c r="R1" s="20" t="s">
        <v>91</v>
      </c>
      <c r="S1" s="37" t="s">
        <v>117</v>
      </c>
    </row>
    <row r="2" spans="1:37" s="19" customFormat="1" ht="39">
      <c r="A2" s="16"/>
      <c r="B2" s="17"/>
      <c r="C2" s="16"/>
      <c r="D2" s="16"/>
      <c r="E2" s="18"/>
      <c r="F2" s="18" t="s">
        <v>88</v>
      </c>
      <c r="G2" s="21" t="s">
        <v>81</v>
      </c>
      <c r="H2" s="30" t="str">
        <f>IF(F2="W", "CSOP_DIDGet_" &amp; G2, "CSOP_DIDSet_" &amp; G2)</f>
        <v>CSOP_DIDSet_XXX</v>
      </c>
      <c r="I2" s="17" t="str">
        <f xml:space="preserve"> "u16_DIDLen_" &amp; G2</f>
        <v>u16_DIDLen_XXX</v>
      </c>
      <c r="J2" s="17" t="str">
        <f xml:space="preserve"> "u16_DIDNum_" &amp; G2</f>
        <v>u16_DIDNum_XXX</v>
      </c>
      <c r="K2" s="17" t="str">
        <f xml:space="preserve"> "u8_DIDSta_" &amp; G2</f>
        <v>u8_DIDSta_XXX</v>
      </c>
      <c r="L2" s="21" t="s">
        <v>86</v>
      </c>
      <c r="M2" s="31" t="s">
        <v>87</v>
      </c>
      <c r="N2" s="24" t="s">
        <v>95</v>
      </c>
      <c r="O2" s="24" t="s">
        <v>101</v>
      </c>
      <c r="P2" s="17" t="s">
        <v>96</v>
      </c>
      <c r="Q2" s="24" t="s">
        <v>101</v>
      </c>
      <c r="R2" s="21" t="s">
        <v>102</v>
      </c>
      <c r="S2" s="30" t="s">
        <v>181</v>
      </c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</row>
    <row r="3" spans="1:37" ht="18.75">
      <c r="A3" s="8" t="s">
        <v>45</v>
      </c>
      <c r="B3" s="9" t="s">
        <v>46</v>
      </c>
      <c r="C3" s="10" t="s">
        <v>15</v>
      </c>
      <c r="D3" s="10" t="s">
        <v>99</v>
      </c>
      <c r="E3" s="10">
        <v>1</v>
      </c>
      <c r="F3" s="10" t="s">
        <v>82</v>
      </c>
      <c r="G3" s="22" t="s">
        <v>78</v>
      </c>
      <c r="H3" s="32" t="str">
        <f>IF(F3="W", "CSOP_DIDGet_" &amp; G3, "CSOP_DIDSet_" &amp; G3)</f>
        <v>CSOP_DIDGet_XWDMode</v>
      </c>
      <c r="I3" s="15" t="str">
        <f t="shared" ref="I3:I44" si="0" xml:space="preserve"> "u16_DIDLen_" &amp; G3</f>
        <v>u16_DIDLen_XWDMode</v>
      </c>
      <c r="J3" s="15" t="str">
        <f t="shared" ref="J3:J44" si="1" xml:space="preserve"> "u16_DIDNum_" &amp; G3</f>
        <v>u16_DIDNum_XWDMode</v>
      </c>
      <c r="K3" s="15" t="str">
        <f t="shared" ref="K3:K44" si="2" xml:space="preserve"> "u8_DIDSta_" &amp; G3</f>
        <v>u8_DIDSta_XWDMode</v>
      </c>
      <c r="M3" s="33" t="str">
        <f>IF((MID(D3, 5,LEN(D3)-4)/8 &lt; E3), ("u" &amp; MID(D3, 5,LEN(D3)-4) &amp; "Array" &amp; E3*8/MID(D3, 5,LEN(D3)-4) &amp; "_" &amp; G3),  ("u" &amp; MID(D3, 5,LEN(D3)-4) &amp; "_" &amp; G3))</f>
        <v>u8_XWDMode</v>
      </c>
      <c r="O3" s="6"/>
      <c r="P3" s="15" t="str">
        <f>"VHAL_DIDGet" &amp; G3 &amp; "_raw" &amp; MID(D3, 5,LEN(D3)-4)</f>
        <v>VHAL_DIDGetXWDMode_raw8</v>
      </c>
      <c r="Q3" s="25" t="str">
        <f>"VHAL_DIDSta" &amp; G3 &amp; "_flg"</f>
        <v>VHAL_DIDStaXWDMode_flg</v>
      </c>
      <c r="R3" s="22" t="str">
        <f>"VHAL_DIDFlash" &amp; G3 &amp; "_raw" &amp; MID(D3, 5,LEN(D3)-4)</f>
        <v>VHAL_DIDFlashXWDMode_raw8</v>
      </c>
      <c r="S3" s="32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ht="18.75">
      <c r="A4" s="8"/>
      <c r="B4" s="9"/>
      <c r="C4" s="10" t="s">
        <v>15</v>
      </c>
      <c r="D4" s="10" t="s">
        <v>99</v>
      </c>
      <c r="E4" s="10">
        <v>1</v>
      </c>
      <c r="F4" s="10" t="s">
        <v>50</v>
      </c>
      <c r="G4" s="22" t="s">
        <v>78</v>
      </c>
      <c r="H4" s="32" t="str">
        <f>IF(F4="W", "CSOP_DIDGet_" &amp; G4, "CSOP_DIDSet_" &amp; G4)</f>
        <v>CSOP_DIDSet_XWDMode</v>
      </c>
      <c r="I4" s="15" t="str">
        <f t="shared" si="0"/>
        <v>u16_DIDLen_XWDMode</v>
      </c>
      <c r="J4" s="15" t="str">
        <f t="shared" si="1"/>
        <v>u16_DIDNum_XWDMode</v>
      </c>
      <c r="K4" s="15" t="str">
        <f t="shared" si="2"/>
        <v>u8_DIDSta_XWDMode</v>
      </c>
      <c r="L4" s="22" t="str">
        <f>IF((MID(D3, 5,LEN(D3)-4)/8 &lt; E3), ("u" &amp; MID(D3, 5,LEN(D3)-4) &amp; "Array" &amp; E3*8/MID(D3, 5,LEN(D3)-4) &amp; "_" &amp; G3),  ("u" &amp; MID(D3, 5,LEN(D3)-4) &amp; "_" &amp; G3))</f>
        <v>u8_XWDMode</v>
      </c>
      <c r="M4" s="33"/>
      <c r="N4" s="25" t="str">
        <f>"VHAL_DIDSet" &amp; G3 &amp; "_raw" &amp; MID(D3, 5,LEN(D3)-4)</f>
        <v>VHAL_DIDSetXWDMode_raw8</v>
      </c>
      <c r="O4" s="25" t="str">
        <f>"VHAL_DIDSta" &amp; G3 &amp; "_flg"</f>
        <v>VHAL_DIDStaXWDMode_flg</v>
      </c>
      <c r="P4" s="15"/>
      <c r="Q4" s="25"/>
      <c r="R4" s="22"/>
      <c r="S4" s="32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</row>
    <row r="5" spans="1:37" ht="18.75">
      <c r="A5" s="8" t="s">
        <v>44</v>
      </c>
      <c r="B5" s="9" t="s">
        <v>47</v>
      </c>
      <c r="C5" s="10" t="s">
        <v>15</v>
      </c>
      <c r="D5" s="10" t="s">
        <v>99</v>
      </c>
      <c r="E5" s="10">
        <v>8</v>
      </c>
      <c r="F5" s="10" t="s">
        <v>82</v>
      </c>
      <c r="G5" s="22" t="s">
        <v>54</v>
      </c>
      <c r="H5" s="32" t="str">
        <f t="shared" ref="H5:H44" si="3">IF(F5="W", "CSOP_DIDGet_" &amp; G5, "CSOP_DIDSet_" &amp; G5)</f>
        <v>CSOP_DIDGet_DKCKey</v>
      </c>
      <c r="I5" s="15" t="str">
        <f t="shared" si="0"/>
        <v>u16_DIDLen_DKCKey</v>
      </c>
      <c r="J5" s="15" t="str">
        <f t="shared" si="1"/>
        <v>u16_DIDNum_DKCKey</v>
      </c>
      <c r="K5" s="15" t="str">
        <f t="shared" si="2"/>
        <v>u8_DIDSta_DKCKey</v>
      </c>
      <c r="L5" s="22"/>
      <c r="M5" s="33" t="str">
        <f t="shared" ref="M5:M48" si="4">IF((MID(D5, 5,LEN(D5)-4)/8 &lt; E5), ("u" &amp; MID(D5, 5,LEN(D5)-4) &amp; "Array" &amp; E5*8/MID(D5, 5,LEN(D5)-4) &amp; "_" &amp; G5),  ("u" &amp; MID(D5, 5,LEN(D5)-4) &amp; "_" &amp; G5))</f>
        <v>u8Array8_DKCKey</v>
      </c>
      <c r="N5" s="25"/>
      <c r="O5" s="25"/>
      <c r="P5" s="15" t="str">
        <f t="shared" ref="P5:P23" si="5">"VHAL_DIDGet" &amp; G5 &amp; "_raw" &amp; MID(D5, 5,LEN(D5)-4)</f>
        <v>VHAL_DIDGetDKCKey_raw8</v>
      </c>
      <c r="Q5" s="25" t="str">
        <f>"VHAL_DIDSta" &amp; G5 &amp; "_flg"</f>
        <v>VHAL_DIDStaDKCKey_flg</v>
      </c>
      <c r="R5" s="22" t="str">
        <f t="shared" ref="R5:R48" si="6">"VHAL_DIDFlash" &amp; G5 &amp; "_raw" &amp; MID(D5, 5,LEN(D5)-4)</f>
        <v>VHAL_DIDFlashDKCKey_raw8</v>
      </c>
      <c r="S5" s="32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</row>
    <row r="6" spans="1:37" ht="18.75">
      <c r="A6" s="8"/>
      <c r="B6" s="9"/>
      <c r="C6" s="10" t="s">
        <v>15</v>
      </c>
      <c r="D6" s="10" t="s">
        <v>99</v>
      </c>
      <c r="E6" s="10">
        <v>8</v>
      </c>
      <c r="F6" s="10" t="s">
        <v>50</v>
      </c>
      <c r="G6" s="22" t="s">
        <v>54</v>
      </c>
      <c r="H6" s="32" t="str">
        <f t="shared" si="3"/>
        <v>CSOP_DIDSet_DKCKey</v>
      </c>
      <c r="I6" s="15" t="str">
        <f t="shared" si="0"/>
        <v>u16_DIDLen_DKCKey</v>
      </c>
      <c r="J6" s="15" t="str">
        <f t="shared" si="1"/>
        <v>u16_DIDNum_DKCKey</v>
      </c>
      <c r="K6" s="15" t="str">
        <f t="shared" si="2"/>
        <v>u8_DIDSta_DKCKey</v>
      </c>
      <c r="L6" s="22" t="str">
        <f>IF((MID(D5, 5,LEN(D5)-4)/8 &lt; E5), ("u" &amp; MID(D5, 5,LEN(D5)-4) &amp; "Array" &amp; E5*8/MID(D5, 5,LEN(D5)-4) &amp; "_" &amp; G5),  ("u" &amp; MID(D5, 5,LEN(D5)-4) &amp; "_" &amp; G5))</f>
        <v>u8Array8_DKCKey</v>
      </c>
      <c r="M6" s="33"/>
      <c r="N6" s="25" t="str">
        <f>"VHAL_DIDSet" &amp; G5 &amp; "_raw" &amp; MID(D5, 5,LEN(D5)-4)</f>
        <v>VHAL_DIDSetDKCKey_raw8</v>
      </c>
      <c r="O6" s="25" t="str">
        <f t="shared" ref="O6:O22" si="7">"VHAL_DIDSta" &amp; G5 &amp; "_flg"</f>
        <v>VHAL_DIDStaDKCKey_flg</v>
      </c>
      <c r="P6" s="15"/>
      <c r="Q6" s="25"/>
      <c r="R6" s="22"/>
      <c r="S6" s="32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</row>
    <row r="7" spans="1:37" ht="18.75">
      <c r="A7" s="8" t="s">
        <v>12</v>
      </c>
      <c r="B7" s="9" t="s">
        <v>13</v>
      </c>
      <c r="C7" s="10" t="s">
        <v>15</v>
      </c>
      <c r="D7" s="10" t="s">
        <v>99</v>
      </c>
      <c r="E7" s="10">
        <v>1</v>
      </c>
      <c r="F7" s="10" t="s">
        <v>82</v>
      </c>
      <c r="G7" s="22" t="s">
        <v>92</v>
      </c>
      <c r="H7" s="32" t="str">
        <f t="shared" si="3"/>
        <v>CSOP_DIDGet_DynoMode</v>
      </c>
      <c r="I7" s="15" t="str">
        <f t="shared" si="0"/>
        <v>u16_DIDLen_DynoMode</v>
      </c>
      <c r="J7" s="15" t="str">
        <f t="shared" si="1"/>
        <v>u16_DIDNum_DynoMode</v>
      </c>
      <c r="K7" s="15" t="str">
        <f t="shared" si="2"/>
        <v>u8_DIDSta_DynoMode</v>
      </c>
      <c r="L7" s="22"/>
      <c r="M7" s="33" t="str">
        <f t="shared" si="4"/>
        <v>u8_DynoMode</v>
      </c>
      <c r="N7" s="25"/>
      <c r="O7" s="25"/>
      <c r="P7" s="15" t="str">
        <f t="shared" si="5"/>
        <v>VHAL_DIDGetDynoMode_raw8</v>
      </c>
      <c r="Q7" s="25" t="str">
        <f t="shared" ref="Q7:Q23" si="8">"VHAL_DIDSta" &amp; G7 &amp; "_flg"</f>
        <v>VHAL_DIDStaDynoMode_flg</v>
      </c>
      <c r="R7" s="22" t="str">
        <f t="shared" si="6"/>
        <v>VHAL_DIDFlashDynoMode_raw8</v>
      </c>
      <c r="S7" s="32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</row>
    <row r="8" spans="1:37" ht="18.75">
      <c r="A8" s="8"/>
      <c r="B8" s="9"/>
      <c r="C8" s="10" t="s">
        <v>15</v>
      </c>
      <c r="D8" s="10" t="s">
        <v>99</v>
      </c>
      <c r="E8" s="10">
        <v>1</v>
      </c>
      <c r="F8" s="10" t="s">
        <v>50</v>
      </c>
      <c r="G8" s="22" t="s">
        <v>55</v>
      </c>
      <c r="H8" s="32" t="str">
        <f t="shared" si="3"/>
        <v>CSOP_DIDSet_DynoMode</v>
      </c>
      <c r="I8" s="15" t="str">
        <f t="shared" si="0"/>
        <v>u16_DIDLen_DynoMode</v>
      </c>
      <c r="J8" s="15" t="str">
        <f t="shared" si="1"/>
        <v>u16_DIDNum_DynoMode</v>
      </c>
      <c r="K8" s="15" t="str">
        <f t="shared" si="2"/>
        <v>u8_DIDSta_DynoMode</v>
      </c>
      <c r="L8" s="22" t="str">
        <f>IF((MID(D7, 5,LEN(D7)-4)/8 &lt; E7), ("u" &amp; MID(D7, 5,LEN(D7)-4) &amp; "Array" &amp; E7*8/MID(D7, 5,LEN(D7)-4) &amp; "_" &amp; G7),  ("u" &amp; MID(D7, 5,LEN(D7)-4) &amp; "_" &amp; G7))</f>
        <v>u8_DynoMode</v>
      </c>
      <c r="M8" s="33"/>
      <c r="N8" s="25" t="str">
        <f>"VHAL_DIDSet" &amp; G7 &amp; "_raw" &amp; MID(D7, 5,LEN(D7)-4)</f>
        <v>VHAL_DIDSetDynoMode_raw8</v>
      </c>
      <c r="O8" s="25" t="str">
        <f t="shared" si="7"/>
        <v>VHAL_DIDStaDynoMode_flg</v>
      </c>
      <c r="P8" s="15"/>
      <c r="Q8" s="25"/>
      <c r="R8" s="22"/>
      <c r="S8" s="32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</row>
    <row r="9" spans="1:37" ht="18.75">
      <c r="A9" s="8" t="s">
        <v>113</v>
      </c>
      <c r="B9" s="9" t="s">
        <v>114</v>
      </c>
      <c r="C9" s="10" t="s">
        <v>15</v>
      </c>
      <c r="D9" s="10" t="s">
        <v>99</v>
      </c>
      <c r="E9" s="10">
        <v>3</v>
      </c>
      <c r="F9" s="10" t="s">
        <v>50</v>
      </c>
      <c r="G9" s="9" t="s">
        <v>114</v>
      </c>
      <c r="H9" s="32" t="str">
        <f t="shared" ref="H9:H10" si="9">IF(F9="W", "CSOP_DIDGet_" &amp; G9, "CSOP_DIDSet_" &amp; G9)</f>
        <v>CSOP_DIDSet_APPPedalZP</v>
      </c>
      <c r="I9" s="15" t="str">
        <f t="shared" ref="I9:I10" si="10" xml:space="preserve"> "u16_DIDLen_" &amp; G9</f>
        <v>u16_DIDLen_APPPedalZP</v>
      </c>
      <c r="J9" s="15" t="str">
        <f t="shared" ref="J9:J10" si="11" xml:space="preserve"> "u16_DIDNum_" &amp; G9</f>
        <v>u16_DIDNum_APPPedalZP</v>
      </c>
      <c r="K9" s="15" t="str">
        <f t="shared" ref="K9:K10" si="12" xml:space="preserve"> "u8_DIDSta_" &amp; G9</f>
        <v>u8_DIDSta_APPPedalZP</v>
      </c>
      <c r="L9" s="22" t="str">
        <f>IF((MID(D9, 5,LEN(D9)-4)/8 &lt; E9), ("u" &amp; MID(D9, 5,LEN(D9)-4) &amp; "Array" &amp; E9*8/MID(D9, 5,LEN(D9)-4) &amp; "_" &amp; G9),  ("u" &amp; MID(D9, 5,LEN(D9)-4) &amp; "_" &amp; G9))</f>
        <v>u8Array3_APPPedalZP</v>
      </c>
      <c r="M9" s="33"/>
      <c r="N9" s="25" t="str">
        <f t="shared" ref="N9:N10" si="13">"VHAL_DIDSet" &amp; G9 &amp; "_raw" &amp; MID(D9, 5,LEN(D9)-4)</f>
        <v>VHAL_DIDSetAPPPedalZP_raw8</v>
      </c>
      <c r="O9" s="25" t="str">
        <f t="shared" ref="O9:O10" si="14">"VHAL_DIDSta" &amp; G9 &amp; "_flg"</f>
        <v>VHAL_DIDStaAPPPedalZP_flg</v>
      </c>
      <c r="P9" s="15"/>
      <c r="Q9" s="25"/>
      <c r="R9" s="22"/>
      <c r="S9" s="32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</row>
    <row r="10" spans="1:37" ht="18.75">
      <c r="A10" s="8" t="s">
        <v>115</v>
      </c>
      <c r="B10" s="9" t="s">
        <v>116</v>
      </c>
      <c r="C10" s="10" t="s">
        <v>15</v>
      </c>
      <c r="D10" s="10" t="s">
        <v>99</v>
      </c>
      <c r="E10" s="10">
        <v>3</v>
      </c>
      <c r="F10" s="10" t="s">
        <v>50</v>
      </c>
      <c r="G10" s="9" t="s">
        <v>116</v>
      </c>
      <c r="H10" s="32" t="str">
        <f t="shared" si="9"/>
        <v>CSOP_DIDSet_NVMPedalZP</v>
      </c>
      <c r="I10" s="15" t="str">
        <f t="shared" si="10"/>
        <v>u16_DIDLen_NVMPedalZP</v>
      </c>
      <c r="J10" s="15" t="str">
        <f t="shared" si="11"/>
        <v>u16_DIDNum_NVMPedalZP</v>
      </c>
      <c r="K10" s="15" t="str">
        <f t="shared" si="12"/>
        <v>u8_DIDSta_NVMPedalZP</v>
      </c>
      <c r="L10" s="22" t="str">
        <f>IF((MID(D10, 5,LEN(D10)-4)/8 &lt; E10), ("u" &amp; MID(D10, 5,LEN(D10)-4) &amp; "Array" &amp; E10*8/MID(D10, 5,LEN(D10)-4) &amp; "_" &amp; G10),  ("u" &amp; MID(D10, 5,LEN(D10)-4) &amp; "_" &amp; G10))</f>
        <v>u8Array3_NVMPedalZP</v>
      </c>
      <c r="M10" s="33"/>
      <c r="N10" s="25" t="str">
        <f t="shared" si="13"/>
        <v>VHAL_DIDSetNVMPedalZP_raw8</v>
      </c>
      <c r="O10" s="25" t="str">
        <f t="shared" si="14"/>
        <v>VHAL_DIDStaNVMPedalZP_flg</v>
      </c>
      <c r="P10" s="15"/>
      <c r="Q10" s="25"/>
      <c r="R10" s="22"/>
      <c r="S10" s="32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</row>
    <row r="11" spans="1:37" ht="18.75">
      <c r="A11" s="11" t="s">
        <v>0</v>
      </c>
      <c r="B11" s="12" t="s">
        <v>51</v>
      </c>
      <c r="C11" s="10" t="s">
        <v>14</v>
      </c>
      <c r="D11" s="10" t="s">
        <v>99</v>
      </c>
      <c r="E11" s="10">
        <v>1</v>
      </c>
      <c r="F11" s="10" t="s">
        <v>82</v>
      </c>
      <c r="G11" s="22" t="s">
        <v>93</v>
      </c>
      <c r="H11" s="32" t="str">
        <f t="shared" si="3"/>
        <v>CSOP_DIDGet_TurnLampFRThreCurr</v>
      </c>
      <c r="I11" s="15" t="str">
        <f t="shared" si="0"/>
        <v>u16_DIDLen_TurnLampFRThreCurr</v>
      </c>
      <c r="J11" s="15" t="str">
        <f t="shared" si="1"/>
        <v>u16_DIDNum_TurnLampFRThreCurr</v>
      </c>
      <c r="K11" s="15" t="str">
        <f t="shared" si="2"/>
        <v>u8_DIDSta_TurnLampFRThreCurr</v>
      </c>
      <c r="L11" s="22"/>
      <c r="M11" s="33" t="str">
        <f t="shared" si="4"/>
        <v>u8_TurnLampFRThreCurr</v>
      </c>
      <c r="N11" s="25"/>
      <c r="O11" s="25"/>
      <c r="P11" s="15" t="str">
        <f t="shared" si="5"/>
        <v>VHAL_DIDGetTurnLampFRThreCurr_raw8</v>
      </c>
      <c r="Q11" s="25" t="str">
        <f t="shared" si="8"/>
        <v>VHAL_DIDStaTurnLampFRThreCurr_flg</v>
      </c>
      <c r="R11" s="22" t="str">
        <f t="shared" si="6"/>
        <v>VHAL_DIDFlashTurnLampFRThreCurr_raw8</v>
      </c>
      <c r="S11" s="32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</row>
    <row r="12" spans="1:37" ht="18.75">
      <c r="A12" s="11"/>
      <c r="B12" s="12"/>
      <c r="C12" s="10" t="s">
        <v>14</v>
      </c>
      <c r="D12" s="10" t="s">
        <v>99</v>
      </c>
      <c r="E12" s="10">
        <v>1</v>
      </c>
      <c r="F12" s="10" t="s">
        <v>50</v>
      </c>
      <c r="G12" s="22" t="s">
        <v>56</v>
      </c>
      <c r="H12" s="32" t="str">
        <f t="shared" si="3"/>
        <v>CSOP_DIDSet_TurnLampFRThreCurr</v>
      </c>
      <c r="I12" s="15" t="str">
        <f t="shared" si="0"/>
        <v>u16_DIDLen_TurnLampFRThreCurr</v>
      </c>
      <c r="J12" s="15" t="str">
        <f t="shared" si="1"/>
        <v>u16_DIDNum_TurnLampFRThreCurr</v>
      </c>
      <c r="K12" s="15" t="str">
        <f t="shared" si="2"/>
        <v>u8_DIDSta_TurnLampFRThreCurr</v>
      </c>
      <c r="L12" s="22" t="str">
        <f>IF((MID(D11, 5,LEN(D11)-4)/8 &lt; E11), ("u" &amp; MID(D11, 5,LEN(D11)-4) &amp; "Array" &amp; E11*8/MID(D11, 5,LEN(D11)-4) &amp; "_" &amp; G11),  ("u" &amp; MID(D11, 5,LEN(D11)-4) &amp; "_" &amp; G11))</f>
        <v>u8_TurnLampFRThreCurr</v>
      </c>
      <c r="M12" s="33"/>
      <c r="N12" s="25" t="str">
        <f>"VHAL_DIDSet" &amp; G11 &amp; "_raw" &amp; MID(D11, 5,LEN(D11)-4)</f>
        <v>VHAL_DIDSetTurnLampFRThreCurr_raw8</v>
      </c>
      <c r="O12" s="25" t="str">
        <f t="shared" si="7"/>
        <v>VHAL_DIDStaTurnLampFRThreCurr_flg</v>
      </c>
      <c r="P12" s="15"/>
      <c r="Q12" s="25"/>
      <c r="R12" s="22"/>
      <c r="S12" s="32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</row>
    <row r="13" spans="1:37" ht="18.75">
      <c r="A13" s="11" t="s">
        <v>1</v>
      </c>
      <c r="B13" s="12" t="s">
        <v>2</v>
      </c>
      <c r="C13" s="10" t="s">
        <v>14</v>
      </c>
      <c r="D13" s="10" t="s">
        <v>99</v>
      </c>
      <c r="E13" s="10">
        <v>1</v>
      </c>
      <c r="F13" s="10" t="s">
        <v>82</v>
      </c>
      <c r="G13" s="22" t="s">
        <v>57</v>
      </c>
      <c r="H13" s="32" t="str">
        <f t="shared" si="3"/>
        <v>CSOP_DIDGet_TurnLampRRThreCurr</v>
      </c>
      <c r="I13" s="15" t="str">
        <f t="shared" si="0"/>
        <v>u16_DIDLen_TurnLampRRThreCurr</v>
      </c>
      <c r="J13" s="15" t="str">
        <f t="shared" si="1"/>
        <v>u16_DIDNum_TurnLampRRThreCurr</v>
      </c>
      <c r="K13" s="15" t="str">
        <f t="shared" si="2"/>
        <v>u8_DIDSta_TurnLampRRThreCurr</v>
      </c>
      <c r="L13" s="22"/>
      <c r="M13" s="33" t="str">
        <f t="shared" si="4"/>
        <v>u8_TurnLampRRThreCurr</v>
      </c>
      <c r="N13" s="25"/>
      <c r="O13" s="25"/>
      <c r="P13" s="15" t="str">
        <f t="shared" si="5"/>
        <v>VHAL_DIDGetTurnLampRRThreCurr_raw8</v>
      </c>
      <c r="Q13" s="25" t="str">
        <f t="shared" si="8"/>
        <v>VHAL_DIDStaTurnLampRRThreCurr_flg</v>
      </c>
      <c r="R13" s="22" t="str">
        <f t="shared" si="6"/>
        <v>VHAL_DIDFlashTurnLampRRThreCurr_raw8</v>
      </c>
      <c r="S13" s="32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</row>
    <row r="14" spans="1:37" ht="18.75">
      <c r="A14" s="11"/>
      <c r="B14" s="12"/>
      <c r="C14" s="10" t="s">
        <v>14</v>
      </c>
      <c r="D14" s="10" t="s">
        <v>99</v>
      </c>
      <c r="E14" s="10">
        <v>1</v>
      </c>
      <c r="F14" s="10" t="s">
        <v>50</v>
      </c>
      <c r="G14" s="22" t="s">
        <v>57</v>
      </c>
      <c r="H14" s="32" t="str">
        <f t="shared" si="3"/>
        <v>CSOP_DIDSet_TurnLampRRThreCurr</v>
      </c>
      <c r="I14" s="15" t="str">
        <f t="shared" si="0"/>
        <v>u16_DIDLen_TurnLampRRThreCurr</v>
      </c>
      <c r="J14" s="15" t="str">
        <f t="shared" si="1"/>
        <v>u16_DIDNum_TurnLampRRThreCurr</v>
      </c>
      <c r="K14" s="15" t="str">
        <f t="shared" si="2"/>
        <v>u8_DIDSta_TurnLampRRThreCurr</v>
      </c>
      <c r="L14" s="22" t="str">
        <f>IF((MID(D13, 5,LEN(D13)-4)/8 &lt; E13), ("u" &amp; MID(D13, 5,LEN(D13)-4) &amp; "Array" &amp; E13*8/MID(D13, 5,LEN(D13)-4) &amp; "_" &amp; G13),  ("u" &amp; MID(D13, 5,LEN(D13)-4) &amp; "_" &amp; G13))</f>
        <v>u8_TurnLampRRThreCurr</v>
      </c>
      <c r="M14" s="33"/>
      <c r="N14" s="25" t="str">
        <f>"VHAL_DIDSet" &amp; G13 &amp; "_raw" &amp; MID(D13, 5,LEN(D13)-4)</f>
        <v>VHAL_DIDSetTurnLampRRThreCurr_raw8</v>
      </c>
      <c r="O14" s="25" t="str">
        <f t="shared" si="7"/>
        <v>VHAL_DIDStaTurnLampRRThreCurr_flg</v>
      </c>
      <c r="P14" s="15"/>
      <c r="Q14" s="25"/>
      <c r="R14" s="22"/>
      <c r="S14" s="32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</row>
    <row r="15" spans="1:37" ht="18.75">
      <c r="A15" s="11" t="s">
        <v>3</v>
      </c>
      <c r="B15" s="12" t="s">
        <v>4</v>
      </c>
      <c r="C15" s="10" t="s">
        <v>14</v>
      </c>
      <c r="D15" s="10" t="s">
        <v>99</v>
      </c>
      <c r="E15" s="10">
        <v>1</v>
      </c>
      <c r="F15" s="10" t="s">
        <v>82</v>
      </c>
      <c r="G15" s="22" t="s">
        <v>58</v>
      </c>
      <c r="H15" s="32" t="str">
        <f t="shared" si="3"/>
        <v>CSOP_DIDGet_TurnLampFLThreCurr</v>
      </c>
      <c r="I15" s="15" t="str">
        <f t="shared" si="0"/>
        <v>u16_DIDLen_TurnLampFLThreCurr</v>
      </c>
      <c r="J15" s="15" t="str">
        <f t="shared" si="1"/>
        <v>u16_DIDNum_TurnLampFLThreCurr</v>
      </c>
      <c r="K15" s="15" t="str">
        <f t="shared" si="2"/>
        <v>u8_DIDSta_TurnLampFLThreCurr</v>
      </c>
      <c r="L15" s="22"/>
      <c r="M15" s="33" t="str">
        <f t="shared" si="4"/>
        <v>u8_TurnLampFLThreCurr</v>
      </c>
      <c r="N15" s="25"/>
      <c r="O15" s="25"/>
      <c r="P15" s="15" t="str">
        <f t="shared" si="5"/>
        <v>VHAL_DIDGetTurnLampFLThreCurr_raw8</v>
      </c>
      <c r="Q15" s="25" t="str">
        <f t="shared" si="8"/>
        <v>VHAL_DIDStaTurnLampFLThreCurr_flg</v>
      </c>
      <c r="R15" s="22" t="str">
        <f t="shared" si="6"/>
        <v>VHAL_DIDFlashTurnLampFLThreCurr_raw8</v>
      </c>
      <c r="S15" s="32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</row>
    <row r="16" spans="1:37" ht="18.75">
      <c r="A16" s="11"/>
      <c r="B16" s="12"/>
      <c r="C16" s="10" t="s">
        <v>14</v>
      </c>
      <c r="D16" s="10" t="s">
        <v>99</v>
      </c>
      <c r="E16" s="10">
        <v>1</v>
      </c>
      <c r="F16" s="10" t="s">
        <v>50</v>
      </c>
      <c r="G16" s="22" t="s">
        <v>58</v>
      </c>
      <c r="H16" s="32" t="str">
        <f t="shared" si="3"/>
        <v>CSOP_DIDSet_TurnLampFLThreCurr</v>
      </c>
      <c r="I16" s="15" t="str">
        <f t="shared" si="0"/>
        <v>u16_DIDLen_TurnLampFLThreCurr</v>
      </c>
      <c r="J16" s="15" t="str">
        <f t="shared" si="1"/>
        <v>u16_DIDNum_TurnLampFLThreCurr</v>
      </c>
      <c r="K16" s="15" t="str">
        <f t="shared" si="2"/>
        <v>u8_DIDSta_TurnLampFLThreCurr</v>
      </c>
      <c r="L16" s="22" t="str">
        <f>IF((MID(D15, 5,LEN(D15)-4)/8 &lt; E15), ("u" &amp; MID(D15, 5,LEN(D15)-4) &amp; "Array" &amp; E15*8/MID(D15, 5,LEN(D15)-4) &amp; "_" &amp; G15),  ("u" &amp; MID(D15, 5,LEN(D15)-4) &amp; "_" &amp; G15))</f>
        <v>u8_TurnLampFLThreCurr</v>
      </c>
      <c r="M16" s="33"/>
      <c r="N16" s="25" t="str">
        <f>"VHAL_DIDSet" &amp; G15 &amp; "_raw" &amp; MID(D15, 5,LEN(D15)-4)</f>
        <v>VHAL_DIDSetTurnLampFLThreCurr_raw8</v>
      </c>
      <c r="O16" s="25" t="str">
        <f t="shared" si="7"/>
        <v>VHAL_DIDStaTurnLampFLThreCurr_flg</v>
      </c>
      <c r="P16" s="15"/>
      <c r="Q16" s="25"/>
      <c r="R16" s="22"/>
      <c r="S16" s="32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</row>
    <row r="17" spans="1:37" ht="18.75">
      <c r="A17" s="11" t="s">
        <v>5</v>
      </c>
      <c r="B17" s="12" t="s">
        <v>6</v>
      </c>
      <c r="C17" s="10" t="s">
        <v>14</v>
      </c>
      <c r="D17" s="10" t="s">
        <v>99</v>
      </c>
      <c r="E17" s="10">
        <v>1</v>
      </c>
      <c r="F17" s="10" t="s">
        <v>82</v>
      </c>
      <c r="G17" s="22" t="s">
        <v>59</v>
      </c>
      <c r="H17" s="32" t="str">
        <f t="shared" si="3"/>
        <v>CSOP_DIDGet_TurnLampRLThreCurr</v>
      </c>
      <c r="I17" s="15" t="str">
        <f t="shared" si="0"/>
        <v>u16_DIDLen_TurnLampRLThreCurr</v>
      </c>
      <c r="J17" s="15" t="str">
        <f t="shared" si="1"/>
        <v>u16_DIDNum_TurnLampRLThreCurr</v>
      </c>
      <c r="K17" s="15" t="str">
        <f t="shared" si="2"/>
        <v>u8_DIDSta_TurnLampRLThreCurr</v>
      </c>
      <c r="L17" s="22"/>
      <c r="M17" s="33" t="str">
        <f t="shared" si="4"/>
        <v>u8_TurnLampRLThreCurr</v>
      </c>
      <c r="N17" s="25"/>
      <c r="O17" s="25"/>
      <c r="P17" s="15" t="str">
        <f t="shared" si="5"/>
        <v>VHAL_DIDGetTurnLampRLThreCurr_raw8</v>
      </c>
      <c r="Q17" s="25" t="str">
        <f t="shared" si="8"/>
        <v>VHAL_DIDStaTurnLampRLThreCurr_flg</v>
      </c>
      <c r="R17" s="22" t="str">
        <f t="shared" si="6"/>
        <v>VHAL_DIDFlashTurnLampRLThreCurr_raw8</v>
      </c>
      <c r="S17" s="32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</row>
    <row r="18" spans="1:37" ht="18.75">
      <c r="A18" s="11"/>
      <c r="B18" s="12"/>
      <c r="C18" s="10" t="s">
        <v>14</v>
      </c>
      <c r="D18" s="10" t="s">
        <v>99</v>
      </c>
      <c r="E18" s="10">
        <v>1</v>
      </c>
      <c r="F18" s="10" t="s">
        <v>50</v>
      </c>
      <c r="G18" s="22" t="s">
        <v>59</v>
      </c>
      <c r="H18" s="32" t="str">
        <f t="shared" si="3"/>
        <v>CSOP_DIDSet_TurnLampRLThreCurr</v>
      </c>
      <c r="I18" s="15" t="str">
        <f t="shared" si="0"/>
        <v>u16_DIDLen_TurnLampRLThreCurr</v>
      </c>
      <c r="J18" s="15" t="str">
        <f t="shared" si="1"/>
        <v>u16_DIDNum_TurnLampRLThreCurr</v>
      </c>
      <c r="K18" s="15" t="str">
        <f t="shared" si="2"/>
        <v>u8_DIDSta_TurnLampRLThreCurr</v>
      </c>
      <c r="L18" s="22" t="str">
        <f>IF((MID(D17, 5,LEN(D17)-4)/8 &lt; E17), ("u" &amp; MID(D17, 5,LEN(D17)-4) &amp; "Array" &amp; E17*8/MID(D17, 5,LEN(D17)-4) &amp; "_" &amp; G17),  ("u" &amp; MID(D17, 5,LEN(D17)-4) &amp; "_" &amp; G17))</f>
        <v>u8_TurnLampRLThreCurr</v>
      </c>
      <c r="M18" s="33"/>
      <c r="N18" s="25" t="str">
        <f>"VHAL_DIDSet" &amp; G17 &amp; "_raw" &amp; MID(D17, 5,LEN(D17)-4)</f>
        <v>VHAL_DIDSetTurnLampRLThreCurr_raw8</v>
      </c>
      <c r="O18" s="25" t="str">
        <f t="shared" si="7"/>
        <v>VHAL_DIDStaTurnLampRLThreCurr_flg</v>
      </c>
      <c r="P18" s="15"/>
      <c r="Q18" s="25"/>
      <c r="R18" s="22"/>
      <c r="S18" s="32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</row>
    <row r="19" spans="1:37" ht="18.75">
      <c r="A19" s="11" t="s">
        <v>7</v>
      </c>
      <c r="B19" s="12" t="s">
        <v>8</v>
      </c>
      <c r="C19" s="10" t="s">
        <v>14</v>
      </c>
      <c r="D19" s="10" t="s">
        <v>99</v>
      </c>
      <c r="E19" s="10">
        <v>1</v>
      </c>
      <c r="F19" s="10" t="s">
        <v>82</v>
      </c>
      <c r="G19" s="22" t="s">
        <v>60</v>
      </c>
      <c r="H19" s="32" t="str">
        <f t="shared" si="3"/>
        <v>CSOP_DIDGet_FMHTimer</v>
      </c>
      <c r="I19" s="15" t="str">
        <f t="shared" si="0"/>
        <v>u16_DIDLen_FMHTimer</v>
      </c>
      <c r="J19" s="15" t="str">
        <f t="shared" si="1"/>
        <v>u16_DIDNum_FMHTimer</v>
      </c>
      <c r="K19" s="15" t="str">
        <f t="shared" si="2"/>
        <v>u8_DIDSta_FMHTimer</v>
      </c>
      <c r="L19" s="22"/>
      <c r="M19" s="33" t="str">
        <f t="shared" si="4"/>
        <v>u8_FMHTimer</v>
      </c>
      <c r="N19" s="25"/>
      <c r="O19" s="25"/>
      <c r="P19" s="15" t="str">
        <f t="shared" si="5"/>
        <v>VHAL_DIDGetFMHTimer_raw8</v>
      </c>
      <c r="Q19" s="25" t="str">
        <f t="shared" si="8"/>
        <v>VHAL_DIDStaFMHTimer_flg</v>
      </c>
      <c r="R19" s="22" t="str">
        <f t="shared" si="6"/>
        <v>VHAL_DIDFlashFMHTimer_raw8</v>
      </c>
      <c r="S19" s="32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</row>
    <row r="20" spans="1:37" ht="18.75">
      <c r="A20" s="11"/>
      <c r="B20" s="12"/>
      <c r="C20" s="10" t="s">
        <v>14</v>
      </c>
      <c r="D20" s="10" t="s">
        <v>99</v>
      </c>
      <c r="E20" s="10">
        <v>1</v>
      </c>
      <c r="F20" s="10" t="s">
        <v>50</v>
      </c>
      <c r="G20" s="22" t="s">
        <v>60</v>
      </c>
      <c r="H20" s="32" t="str">
        <f t="shared" si="3"/>
        <v>CSOP_DIDSet_FMHTimer</v>
      </c>
      <c r="I20" s="15" t="str">
        <f t="shared" si="0"/>
        <v>u16_DIDLen_FMHTimer</v>
      </c>
      <c r="J20" s="15" t="str">
        <f t="shared" si="1"/>
        <v>u16_DIDNum_FMHTimer</v>
      </c>
      <c r="K20" s="15" t="str">
        <f t="shared" si="2"/>
        <v>u8_DIDSta_FMHTimer</v>
      </c>
      <c r="L20" s="22" t="str">
        <f>IF((MID(D19, 5,LEN(D19)-4)/8 &lt; E19), ("u" &amp; MID(D19, 5,LEN(D19)-4) &amp; "Array" &amp; E19*8/MID(D19, 5,LEN(D19)-4) &amp; "_" &amp; G19),  ("u" &amp; MID(D19, 5,LEN(D19)-4) &amp; "_" &amp; G19))</f>
        <v>u8_FMHTimer</v>
      </c>
      <c r="M20" s="33"/>
      <c r="N20" s="25" t="str">
        <f>"VHAL_DIDSet" &amp; G19 &amp; "_raw" &amp; MID(D19, 5,LEN(D19)-4)</f>
        <v>VHAL_DIDSetFMHTimer_raw8</v>
      </c>
      <c r="O20" s="25" t="str">
        <f t="shared" si="7"/>
        <v>VHAL_DIDStaFMHTimer_flg</v>
      </c>
      <c r="P20" s="15"/>
      <c r="Q20" s="25"/>
      <c r="R20" s="22"/>
      <c r="S20" s="32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</row>
    <row r="21" spans="1:37" ht="18.75">
      <c r="A21" s="11" t="s">
        <v>9</v>
      </c>
      <c r="B21" s="12" t="s">
        <v>61</v>
      </c>
      <c r="C21" s="10" t="s">
        <v>14</v>
      </c>
      <c r="D21" s="10" t="s">
        <v>99</v>
      </c>
      <c r="E21" s="10">
        <v>1</v>
      </c>
      <c r="F21" s="10" t="s">
        <v>82</v>
      </c>
      <c r="G21" s="22" t="s">
        <v>61</v>
      </c>
      <c r="H21" s="32" t="str">
        <f t="shared" si="3"/>
        <v>CSOP_DIDGet_AutoLock</v>
      </c>
      <c r="I21" s="15" t="str">
        <f t="shared" si="0"/>
        <v>u16_DIDLen_AutoLock</v>
      </c>
      <c r="J21" s="15" t="str">
        <f t="shared" si="1"/>
        <v>u16_DIDNum_AutoLock</v>
      </c>
      <c r="K21" s="15" t="str">
        <f t="shared" si="2"/>
        <v>u8_DIDSta_AutoLock</v>
      </c>
      <c r="L21" s="22"/>
      <c r="M21" s="33" t="str">
        <f t="shared" si="4"/>
        <v>u8_AutoLock</v>
      </c>
      <c r="N21" s="25"/>
      <c r="O21" s="25"/>
      <c r="P21" s="15" t="str">
        <f t="shared" si="5"/>
        <v>VHAL_DIDGetAutoLock_raw8</v>
      </c>
      <c r="Q21" s="25" t="str">
        <f t="shared" si="8"/>
        <v>VHAL_DIDStaAutoLock_flg</v>
      </c>
      <c r="R21" s="22" t="str">
        <f t="shared" si="6"/>
        <v>VHAL_DIDFlashAutoLock_raw8</v>
      </c>
      <c r="S21" s="32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</row>
    <row r="22" spans="1:37" ht="18.75">
      <c r="A22" s="11"/>
      <c r="B22" s="12"/>
      <c r="C22" s="10" t="s">
        <v>14</v>
      </c>
      <c r="D22" s="10" t="s">
        <v>99</v>
      </c>
      <c r="E22" s="10">
        <v>1</v>
      </c>
      <c r="F22" s="10" t="s">
        <v>50</v>
      </c>
      <c r="G22" s="22" t="s">
        <v>10</v>
      </c>
      <c r="H22" s="32" t="str">
        <f t="shared" si="3"/>
        <v>CSOP_DIDSet_AutoLock</v>
      </c>
      <c r="I22" s="15" t="str">
        <f t="shared" si="0"/>
        <v>u16_DIDLen_AutoLock</v>
      </c>
      <c r="J22" s="15" t="str">
        <f t="shared" si="1"/>
        <v>u16_DIDNum_AutoLock</v>
      </c>
      <c r="K22" s="15" t="str">
        <f t="shared" si="2"/>
        <v>u8_DIDSta_AutoLock</v>
      </c>
      <c r="L22" s="22" t="str">
        <f>IF((MID(D21, 5,LEN(D21)-4)/8 &lt; E21), ("u" &amp; MID(D21, 5,LEN(D21)-4) &amp; "Array" &amp; E21*8/MID(D21, 5,LEN(D21)-4) &amp; "_" &amp; G21),  ("u" &amp; MID(D21, 5,LEN(D21)-4) &amp; "_" &amp; G21))</f>
        <v>u8_AutoLock</v>
      </c>
      <c r="M22" s="33"/>
      <c r="N22" s="25" t="str">
        <f>"VHAL_DIDSet" &amp; G21 &amp; "_raw" &amp; MID(D21, 5,LEN(D21)-4)</f>
        <v>VHAL_DIDSetAutoLock_raw8</v>
      </c>
      <c r="O22" s="25" t="str">
        <f t="shared" si="7"/>
        <v>VHAL_DIDStaAutoLock_flg</v>
      </c>
      <c r="P22" s="15"/>
      <c r="Q22" s="25"/>
      <c r="R22" s="22"/>
      <c r="S22" s="32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</row>
    <row r="23" spans="1:37" ht="18.75">
      <c r="A23" s="11" t="s">
        <v>11</v>
      </c>
      <c r="B23" s="12" t="s">
        <v>62</v>
      </c>
      <c r="C23" s="10" t="s">
        <v>14</v>
      </c>
      <c r="D23" s="10" t="s">
        <v>99</v>
      </c>
      <c r="E23" s="10">
        <v>1</v>
      </c>
      <c r="F23" s="10" t="s">
        <v>82</v>
      </c>
      <c r="G23" s="22" t="s">
        <v>94</v>
      </c>
      <c r="H23" s="32" t="str">
        <f t="shared" si="3"/>
        <v>CSOP_DIDGet_DRLDis</v>
      </c>
      <c r="I23" s="15" t="str">
        <f t="shared" si="0"/>
        <v>u16_DIDLen_DRLDis</v>
      </c>
      <c r="J23" s="15" t="str">
        <f t="shared" si="1"/>
        <v>u16_DIDNum_DRLDis</v>
      </c>
      <c r="K23" s="15" t="str">
        <f t="shared" si="2"/>
        <v>u8_DIDSta_DRLDis</v>
      </c>
      <c r="L23" s="22"/>
      <c r="M23" s="33" t="str">
        <f t="shared" si="4"/>
        <v>u8_DRLDis</v>
      </c>
      <c r="N23" s="25"/>
      <c r="O23" s="25"/>
      <c r="P23" s="15" t="str">
        <f t="shared" si="5"/>
        <v>VHAL_DIDGetDRLDis_raw8</v>
      </c>
      <c r="Q23" s="25" t="str">
        <f t="shared" si="8"/>
        <v>VHAL_DIDStaDRLDis_flg</v>
      </c>
      <c r="R23" s="22" t="str">
        <f>"VHAL_DIDFlash" &amp; G24 &amp; "_raw" &amp; MID(D24, 5,LEN(D24)-4)</f>
        <v>VHAL_DIDFlashDRLDis_raw8</v>
      </c>
      <c r="S23" s="32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</row>
    <row r="24" spans="1:37" ht="18.75">
      <c r="A24" s="11"/>
      <c r="B24" s="12"/>
      <c r="C24" s="10" t="s">
        <v>14</v>
      </c>
      <c r="D24" s="10" t="s">
        <v>99</v>
      </c>
      <c r="E24" s="10">
        <v>1</v>
      </c>
      <c r="F24" s="10" t="s">
        <v>50</v>
      </c>
      <c r="G24" s="22" t="s">
        <v>63</v>
      </c>
      <c r="H24" s="32" t="str">
        <f t="shared" si="3"/>
        <v>CSOP_DIDSet_DRLDis</v>
      </c>
      <c r="I24" s="15" t="str">
        <f t="shared" si="0"/>
        <v>u16_DIDLen_DRLDis</v>
      </c>
      <c r="J24" s="15" t="str">
        <f t="shared" si="1"/>
        <v>u16_DIDNum_DRLDis</v>
      </c>
      <c r="K24" s="15" t="str">
        <f t="shared" si="2"/>
        <v>u8_DIDSta_DRLDis</v>
      </c>
      <c r="L24" s="22" t="str">
        <f>IF((MID(D23, 5,LEN(D23)-4)/8 &lt; E23), ("u" &amp; MID(D23, 5,LEN(D23)-4) &amp; "Array" &amp; E23*8/MID(D23, 5,LEN(D23)-4) &amp; "_" &amp; G23),  ("u" &amp; MID(D23, 5,LEN(D23)-4) &amp; "_" &amp; G23))</f>
        <v>u8_DRLDis</v>
      </c>
      <c r="M24" s="33"/>
      <c r="N24" s="25" t="str">
        <f>"VHAL_DIDSet" &amp; G23 &amp; "_raw" &amp; MID(D23, 5,LEN(D23)-4)</f>
        <v>VHAL_DIDSetDRLDis_raw8</v>
      </c>
      <c r="O24" s="25" t="str">
        <f t="shared" ref="O24:O43" si="15">"VHAL_DIDSta" &amp; G24 &amp; "_flg"</f>
        <v>VHAL_DIDStaDRLDis_flg</v>
      </c>
      <c r="P24" s="15"/>
      <c r="Q24" s="25"/>
      <c r="R24" s="36"/>
      <c r="S24" s="32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</row>
    <row r="25" spans="1:37" ht="18.75">
      <c r="A25" s="11" t="s">
        <v>118</v>
      </c>
      <c r="B25" s="12" t="s">
        <v>121</v>
      </c>
      <c r="C25" s="10" t="s">
        <v>14</v>
      </c>
      <c r="D25" s="10" t="s">
        <v>99</v>
      </c>
      <c r="E25" s="10">
        <v>1</v>
      </c>
      <c r="F25" s="10" t="s">
        <v>82</v>
      </c>
      <c r="G25" s="22" t="s">
        <v>126</v>
      </c>
      <c r="H25" s="32" t="str">
        <f t="shared" ref="H25:H30" si="16">IF(F25="W", "CSOP_DIDGet_" &amp; G25, "CSOP_DIDSet_" &amp; G25)</f>
        <v>CSOP_DIDGet_AutoWipHSpdEN</v>
      </c>
      <c r="I25" s="15" t="str">
        <f t="shared" ref="I25:I30" si="17" xml:space="preserve"> "u16_DIDLen_" &amp; G25</f>
        <v>u16_DIDLen_AutoWipHSpdEN</v>
      </c>
      <c r="J25" s="15" t="str">
        <f t="shared" ref="J25:J30" si="18" xml:space="preserve"> "u16_DIDNum_" &amp; G25</f>
        <v>u16_DIDNum_AutoWipHSpdEN</v>
      </c>
      <c r="K25" s="15" t="str">
        <f t="shared" ref="K25:K30" si="19" xml:space="preserve"> "u8_DIDSta_" &amp; G25</f>
        <v>u8_DIDSta_AutoWipHSpdEN</v>
      </c>
      <c r="L25" s="22"/>
      <c r="M25" s="33" t="str">
        <f t="shared" ref="M25:M29" si="20">IF((MID(D25, 5,LEN(D25)-4)/8 &lt; E25), ("u" &amp; MID(D25, 5,LEN(D25)-4) &amp; "Array" &amp; E25*8/MID(D25, 5,LEN(D25)-4) &amp; "_" &amp; G25),  ("u" &amp; MID(D25, 5,LEN(D25)-4) &amp; "_" &amp; G25))</f>
        <v>u8_AutoWipHSpdEN</v>
      </c>
      <c r="N25" s="25"/>
      <c r="O25" s="25"/>
      <c r="P25" s="15" t="str">
        <f t="shared" ref="P25" si="21">"VHAL_DIDGet" &amp; G25 &amp; "_raw" &amp; MID(D25, 5,LEN(D25)-4)</f>
        <v>VHAL_DIDGetAutoWipHSpdEN_raw8</v>
      </c>
      <c r="Q25" s="25" t="str">
        <f t="shared" ref="Q25" si="22">"VHAL_DIDSta" &amp; G25 &amp; "_flg"</f>
        <v>VHAL_DIDStaAutoWipHSpdEN_flg</v>
      </c>
      <c r="R25" s="22" t="str">
        <f>"VHAL_DIDFlash" &amp; G26 &amp; "_raw" &amp; MID(D26, 5,LEN(D26)-4)</f>
        <v>VHAL_DIDFlashAutoWipHSpdEN_raw8</v>
      </c>
      <c r="S25" s="32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</row>
    <row r="26" spans="1:37" ht="18.75">
      <c r="A26" s="11"/>
      <c r="B26" s="12"/>
      <c r="C26" s="10" t="s">
        <v>14</v>
      </c>
      <c r="D26" s="10" t="s">
        <v>99</v>
      </c>
      <c r="E26" s="10">
        <v>1</v>
      </c>
      <c r="F26" s="10" t="s">
        <v>50</v>
      </c>
      <c r="G26" s="22" t="s">
        <v>126</v>
      </c>
      <c r="H26" s="32" t="str">
        <f t="shared" si="16"/>
        <v>CSOP_DIDSet_AutoWipHSpdEN</v>
      </c>
      <c r="I26" s="15" t="str">
        <f t="shared" si="17"/>
        <v>u16_DIDLen_AutoWipHSpdEN</v>
      </c>
      <c r="J26" s="15" t="str">
        <f t="shared" si="18"/>
        <v>u16_DIDNum_AutoWipHSpdEN</v>
      </c>
      <c r="K26" s="15" t="str">
        <f t="shared" si="19"/>
        <v>u8_DIDSta_AutoWipHSpdEN</v>
      </c>
      <c r="L26" s="22" t="str">
        <f>IF((MID(D25, 5,LEN(D25)-4)/8 &lt; E25), ("u" &amp; MID(D25, 5,LEN(D25)-4) &amp; "Array" &amp; E25*8/MID(D25, 5,LEN(D25)-4) &amp; "_" &amp; G25),  ("u" &amp; MID(D25, 5,LEN(D25)-4) &amp; "_" &amp; G25))</f>
        <v>u8_AutoWipHSpdEN</v>
      </c>
      <c r="M26" s="33"/>
      <c r="N26" s="25" t="str">
        <f>"VHAL_DIDSet" &amp; G25 &amp; "_raw" &amp; MID(D25, 5,LEN(D25)-4)</f>
        <v>VHAL_DIDSetAutoWipHSpdEN_raw8</v>
      </c>
      <c r="O26" s="25" t="str">
        <f t="shared" ref="O26" si="23">"VHAL_DIDSta" &amp; G26 &amp; "_flg"</f>
        <v>VHAL_DIDStaAutoWipHSpdEN_flg</v>
      </c>
      <c r="P26" s="15"/>
      <c r="Q26" s="25"/>
      <c r="R26" s="36"/>
      <c r="S26" s="32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</row>
    <row r="27" spans="1:37" ht="18.75">
      <c r="A27" s="11" t="s">
        <v>119</v>
      </c>
      <c r="B27" s="12" t="s">
        <v>122</v>
      </c>
      <c r="C27" s="10" t="s">
        <v>14</v>
      </c>
      <c r="D27" s="10" t="s">
        <v>99</v>
      </c>
      <c r="E27" s="10">
        <v>1</v>
      </c>
      <c r="F27" s="10" t="s">
        <v>82</v>
      </c>
      <c r="G27" s="22" t="s">
        <v>124</v>
      </c>
      <c r="H27" s="32" t="str">
        <f t="shared" si="16"/>
        <v>CSOP_DIDGet_WipRLSCmdHoldFilter</v>
      </c>
      <c r="I27" s="15" t="str">
        <f t="shared" si="17"/>
        <v>u16_DIDLen_WipRLSCmdHoldFilter</v>
      </c>
      <c r="J27" s="15" t="str">
        <f t="shared" si="18"/>
        <v>u16_DIDNum_WipRLSCmdHoldFilter</v>
      </c>
      <c r="K27" s="15" t="str">
        <f t="shared" si="19"/>
        <v>u8_DIDSta_WipRLSCmdHoldFilter</v>
      </c>
      <c r="L27" s="22"/>
      <c r="M27" s="33" t="str">
        <f t="shared" si="20"/>
        <v>u8_WipRLSCmdHoldFilter</v>
      </c>
      <c r="N27" s="25"/>
      <c r="O27" s="25"/>
      <c r="P27" s="15" t="str">
        <f t="shared" ref="P27" si="24">"VHAL_DIDGet" &amp; G27 &amp; "_raw" &amp; MID(D27, 5,LEN(D27)-4)</f>
        <v>VHAL_DIDGetWipRLSCmdHoldFilter_raw8</v>
      </c>
      <c r="Q27" s="25" t="str">
        <f t="shared" ref="Q27" si="25">"VHAL_DIDSta" &amp; G27 &amp; "_flg"</f>
        <v>VHAL_DIDStaWipRLSCmdHoldFilter_flg</v>
      </c>
      <c r="R27" s="22" t="str">
        <f>"VHAL_DIDFlash" &amp; G28 &amp; "_raw" &amp; MID(D28, 5,LEN(D28)-4)</f>
        <v>VHAL_DIDFlashWipRLSCmdHoldFilter_raw8</v>
      </c>
      <c r="S27" s="32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</row>
    <row r="28" spans="1:37" ht="18.75">
      <c r="A28" s="11"/>
      <c r="B28" s="12"/>
      <c r="C28" s="10" t="s">
        <v>14</v>
      </c>
      <c r="D28" s="10" t="s">
        <v>99</v>
      </c>
      <c r="E28" s="10">
        <v>1</v>
      </c>
      <c r="F28" s="10" t="s">
        <v>50</v>
      </c>
      <c r="G28" s="22" t="s">
        <v>124</v>
      </c>
      <c r="H28" s="32" t="str">
        <f t="shared" si="16"/>
        <v>CSOP_DIDSet_WipRLSCmdHoldFilter</v>
      </c>
      <c r="I28" s="15" t="str">
        <f t="shared" si="17"/>
        <v>u16_DIDLen_WipRLSCmdHoldFilter</v>
      </c>
      <c r="J28" s="15" t="str">
        <f t="shared" si="18"/>
        <v>u16_DIDNum_WipRLSCmdHoldFilter</v>
      </c>
      <c r="K28" s="15" t="str">
        <f t="shared" si="19"/>
        <v>u8_DIDSta_WipRLSCmdHoldFilter</v>
      </c>
      <c r="L28" s="22" t="str">
        <f>IF((MID(D27, 5,LEN(D27)-4)/8 &lt; E27), ("u" &amp; MID(D27, 5,LEN(D27)-4) &amp; "Array" &amp; E27*8/MID(D27, 5,LEN(D27)-4) &amp; "_" &amp; G27),  ("u" &amp; MID(D27, 5,LEN(D27)-4) &amp; "_" &amp; G27))</f>
        <v>u8_WipRLSCmdHoldFilter</v>
      </c>
      <c r="M28" s="33"/>
      <c r="N28" s="25" t="str">
        <f>"VHAL_DIDSet" &amp; G27 &amp; "_raw" &amp; MID(D27, 5,LEN(D27)-4)</f>
        <v>VHAL_DIDSetWipRLSCmdHoldFilter_raw8</v>
      </c>
      <c r="O28" s="25" t="str">
        <f t="shared" ref="O28" si="26">"VHAL_DIDSta" &amp; G28 &amp; "_flg"</f>
        <v>VHAL_DIDStaWipRLSCmdHoldFilter_flg</v>
      </c>
      <c r="P28" s="15"/>
      <c r="Q28" s="25"/>
      <c r="R28" s="36"/>
      <c r="S28" s="32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</row>
    <row r="29" spans="1:37" ht="18.75">
      <c r="A29" s="11" t="s">
        <v>120</v>
      </c>
      <c r="B29" s="12" t="s">
        <v>123</v>
      </c>
      <c r="C29" s="10" t="s">
        <v>14</v>
      </c>
      <c r="D29" s="10" t="s">
        <v>99</v>
      </c>
      <c r="E29" s="10">
        <v>1</v>
      </c>
      <c r="F29" s="10" t="s">
        <v>82</v>
      </c>
      <c r="G29" s="22" t="s">
        <v>125</v>
      </c>
      <c r="H29" s="32" t="str">
        <f t="shared" si="16"/>
        <v>CSOP_DIDGet_WipRLSCmdCutFilter</v>
      </c>
      <c r="I29" s="15" t="str">
        <f t="shared" si="17"/>
        <v>u16_DIDLen_WipRLSCmdCutFilter</v>
      </c>
      <c r="J29" s="15" t="str">
        <f t="shared" si="18"/>
        <v>u16_DIDNum_WipRLSCmdCutFilter</v>
      </c>
      <c r="K29" s="15" t="str">
        <f t="shared" si="19"/>
        <v>u8_DIDSta_WipRLSCmdCutFilter</v>
      </c>
      <c r="L29" s="22"/>
      <c r="M29" s="33" t="str">
        <f t="shared" si="20"/>
        <v>u8_WipRLSCmdCutFilter</v>
      </c>
      <c r="N29" s="25"/>
      <c r="O29" s="25"/>
      <c r="P29" s="15" t="str">
        <f t="shared" ref="P29" si="27">"VHAL_DIDGet" &amp; G29 &amp; "_raw" &amp; MID(D29, 5,LEN(D29)-4)</f>
        <v>VHAL_DIDGetWipRLSCmdCutFilter_raw8</v>
      </c>
      <c r="Q29" s="25" t="str">
        <f t="shared" ref="Q29" si="28">"VHAL_DIDSta" &amp; G29 &amp; "_flg"</f>
        <v>VHAL_DIDStaWipRLSCmdCutFilter_flg</v>
      </c>
      <c r="R29" s="22" t="str">
        <f>"VHAL_DIDFlash" &amp; G30 &amp; "_raw" &amp; MID(D30, 5,LEN(D30)-4)</f>
        <v>VHAL_DIDFlashWipRLSCmdCutFilter_raw8</v>
      </c>
      <c r="S29" s="32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</row>
    <row r="30" spans="1:37" ht="18.75">
      <c r="A30" s="11"/>
      <c r="B30" s="12"/>
      <c r="C30" s="10" t="s">
        <v>14</v>
      </c>
      <c r="D30" s="10" t="s">
        <v>99</v>
      </c>
      <c r="E30" s="10">
        <v>1</v>
      </c>
      <c r="F30" s="10" t="s">
        <v>50</v>
      </c>
      <c r="G30" s="22" t="s">
        <v>125</v>
      </c>
      <c r="H30" s="32" t="str">
        <f t="shared" si="16"/>
        <v>CSOP_DIDSet_WipRLSCmdCutFilter</v>
      </c>
      <c r="I30" s="15" t="str">
        <f t="shared" si="17"/>
        <v>u16_DIDLen_WipRLSCmdCutFilter</v>
      </c>
      <c r="J30" s="15" t="str">
        <f t="shared" si="18"/>
        <v>u16_DIDNum_WipRLSCmdCutFilter</v>
      </c>
      <c r="K30" s="15" t="str">
        <f t="shared" si="19"/>
        <v>u8_DIDSta_WipRLSCmdCutFilter</v>
      </c>
      <c r="L30" s="22" t="str">
        <f>IF((MID(D29, 5,LEN(D29)-4)/8 &lt; E29), ("u" &amp; MID(D29, 5,LEN(D29)-4) &amp; "Array" &amp; E29*8/MID(D29, 5,LEN(D29)-4) &amp; "_" &amp; G29),  ("u" &amp; MID(D29, 5,LEN(D29)-4) &amp; "_" &amp; G29))</f>
        <v>u8_WipRLSCmdCutFilter</v>
      </c>
      <c r="M30" s="33"/>
      <c r="N30" s="25" t="str">
        <f>"VHAL_DIDSet" &amp; G29 &amp; "_raw" &amp; MID(D29, 5,LEN(D29)-4)</f>
        <v>VHAL_DIDSetWipRLSCmdCutFilter_raw8</v>
      </c>
      <c r="O30" s="25" t="str">
        <f t="shared" ref="O30" si="29">"VHAL_DIDSta" &amp; G30 &amp; "_flg"</f>
        <v>VHAL_DIDStaWipRLSCmdCutFilter_flg</v>
      </c>
      <c r="P30" s="15"/>
      <c r="Q30" s="25"/>
      <c r="R30" s="36"/>
      <c r="S30" s="32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</row>
    <row r="31" spans="1:37" ht="18.75">
      <c r="A31" s="11" t="s">
        <v>17</v>
      </c>
      <c r="B31" s="13" t="s">
        <v>64</v>
      </c>
      <c r="C31" s="10" t="s">
        <v>16</v>
      </c>
      <c r="D31" s="10" t="s">
        <v>99</v>
      </c>
      <c r="E31" s="10">
        <v>4</v>
      </c>
      <c r="F31" s="10" t="s">
        <v>50</v>
      </c>
      <c r="G31" s="22" t="s">
        <v>65</v>
      </c>
      <c r="H31" s="32" t="str">
        <f t="shared" si="3"/>
        <v>CSOP_DIDSet_LFSensorID</v>
      </c>
      <c r="I31" s="15" t="str">
        <f t="shared" si="0"/>
        <v>u16_DIDLen_LFSensorID</v>
      </c>
      <c r="J31" s="15" t="str">
        <f t="shared" si="1"/>
        <v>u16_DIDNum_LFSensorID</v>
      </c>
      <c r="K31" s="15" t="str">
        <f t="shared" si="2"/>
        <v>u8_DIDSta_LFSensorID</v>
      </c>
      <c r="L31" s="22" t="str">
        <f>IF((MID(D31, 5,LEN(D31)-4)/8 &lt; E31), ("u" &amp; MID(D31, 5,LEN(D31)-4) &amp; "Array" &amp; E31*8/MID(D31, 5,LEN(D31)-4) &amp; "_" &amp; G31),  ("u" &amp; MID(D31, 5,LEN(D31)-4) &amp; "_" &amp; G31))</f>
        <v>u8Array4_LFSensorID</v>
      </c>
      <c r="M31" s="33"/>
      <c r="N31" s="25" t="str">
        <f t="shared" ref="N31:N43" si="30">"VHAL_DIDSet" &amp; G31 &amp; "_raw" &amp; MID(D31, 5,LEN(D31)-4)</f>
        <v>VHAL_DIDSetLFSensorID_raw8</v>
      </c>
      <c r="O31" s="25" t="str">
        <f t="shared" si="15"/>
        <v>VHAL_DIDStaLFSensorID_flg</v>
      </c>
      <c r="P31" s="15"/>
      <c r="Q31" s="25"/>
      <c r="R31" s="22"/>
      <c r="S31" s="32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</row>
    <row r="32" spans="1:37" ht="18.75">
      <c r="A32" s="11" t="s">
        <v>18</v>
      </c>
      <c r="B32" s="13" t="s">
        <v>19</v>
      </c>
      <c r="C32" s="10" t="s">
        <v>16</v>
      </c>
      <c r="D32" s="10" t="s">
        <v>99</v>
      </c>
      <c r="E32" s="10">
        <v>4</v>
      </c>
      <c r="F32" s="10" t="s">
        <v>50</v>
      </c>
      <c r="G32" s="22" t="s">
        <v>66</v>
      </c>
      <c r="H32" s="32" t="str">
        <f t="shared" si="3"/>
        <v>CSOP_DIDSet_RFSensorID</v>
      </c>
      <c r="I32" s="15" t="str">
        <f t="shared" si="0"/>
        <v>u16_DIDLen_RFSensorID</v>
      </c>
      <c r="J32" s="15" t="str">
        <f t="shared" si="1"/>
        <v>u16_DIDNum_RFSensorID</v>
      </c>
      <c r="K32" s="15" t="str">
        <f t="shared" si="2"/>
        <v>u8_DIDSta_RFSensorID</v>
      </c>
      <c r="L32" s="22" t="str">
        <f t="shared" ref="L32:L43" si="31">IF((MID(D32, 5,LEN(D32)-4)/8 &lt; E32), ("u" &amp; MID(D32, 5,LEN(D32)-4) &amp; "Array" &amp; E32*8/MID(D32, 5,LEN(D32)-4) &amp; "_" &amp; G32),  ("u" &amp; MID(D32, 5,LEN(D32)-4) &amp; "_" &amp; G32))</f>
        <v>u8Array4_RFSensorID</v>
      </c>
      <c r="M32" s="33"/>
      <c r="N32" s="25" t="str">
        <f t="shared" si="30"/>
        <v>VHAL_DIDSetRFSensorID_raw8</v>
      </c>
      <c r="O32" s="25" t="str">
        <f t="shared" si="15"/>
        <v>VHAL_DIDStaRFSensorID_flg</v>
      </c>
      <c r="P32" s="15"/>
      <c r="Q32" s="25"/>
      <c r="R32" s="22"/>
      <c r="S32" s="32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</row>
    <row r="33" spans="1:37" ht="18.75">
      <c r="A33" s="11" t="s">
        <v>20</v>
      </c>
      <c r="B33" s="13" t="s">
        <v>21</v>
      </c>
      <c r="C33" s="10" t="s">
        <v>16</v>
      </c>
      <c r="D33" s="10" t="s">
        <v>99</v>
      </c>
      <c r="E33" s="10">
        <v>4</v>
      </c>
      <c r="F33" s="10" t="s">
        <v>50</v>
      </c>
      <c r="G33" s="22" t="s">
        <v>67</v>
      </c>
      <c r="H33" s="32" t="str">
        <f t="shared" si="3"/>
        <v>CSOP_DIDSet_LRSensorID</v>
      </c>
      <c r="I33" s="15" t="str">
        <f t="shared" si="0"/>
        <v>u16_DIDLen_LRSensorID</v>
      </c>
      <c r="J33" s="15" t="str">
        <f t="shared" si="1"/>
        <v>u16_DIDNum_LRSensorID</v>
      </c>
      <c r="K33" s="15" t="str">
        <f t="shared" si="2"/>
        <v>u8_DIDSta_LRSensorID</v>
      </c>
      <c r="L33" s="22" t="str">
        <f t="shared" si="31"/>
        <v>u8Array4_LRSensorID</v>
      </c>
      <c r="M33" s="33"/>
      <c r="N33" s="25" t="str">
        <f t="shared" si="30"/>
        <v>VHAL_DIDSetLRSensorID_raw8</v>
      </c>
      <c r="O33" s="25" t="str">
        <f t="shared" si="15"/>
        <v>VHAL_DIDStaLRSensorID_flg</v>
      </c>
      <c r="P33" s="15"/>
      <c r="Q33" s="25"/>
      <c r="R33" s="22"/>
      <c r="S33" s="32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</row>
    <row r="34" spans="1:37" ht="18.75">
      <c r="A34" s="11" t="s">
        <v>22</v>
      </c>
      <c r="B34" s="13" t="s">
        <v>23</v>
      </c>
      <c r="C34" s="10" t="s">
        <v>16</v>
      </c>
      <c r="D34" s="10" t="s">
        <v>99</v>
      </c>
      <c r="E34" s="10">
        <v>4</v>
      </c>
      <c r="F34" s="10" t="s">
        <v>50</v>
      </c>
      <c r="G34" s="22" t="s">
        <v>68</v>
      </c>
      <c r="H34" s="32" t="str">
        <f t="shared" si="3"/>
        <v>CSOP_DIDSet_RRSensorID</v>
      </c>
      <c r="I34" s="15" t="str">
        <f t="shared" si="0"/>
        <v>u16_DIDLen_RRSensorID</v>
      </c>
      <c r="J34" s="15" t="str">
        <f t="shared" si="1"/>
        <v>u16_DIDNum_RRSensorID</v>
      </c>
      <c r="K34" s="15" t="str">
        <f t="shared" si="2"/>
        <v>u8_DIDSta_RRSensorID</v>
      </c>
      <c r="L34" s="22" t="str">
        <f t="shared" si="31"/>
        <v>u8Array4_RRSensorID</v>
      </c>
      <c r="M34" s="33"/>
      <c r="N34" s="25" t="str">
        <f t="shared" si="30"/>
        <v>VHAL_DIDSetRRSensorID_raw8</v>
      </c>
      <c r="O34" s="25" t="str">
        <f t="shared" si="15"/>
        <v>VHAL_DIDStaRRSensorID_flg</v>
      </c>
      <c r="P34" s="15"/>
      <c r="Q34" s="25"/>
      <c r="R34" s="22"/>
      <c r="S34" s="32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spans="1:37" ht="18.75">
      <c r="A35" s="11" t="s">
        <v>24</v>
      </c>
      <c r="B35" s="12" t="s">
        <v>25</v>
      </c>
      <c r="C35" s="10" t="s">
        <v>16</v>
      </c>
      <c r="D35" s="10" t="s">
        <v>99</v>
      </c>
      <c r="E35" s="10">
        <v>4</v>
      </c>
      <c r="F35" s="10" t="s">
        <v>50</v>
      </c>
      <c r="G35" s="22" t="s">
        <v>69</v>
      </c>
      <c r="H35" s="32" t="str">
        <f t="shared" si="3"/>
        <v>CSOP_DIDSet_WhlPres</v>
      </c>
      <c r="I35" s="15" t="str">
        <f t="shared" si="0"/>
        <v>u16_DIDLen_WhlPres</v>
      </c>
      <c r="J35" s="15" t="str">
        <f t="shared" si="1"/>
        <v>u16_DIDNum_WhlPres</v>
      </c>
      <c r="K35" s="15" t="str">
        <f t="shared" si="2"/>
        <v>u8_DIDSta_WhlPres</v>
      </c>
      <c r="L35" s="22" t="str">
        <f t="shared" si="31"/>
        <v>u8Array4_WhlPres</v>
      </c>
      <c r="M35" s="33"/>
      <c r="N35" s="25" t="str">
        <f t="shared" si="30"/>
        <v>VHAL_DIDSetWhlPres_raw8</v>
      </c>
      <c r="O35" s="25" t="str">
        <f t="shared" si="15"/>
        <v>VHAL_DIDStaWhlPres_flg</v>
      </c>
      <c r="P35" s="15"/>
      <c r="Q35" s="25"/>
      <c r="R35" s="22"/>
      <c r="S35" s="32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1:37" ht="18.75">
      <c r="A36" s="11" t="s">
        <v>26</v>
      </c>
      <c r="B36" s="12" t="s">
        <v>27</v>
      </c>
      <c r="C36" s="10" t="s">
        <v>16</v>
      </c>
      <c r="D36" s="10" t="s">
        <v>99</v>
      </c>
      <c r="E36" s="10">
        <v>4</v>
      </c>
      <c r="F36" s="10" t="s">
        <v>50</v>
      </c>
      <c r="G36" s="22" t="s">
        <v>70</v>
      </c>
      <c r="H36" s="32" t="str">
        <f t="shared" si="3"/>
        <v>CSOP_DIDSet_WhlTmp</v>
      </c>
      <c r="I36" s="15" t="str">
        <f t="shared" si="0"/>
        <v>u16_DIDLen_WhlTmp</v>
      </c>
      <c r="J36" s="15" t="str">
        <f t="shared" si="1"/>
        <v>u16_DIDNum_WhlTmp</v>
      </c>
      <c r="K36" s="15" t="str">
        <f t="shared" si="2"/>
        <v>u8_DIDSta_WhlTmp</v>
      </c>
      <c r="L36" s="22" t="str">
        <f t="shared" si="31"/>
        <v>u8Array4_WhlTmp</v>
      </c>
      <c r="M36" s="33"/>
      <c r="N36" s="25" t="str">
        <f t="shared" si="30"/>
        <v>VHAL_DIDSetWhlTmp_raw8</v>
      </c>
      <c r="O36" s="25" t="str">
        <f t="shared" si="15"/>
        <v>VHAL_DIDStaWhlTmp_flg</v>
      </c>
      <c r="P36" s="15"/>
      <c r="Q36" s="25"/>
      <c r="R36" s="22"/>
      <c r="S36" s="32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1:37" ht="18.75">
      <c r="A37" s="11" t="s">
        <v>28</v>
      </c>
      <c r="B37" s="12" t="s">
        <v>29</v>
      </c>
      <c r="C37" s="10" t="s">
        <v>16</v>
      </c>
      <c r="D37" s="10" t="s">
        <v>98</v>
      </c>
      <c r="E37" s="10">
        <v>1</v>
      </c>
      <c r="F37" s="10" t="s">
        <v>50</v>
      </c>
      <c r="G37" s="22" t="s">
        <v>71</v>
      </c>
      <c r="H37" s="32" t="str">
        <f t="shared" si="3"/>
        <v>CSOP_DIDSet_WhlSensorBattSta</v>
      </c>
      <c r="I37" s="15" t="str">
        <f t="shared" si="0"/>
        <v>u16_DIDLen_WhlSensorBattSta</v>
      </c>
      <c r="J37" s="15" t="str">
        <f t="shared" si="1"/>
        <v>u16_DIDNum_WhlSensorBattSta</v>
      </c>
      <c r="K37" s="15" t="str">
        <f t="shared" si="2"/>
        <v>u8_DIDSta_WhlSensorBattSta</v>
      </c>
      <c r="L37" s="22" t="str">
        <f t="shared" si="31"/>
        <v>u8_WhlSensorBattSta</v>
      </c>
      <c r="M37" s="33"/>
      <c r="N37" s="25" t="str">
        <f t="shared" si="30"/>
        <v>VHAL_DIDSetWhlSensorBattSta_raw8</v>
      </c>
      <c r="O37" s="25" t="str">
        <f t="shared" si="15"/>
        <v>VHAL_DIDStaWhlSensorBattSta_flg</v>
      </c>
      <c r="P37" s="15"/>
      <c r="Q37" s="25"/>
      <c r="R37" s="22"/>
      <c r="S37" s="32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1:37" ht="18.75">
      <c r="A38" s="11" t="s">
        <v>30</v>
      </c>
      <c r="B38" s="13" t="s">
        <v>31</v>
      </c>
      <c r="C38" s="10" t="s">
        <v>16</v>
      </c>
      <c r="D38" s="10" t="s">
        <v>98</v>
      </c>
      <c r="E38" s="10">
        <v>1</v>
      </c>
      <c r="F38" s="10" t="s">
        <v>50</v>
      </c>
      <c r="G38" s="22" t="s">
        <v>72</v>
      </c>
      <c r="H38" s="32" t="str">
        <f t="shared" si="3"/>
        <v>CSOP_DIDSet_LFLowPresThre</v>
      </c>
      <c r="I38" s="15" t="str">
        <f t="shared" si="0"/>
        <v>u16_DIDLen_LFLowPresThre</v>
      </c>
      <c r="J38" s="15" t="str">
        <f t="shared" si="1"/>
        <v>u16_DIDNum_LFLowPresThre</v>
      </c>
      <c r="K38" s="15" t="str">
        <f t="shared" si="2"/>
        <v>u8_DIDSta_LFLowPresThre</v>
      </c>
      <c r="L38" s="22" t="str">
        <f t="shared" si="31"/>
        <v>u8_LFLowPresThre</v>
      </c>
      <c r="M38" s="33"/>
      <c r="N38" s="25" t="str">
        <f t="shared" si="30"/>
        <v>VHAL_DIDSetLFLowPresThre_raw8</v>
      </c>
      <c r="O38" s="25" t="str">
        <f t="shared" si="15"/>
        <v>VHAL_DIDStaLFLowPresThre_flg</v>
      </c>
      <c r="P38" s="15"/>
      <c r="Q38" s="25"/>
      <c r="R38" s="22"/>
      <c r="S38" s="32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1:37" ht="18.75">
      <c r="A39" s="11" t="s">
        <v>32</v>
      </c>
      <c r="B39" s="13" t="s">
        <v>33</v>
      </c>
      <c r="C39" s="10" t="s">
        <v>16</v>
      </c>
      <c r="D39" s="10" t="s">
        <v>98</v>
      </c>
      <c r="E39" s="10">
        <v>1</v>
      </c>
      <c r="F39" s="10" t="s">
        <v>50</v>
      </c>
      <c r="G39" s="22" t="s">
        <v>73</v>
      </c>
      <c r="H39" s="32" t="str">
        <f t="shared" si="3"/>
        <v>CSOP_DIDSet_RFLowPresThre</v>
      </c>
      <c r="I39" s="15" t="str">
        <f t="shared" si="0"/>
        <v>u16_DIDLen_RFLowPresThre</v>
      </c>
      <c r="J39" s="15" t="str">
        <f t="shared" si="1"/>
        <v>u16_DIDNum_RFLowPresThre</v>
      </c>
      <c r="K39" s="15" t="str">
        <f t="shared" si="2"/>
        <v>u8_DIDSta_RFLowPresThre</v>
      </c>
      <c r="L39" s="22" t="str">
        <f t="shared" si="31"/>
        <v>u8_RFLowPresThre</v>
      </c>
      <c r="M39" s="33"/>
      <c r="N39" s="25" t="str">
        <f t="shared" si="30"/>
        <v>VHAL_DIDSetRFLowPresThre_raw8</v>
      </c>
      <c r="O39" s="25" t="str">
        <f t="shared" si="15"/>
        <v>VHAL_DIDStaRFLowPresThre_flg</v>
      </c>
      <c r="P39" s="15"/>
      <c r="Q39" s="25"/>
      <c r="R39" s="22"/>
      <c r="S39" s="32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1:37" ht="18.75">
      <c r="A40" s="11" t="s">
        <v>34</v>
      </c>
      <c r="B40" s="13" t="s">
        <v>35</v>
      </c>
      <c r="C40" s="10" t="s">
        <v>16</v>
      </c>
      <c r="D40" s="10" t="s">
        <v>98</v>
      </c>
      <c r="E40" s="10">
        <v>1</v>
      </c>
      <c r="F40" s="10" t="s">
        <v>50</v>
      </c>
      <c r="G40" s="22" t="s">
        <v>74</v>
      </c>
      <c r="H40" s="32" t="str">
        <f t="shared" si="3"/>
        <v>CSOP_DIDSet_LRLowPresThre</v>
      </c>
      <c r="I40" s="15" t="str">
        <f t="shared" si="0"/>
        <v>u16_DIDLen_LRLowPresThre</v>
      </c>
      <c r="J40" s="15" t="str">
        <f t="shared" si="1"/>
        <v>u16_DIDNum_LRLowPresThre</v>
      </c>
      <c r="K40" s="15" t="str">
        <f t="shared" si="2"/>
        <v>u8_DIDSta_LRLowPresThre</v>
      </c>
      <c r="L40" s="22" t="str">
        <f t="shared" si="31"/>
        <v>u8_LRLowPresThre</v>
      </c>
      <c r="M40" s="33"/>
      <c r="N40" s="25" t="str">
        <f t="shared" si="30"/>
        <v>VHAL_DIDSetLRLowPresThre_raw8</v>
      </c>
      <c r="O40" s="25" t="str">
        <f t="shared" si="15"/>
        <v>VHAL_DIDStaLRLowPresThre_flg</v>
      </c>
      <c r="P40" s="15"/>
      <c r="Q40" s="25"/>
      <c r="R40" s="22"/>
      <c r="S40" s="32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 ht="18.75">
      <c r="A41" s="11" t="s">
        <v>36</v>
      </c>
      <c r="B41" s="13" t="s">
        <v>37</v>
      </c>
      <c r="C41" s="10" t="s">
        <v>16</v>
      </c>
      <c r="D41" s="10" t="s">
        <v>98</v>
      </c>
      <c r="E41" s="10">
        <v>1</v>
      </c>
      <c r="F41" s="10" t="s">
        <v>50</v>
      </c>
      <c r="G41" s="22" t="s">
        <v>75</v>
      </c>
      <c r="H41" s="32" t="str">
        <f t="shared" si="3"/>
        <v>CSOP_DIDSet_RRLowPresThre</v>
      </c>
      <c r="I41" s="15" t="str">
        <f t="shared" si="0"/>
        <v>u16_DIDLen_RRLowPresThre</v>
      </c>
      <c r="J41" s="15" t="str">
        <f t="shared" si="1"/>
        <v>u16_DIDNum_RRLowPresThre</v>
      </c>
      <c r="K41" s="15" t="str">
        <f t="shared" si="2"/>
        <v>u8_DIDSta_RRLowPresThre</v>
      </c>
      <c r="L41" s="22" t="str">
        <f t="shared" si="31"/>
        <v>u8_RRLowPresThre</v>
      </c>
      <c r="M41" s="33"/>
      <c r="N41" s="25" t="str">
        <f t="shared" si="30"/>
        <v>VHAL_DIDSetRRLowPresThre_raw8</v>
      </c>
      <c r="O41" s="25" t="str">
        <f t="shared" si="15"/>
        <v>VHAL_DIDStaRRLowPresThre_flg</v>
      </c>
      <c r="P41" s="15"/>
      <c r="Q41" s="25"/>
      <c r="R41" s="22"/>
      <c r="S41" s="32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1:37" ht="18.75">
      <c r="A42" s="11" t="s">
        <v>38</v>
      </c>
      <c r="B42" s="12" t="s">
        <v>39</v>
      </c>
      <c r="C42" s="10" t="s">
        <v>16</v>
      </c>
      <c r="D42" s="10" t="s">
        <v>98</v>
      </c>
      <c r="E42" s="10">
        <v>1</v>
      </c>
      <c r="F42" s="10" t="s">
        <v>50</v>
      </c>
      <c r="G42" s="22" t="s">
        <v>89</v>
      </c>
      <c r="H42" s="32" t="str">
        <f t="shared" si="3"/>
        <v>CSOP_DIDSet_SensorMode</v>
      </c>
      <c r="I42" s="15" t="str">
        <f t="shared" si="0"/>
        <v>u16_DIDLen_SensorMode</v>
      </c>
      <c r="J42" s="15" t="str">
        <f t="shared" si="1"/>
        <v>u16_DIDNum_SensorMode</v>
      </c>
      <c r="K42" s="15" t="str">
        <f t="shared" si="2"/>
        <v>u8_DIDSta_SensorMode</v>
      </c>
      <c r="L42" s="22" t="str">
        <f t="shared" si="31"/>
        <v>u8_SensorMode</v>
      </c>
      <c r="M42" s="33"/>
      <c r="N42" s="25" t="str">
        <f t="shared" si="30"/>
        <v>VHAL_DIDSetSensorMode_raw8</v>
      </c>
      <c r="O42" s="25" t="str">
        <f t="shared" si="15"/>
        <v>VHAL_DIDStaSensorMode_flg</v>
      </c>
      <c r="P42" s="15"/>
      <c r="Q42" s="25"/>
      <c r="R42" s="22"/>
      <c r="S42" s="32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1:37" ht="18.75">
      <c r="A43" s="11" t="s">
        <v>40</v>
      </c>
      <c r="B43" s="12" t="s">
        <v>76</v>
      </c>
      <c r="C43" s="10" t="s">
        <v>16</v>
      </c>
      <c r="D43" s="10" t="s">
        <v>98</v>
      </c>
      <c r="E43" s="10">
        <v>1</v>
      </c>
      <c r="F43" s="10" t="s">
        <v>50</v>
      </c>
      <c r="G43" s="22" t="s">
        <v>77</v>
      </c>
      <c r="H43" s="32" t="str">
        <f t="shared" si="3"/>
        <v>CSOP_DIDSet_TPMSLearnSta</v>
      </c>
      <c r="I43" s="15" t="str">
        <f t="shared" si="0"/>
        <v>u16_DIDLen_TPMSLearnSta</v>
      </c>
      <c r="J43" s="15" t="str">
        <f t="shared" si="1"/>
        <v>u16_DIDNum_TPMSLearnSta</v>
      </c>
      <c r="K43" s="15" t="str">
        <f t="shared" si="2"/>
        <v>u8_DIDSta_TPMSLearnSta</v>
      </c>
      <c r="L43" s="22" t="str">
        <f t="shared" si="31"/>
        <v>u8_TPMSLearnSta</v>
      </c>
      <c r="M43" s="33"/>
      <c r="N43" s="25" t="str">
        <f t="shared" si="30"/>
        <v>VHAL_DIDSetTPMSLearnSta_raw8</v>
      </c>
      <c r="O43" s="25" t="str">
        <f t="shared" si="15"/>
        <v>VHAL_DIDStaTPMSLearnSta_flg</v>
      </c>
      <c r="P43" s="15"/>
      <c r="Q43" s="25"/>
      <c r="R43" s="22"/>
      <c r="S43" s="32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1:37" ht="18.75">
      <c r="A44" s="11" t="s">
        <v>103</v>
      </c>
      <c r="B44" s="12" t="s">
        <v>105</v>
      </c>
      <c r="C44" s="10" t="s">
        <v>109</v>
      </c>
      <c r="D44" s="10" t="s">
        <v>98</v>
      </c>
      <c r="E44" s="10">
        <v>16</v>
      </c>
      <c r="F44" s="10" t="s">
        <v>82</v>
      </c>
      <c r="G44" s="22" t="s">
        <v>112</v>
      </c>
      <c r="H44" s="32" t="str">
        <f t="shared" si="3"/>
        <v>CSOP_DIDGet_USSConfig</v>
      </c>
      <c r="I44" s="15" t="str">
        <f t="shared" si="0"/>
        <v>u16_DIDLen_USSConfig</v>
      </c>
      <c r="J44" s="15" t="str">
        <f t="shared" si="1"/>
        <v>u16_DIDNum_USSConfig</v>
      </c>
      <c r="K44" s="15" t="str">
        <f t="shared" si="2"/>
        <v>u8_DIDSta_USSConfig</v>
      </c>
      <c r="M44" s="33" t="str">
        <f t="shared" si="4"/>
        <v>u8Array16_USSConfig</v>
      </c>
      <c r="O44" s="25"/>
      <c r="P44" s="15" t="str">
        <f>"VHAL_DIDGet" &amp; G45 &amp; "_raw" &amp; MID(D45, 5,LEN(D45)-4)</f>
        <v>VHAL_DIDGetUSSConfig_raw8</v>
      </c>
      <c r="Q44" s="25" t="str">
        <f>"VHAL_DIDSta" &amp; G44 &amp; "_flg"</f>
        <v>VHAL_DIDStaUSSConfig_flg</v>
      </c>
      <c r="R44" s="22" t="str">
        <f t="shared" si="6"/>
        <v>VHAL_DIDFlashUSSConfig_raw8</v>
      </c>
      <c r="S44" s="32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 ht="18.75">
      <c r="A45" s="11"/>
      <c r="B45" s="12"/>
      <c r="C45" s="10" t="s">
        <v>109</v>
      </c>
      <c r="D45" s="10" t="s">
        <v>98</v>
      </c>
      <c r="E45" s="10">
        <v>16</v>
      </c>
      <c r="F45" s="10" t="s">
        <v>50</v>
      </c>
      <c r="G45" s="22" t="s">
        <v>112</v>
      </c>
      <c r="H45" s="32" t="str">
        <f t="shared" ref="H45:H69" si="32">IF(F45="W", "CSOP_DIDGet_" &amp; G45, "CSOP_DIDSet_" &amp; G45)</f>
        <v>CSOP_DIDSet_USSConfig</v>
      </c>
      <c r="I45" s="15" t="str">
        <f t="shared" ref="I45:I69" si="33" xml:space="preserve"> "u16_DIDLen_" &amp; G45</f>
        <v>u16_DIDLen_USSConfig</v>
      </c>
      <c r="J45" s="15" t="str">
        <f t="shared" ref="J45:J69" si="34" xml:space="preserve"> "u16_DIDNum_" &amp; G45</f>
        <v>u16_DIDNum_USSConfig</v>
      </c>
      <c r="K45" s="15" t="str">
        <f t="shared" ref="K45:K69" si="35" xml:space="preserve"> "u8_DIDSta_" &amp; G45</f>
        <v>u8_DIDSta_USSConfig</v>
      </c>
      <c r="L45" s="22" t="str">
        <f>IF((MID(D44, 5,LEN(D44)-4)/8 &lt; E44), ("u" &amp; MID(D44, 5,LEN(D44)-4) &amp; "Array" &amp; E44*8/MID(D44, 5,LEN(D44)-4) &amp; "_" &amp; G44),  ("u" &amp; MID(D44, 5,LEN(D44)-4) &amp; "_" &amp; G44))</f>
        <v>u8Array16_USSConfig</v>
      </c>
      <c r="M45" s="33"/>
      <c r="N45" s="25" t="str">
        <f>"VHAL_DIDSet" &amp; G44 &amp; "_raw" &amp; MID(D44, 5,LEN(D44)-4)</f>
        <v>VHAL_DIDSetUSSConfig_raw8</v>
      </c>
      <c r="O45" s="25" t="str">
        <f t="shared" ref="O45:O69" si="36">"VHAL_DIDSta" &amp; G45 &amp; "_flg"</f>
        <v>VHAL_DIDStaUSSConfig_flg</v>
      </c>
      <c r="P45" s="15"/>
      <c r="Q45" s="25"/>
      <c r="R45" s="22"/>
      <c r="S45" s="32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spans="1:37" ht="18.75">
      <c r="A46" s="11" t="s">
        <v>104</v>
      </c>
      <c r="B46" s="12" t="s">
        <v>106</v>
      </c>
      <c r="C46" s="10" t="s">
        <v>109</v>
      </c>
      <c r="D46" s="10" t="s">
        <v>98</v>
      </c>
      <c r="E46" s="10">
        <v>16</v>
      </c>
      <c r="F46" s="10" t="s">
        <v>82</v>
      </c>
      <c r="G46" s="22" t="s">
        <v>110</v>
      </c>
      <c r="H46" s="32" t="str">
        <f t="shared" si="32"/>
        <v>CSOP_DIDGet_TireSize</v>
      </c>
      <c r="I46" s="15" t="str">
        <f t="shared" si="33"/>
        <v>u16_DIDLen_TireSize</v>
      </c>
      <c r="J46" s="15" t="str">
        <f t="shared" si="34"/>
        <v>u16_DIDNum_TireSize</v>
      </c>
      <c r="K46" s="15" t="str">
        <f t="shared" si="35"/>
        <v>u8_DIDSta_TireSize</v>
      </c>
      <c r="L46" s="22"/>
      <c r="M46" s="33" t="str">
        <f t="shared" si="4"/>
        <v>u8Array16_TireSize</v>
      </c>
      <c r="N46" s="25"/>
      <c r="O46" s="25"/>
      <c r="P46" s="15" t="str">
        <f>"VHAL_DIDGet" &amp; G47 &amp; "_raw" &amp; MID(D47, 5,LEN(D47)-4)</f>
        <v>VHAL_DIDGetTireSize_raw8</v>
      </c>
      <c r="Q46" s="25" t="str">
        <f>"VHAL_DIDSta" &amp; G46 &amp; "_flg"</f>
        <v>VHAL_DIDStaTireSize_flg</v>
      </c>
      <c r="R46" s="22" t="str">
        <f t="shared" si="6"/>
        <v>VHAL_DIDFlashTireSize_raw8</v>
      </c>
      <c r="S46" s="32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spans="1:37" ht="18.75">
      <c r="A47" s="11"/>
      <c r="B47" s="12"/>
      <c r="C47" s="10" t="s">
        <v>109</v>
      </c>
      <c r="D47" s="10" t="s">
        <v>98</v>
      </c>
      <c r="E47" s="10">
        <v>16</v>
      </c>
      <c r="F47" s="10" t="s">
        <v>50</v>
      </c>
      <c r="G47" s="22" t="s">
        <v>110</v>
      </c>
      <c r="H47" s="32" t="str">
        <f t="shared" si="32"/>
        <v>CSOP_DIDSet_TireSize</v>
      </c>
      <c r="I47" s="15" t="str">
        <f t="shared" si="33"/>
        <v>u16_DIDLen_TireSize</v>
      </c>
      <c r="J47" s="15" t="str">
        <f t="shared" si="34"/>
        <v>u16_DIDNum_TireSize</v>
      </c>
      <c r="K47" s="15" t="str">
        <f t="shared" si="35"/>
        <v>u8_DIDSta_TireSize</v>
      </c>
      <c r="L47" s="22" t="str">
        <f>IF((MID(D46, 5,LEN(D46)-4)/8 &lt; E46), ("u" &amp; MID(D46, 5,LEN(D46)-4) &amp; "Array" &amp; E46*8/MID(D46, 5,LEN(D46)-4) &amp; "_" &amp; G46),  ("u" &amp; MID(D46, 5,LEN(D46)-4) &amp; "_" &amp; G46))</f>
        <v>u8Array16_TireSize</v>
      </c>
      <c r="M47" s="33"/>
      <c r="N47" s="25" t="str">
        <f>"VHAL_DIDSet" &amp; G46 &amp; "_raw" &amp; MID(D46, 5,LEN(D46)-4)</f>
        <v>VHAL_DIDSetTireSize_raw8</v>
      </c>
      <c r="O47" s="25" t="str">
        <f t="shared" si="36"/>
        <v>VHAL_DIDStaTireSize_flg</v>
      </c>
      <c r="P47" s="15"/>
      <c r="Q47" s="25"/>
      <c r="R47" s="22"/>
      <c r="S47" s="32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spans="1:37" ht="18.75">
      <c r="A48" s="11" t="s">
        <v>107</v>
      </c>
      <c r="B48" s="12" t="s">
        <v>108</v>
      </c>
      <c r="C48" s="10" t="s">
        <v>109</v>
      </c>
      <c r="D48" s="10" t="s">
        <v>98</v>
      </c>
      <c r="E48" s="10">
        <v>16</v>
      </c>
      <c r="F48" s="10" t="s">
        <v>82</v>
      </c>
      <c r="G48" s="22" t="s">
        <v>111</v>
      </c>
      <c r="H48" s="32" t="str">
        <f t="shared" si="32"/>
        <v>CSOP_DIDGet_APSFunConfig</v>
      </c>
      <c r="I48" s="15" t="str">
        <f t="shared" si="33"/>
        <v>u16_DIDLen_APSFunConfig</v>
      </c>
      <c r="J48" s="15" t="str">
        <f t="shared" si="34"/>
        <v>u16_DIDNum_APSFunConfig</v>
      </c>
      <c r="K48" s="15" t="str">
        <f t="shared" si="35"/>
        <v>u8_DIDSta_APSFunConfig</v>
      </c>
      <c r="L48" s="22"/>
      <c r="M48" s="33" t="str">
        <f t="shared" si="4"/>
        <v>u8Array16_APSFunConfig</v>
      </c>
      <c r="N48" s="25"/>
      <c r="O48" s="25"/>
      <c r="P48" s="15" t="str">
        <f>"VHAL_DIDGet" &amp; G49 &amp; "_raw" &amp; MID(D49, 5,LEN(D49)-4)</f>
        <v>VHAL_DIDGetAPSFunConfig_raw8</v>
      </c>
      <c r="Q48" s="25" t="str">
        <f>"VHAL_DIDSta" &amp; G48 &amp; "_flg"</f>
        <v>VHAL_DIDStaAPSFunConfig_flg</v>
      </c>
      <c r="R48" s="22" t="str">
        <f t="shared" si="6"/>
        <v>VHAL_DIDFlashAPSFunConfig_raw8</v>
      </c>
      <c r="S48" s="32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spans="1:37" ht="18.75">
      <c r="A49" s="11"/>
      <c r="B49" s="12"/>
      <c r="C49" s="10" t="s">
        <v>109</v>
      </c>
      <c r="D49" s="10" t="s">
        <v>98</v>
      </c>
      <c r="E49" s="10">
        <v>16</v>
      </c>
      <c r="F49" s="10" t="s">
        <v>50</v>
      </c>
      <c r="G49" s="22" t="s">
        <v>111</v>
      </c>
      <c r="H49" s="32" t="str">
        <f t="shared" si="32"/>
        <v>CSOP_DIDSet_APSFunConfig</v>
      </c>
      <c r="I49" s="15" t="str">
        <f t="shared" si="33"/>
        <v>u16_DIDLen_APSFunConfig</v>
      </c>
      <c r="J49" s="15" t="str">
        <f t="shared" si="34"/>
        <v>u16_DIDNum_APSFunConfig</v>
      </c>
      <c r="K49" s="15" t="str">
        <f t="shared" si="35"/>
        <v>u8_DIDSta_APSFunConfig</v>
      </c>
      <c r="L49" s="22" t="str">
        <f>IF((MID(D48, 5,LEN(D48)-4)/8 &lt; E48), ("u" &amp; MID(D48, 5,LEN(D48)-4) &amp; "Array" &amp; E48*8/MID(D48, 5,LEN(D48)-4) &amp; "_" &amp; G48),  ("u" &amp; MID(D48, 5,LEN(D48)-4) &amp; "_" &amp; G48))</f>
        <v>u8Array16_APSFunConfig</v>
      </c>
      <c r="M49" s="33"/>
      <c r="N49" s="25" t="str">
        <f>"VHAL_DIDSet" &amp; G48 &amp; "_raw" &amp; MID(D48, 5,LEN(D48)-4)</f>
        <v>VHAL_DIDSetAPSFunConfig_raw8</v>
      </c>
      <c r="O49" s="25" t="str">
        <f t="shared" si="36"/>
        <v>VHAL_DIDStaAPSFunConfig_flg</v>
      </c>
      <c r="P49" s="4"/>
      <c r="Q49" s="15"/>
      <c r="R49" s="22"/>
      <c r="S49" s="32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  <row r="50" spans="1:37" ht="18.75">
      <c r="A50" s="11" t="s">
        <v>162</v>
      </c>
      <c r="B50" s="12" t="s">
        <v>134</v>
      </c>
      <c r="C50" s="10" t="s">
        <v>130</v>
      </c>
      <c r="D50" s="10" t="s">
        <v>98</v>
      </c>
      <c r="E50" s="10">
        <v>1</v>
      </c>
      <c r="F50" s="10" t="s">
        <v>50</v>
      </c>
      <c r="G50" s="22" t="s">
        <v>149</v>
      </c>
      <c r="H50" s="32" t="str">
        <f t="shared" si="32"/>
        <v>CSOP_DIDSet_VSS</v>
      </c>
      <c r="I50" s="15" t="str">
        <f t="shared" si="33"/>
        <v>u16_DIDLen_VSS</v>
      </c>
      <c r="J50" s="15" t="str">
        <f t="shared" si="34"/>
        <v>u16_DIDNum_VSS</v>
      </c>
      <c r="K50" s="15" t="str">
        <f t="shared" si="35"/>
        <v>u8_DIDSta_VSS</v>
      </c>
      <c r="L50" s="22" t="str">
        <f>IF((MID(D50, 5,LEN(D50)-4)/8 &lt; E50), ("u" &amp; MID(D50, 5,LEN(D50)-4) &amp; "Array" &amp; E50*8/MID(D50, 5,LEN(D50)-4) &amp; "_" &amp; G50),  ("u" &amp; MID(D50, 5,LEN(D50)-4) &amp; "_" &amp; G50))</f>
        <v>u8_VSS</v>
      </c>
      <c r="M50" s="33"/>
      <c r="N50" s="25" t="str">
        <f t="shared" ref="N50:N69" si="37">"VHAL_DIDSet" &amp; G50 &amp; "_raw" &amp; MID(D50, 5,LEN(D50)-4)</f>
        <v>VHAL_DIDSetVSS_raw8</v>
      </c>
      <c r="O50" s="25" t="str">
        <f t="shared" si="36"/>
        <v>VHAL_DIDStaVSS_flg</v>
      </c>
      <c r="P50" s="15"/>
      <c r="Q50" s="25"/>
      <c r="R50" s="22"/>
      <c r="S50" s="32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</row>
    <row r="51" spans="1:37" ht="18.75">
      <c r="A51" s="11" t="s">
        <v>127</v>
      </c>
      <c r="B51" s="12" t="s">
        <v>132</v>
      </c>
      <c r="C51" s="10" t="s">
        <v>130</v>
      </c>
      <c r="D51" s="10" t="s">
        <v>98</v>
      </c>
      <c r="E51" s="10">
        <v>1</v>
      </c>
      <c r="F51" s="10" t="s">
        <v>82</v>
      </c>
      <c r="G51" s="22" t="s">
        <v>133</v>
      </c>
      <c r="H51" s="32" t="str">
        <f t="shared" ref="H51:H52" si="38">IF(F51="W", "CSOP_DIDGet_" &amp; G51, "CSOP_DIDSet_" &amp; G51)</f>
        <v>CSOP_DIDGet_OBDReq</v>
      </c>
      <c r="I51" s="15" t="str">
        <f t="shared" ref="I51:I52" si="39" xml:space="preserve"> "u16_DIDLen_" &amp; G51</f>
        <v>u16_DIDLen_OBDReq</v>
      </c>
      <c r="J51" s="15" t="str">
        <f t="shared" ref="J51:J52" si="40" xml:space="preserve"> "u16_DIDNum_" &amp; G51</f>
        <v>u16_DIDNum_OBDReq</v>
      </c>
      <c r="K51" s="15" t="str">
        <f t="shared" ref="K51:K52" si="41" xml:space="preserve"> "u8_DIDSta_" &amp; G51</f>
        <v>u8_DIDSta_OBDReq</v>
      </c>
      <c r="L51" s="22"/>
      <c r="M51" s="33" t="str">
        <f t="shared" ref="M51" si="42">IF((MID(D51, 5,LEN(D51)-4)/8 &lt; E51), ("u" &amp; MID(D51, 5,LEN(D51)-4) &amp; "Array" &amp; E51*8/MID(D51, 5,LEN(D51)-4) &amp; "_" &amp; G51),  ("u" &amp; MID(D51, 5,LEN(D51)-4) &amp; "_" &amp; G51))</f>
        <v>u8_OBDReq</v>
      </c>
      <c r="N51" s="25"/>
      <c r="O51" s="25"/>
      <c r="P51" s="15" t="str">
        <f>"VHAL_DIDGet" &amp; G52 &amp; "_raw" &amp; MID(D52, 5,LEN(D52)-4)</f>
        <v>VHAL_DIDGetOBDReq_raw8</v>
      </c>
      <c r="Q51" s="25" t="str">
        <f>"VHAL_DIDSta" &amp; G51 &amp; "_flg"</f>
        <v>VHAL_DIDStaOBDReq_flg</v>
      </c>
      <c r="R51" s="22" t="str">
        <f t="shared" ref="R51" si="43">"VHAL_DIDFlash" &amp; G51 &amp; "_raw" &amp; MID(D51, 5,LEN(D51)-4)</f>
        <v>VHAL_DIDFlashOBDReq_raw8</v>
      </c>
      <c r="S51" s="32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</row>
    <row r="52" spans="1:37" ht="18.75">
      <c r="A52" s="11"/>
      <c r="B52" s="12"/>
      <c r="C52" s="10" t="s">
        <v>130</v>
      </c>
      <c r="D52" s="10" t="s">
        <v>98</v>
      </c>
      <c r="E52" s="10">
        <v>1</v>
      </c>
      <c r="F52" s="10" t="s">
        <v>50</v>
      </c>
      <c r="G52" s="22" t="s">
        <v>133</v>
      </c>
      <c r="H52" s="32" t="str">
        <f t="shared" si="38"/>
        <v>CSOP_DIDSet_OBDReq</v>
      </c>
      <c r="I52" s="15" t="str">
        <f t="shared" si="39"/>
        <v>u16_DIDLen_OBDReq</v>
      </c>
      <c r="J52" s="15" t="str">
        <f t="shared" si="40"/>
        <v>u16_DIDNum_OBDReq</v>
      </c>
      <c r="K52" s="15" t="str">
        <f t="shared" si="41"/>
        <v>u8_DIDSta_OBDReq</v>
      </c>
      <c r="L52" s="22" t="str">
        <f>IF((MID(D51, 5,LEN(D51)-4)/8 &lt; E51), ("u" &amp; MID(D51, 5,LEN(D51)-4) &amp; "Array" &amp; E51*8/MID(D51, 5,LEN(D51)-4) &amp; "_" &amp; G51),  ("u" &amp; MID(D51, 5,LEN(D51)-4) &amp; "_" &amp; G51))</f>
        <v>u8_OBDReq</v>
      </c>
      <c r="M52" s="33"/>
      <c r="N52" s="25" t="str">
        <f>"VHAL_DIDSet" &amp; G51 &amp; "_raw" &amp; MID(D51, 5,LEN(D51)-4)</f>
        <v>VHAL_DIDSetOBDReq_raw8</v>
      </c>
      <c r="O52" s="25" t="str">
        <f t="shared" ref="O52" si="44">"VHAL_DIDSta" &amp; G52 &amp; "_flg"</f>
        <v>VHAL_DIDStaOBDReq_flg</v>
      </c>
      <c r="P52" s="15"/>
      <c r="Q52" s="25"/>
      <c r="R52" s="22"/>
      <c r="S52" s="32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</row>
    <row r="53" spans="1:37" ht="18.75">
      <c r="A53" s="11" t="s">
        <v>163</v>
      </c>
      <c r="B53" s="12" t="s">
        <v>135</v>
      </c>
      <c r="C53" s="10" t="s">
        <v>130</v>
      </c>
      <c r="D53" s="10" t="s">
        <v>98</v>
      </c>
      <c r="E53" s="10">
        <v>2</v>
      </c>
      <c r="F53" s="10" t="s">
        <v>50</v>
      </c>
      <c r="G53" s="22" t="s">
        <v>150</v>
      </c>
      <c r="H53" s="32" t="str">
        <f t="shared" si="32"/>
        <v>CSOP_DIDSet_RUNTM</v>
      </c>
      <c r="I53" s="15" t="str">
        <f t="shared" si="33"/>
        <v>u16_DIDLen_RUNTM</v>
      </c>
      <c r="J53" s="15" t="str">
        <f t="shared" si="34"/>
        <v>u16_DIDNum_RUNTM</v>
      </c>
      <c r="K53" s="15" t="str">
        <f t="shared" si="35"/>
        <v>u8_DIDSta_RUNTM</v>
      </c>
      <c r="L53" s="22" t="str">
        <f t="shared" ref="L53:L56" si="45">IF((MID(D53, 5,LEN(D53)-4)/8 &lt; E53), ("u" &amp; MID(D53, 5,LEN(D53)-4) &amp; "Array" &amp; E53*8/MID(D53, 5,LEN(D53)-4) &amp; "_" &amp; G53),  ("u" &amp; MID(D53, 5,LEN(D53)-4) &amp; "_" &amp; G53))</f>
        <v>u8Array2_RUNTM</v>
      </c>
      <c r="M53" s="33"/>
      <c r="N53" s="25" t="str">
        <f t="shared" si="37"/>
        <v>VHAL_DIDSetRUNTM_raw8</v>
      </c>
      <c r="O53" s="25" t="str">
        <f t="shared" si="36"/>
        <v>VHAL_DIDStaRUNTM_flg</v>
      </c>
      <c r="P53" s="15"/>
      <c r="Q53" s="25"/>
      <c r="R53" s="22"/>
      <c r="S53" s="32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</row>
    <row r="54" spans="1:37" ht="18.75">
      <c r="A54" s="11" t="s">
        <v>164</v>
      </c>
      <c r="B54" s="12" t="s">
        <v>136</v>
      </c>
      <c r="C54" s="10" t="s">
        <v>130</v>
      </c>
      <c r="D54" s="10" t="s">
        <v>98</v>
      </c>
      <c r="E54" s="10">
        <v>2</v>
      </c>
      <c r="F54" s="10" t="s">
        <v>50</v>
      </c>
      <c r="G54" s="22" t="s">
        <v>151</v>
      </c>
      <c r="H54" s="32" t="str">
        <f t="shared" si="32"/>
        <v>CSOP_DIDSet_MILDIST</v>
      </c>
      <c r="I54" s="15" t="str">
        <f t="shared" si="33"/>
        <v>u16_DIDLen_MILDIST</v>
      </c>
      <c r="J54" s="15" t="str">
        <f t="shared" si="34"/>
        <v>u16_DIDNum_MILDIST</v>
      </c>
      <c r="K54" s="15" t="str">
        <f t="shared" si="35"/>
        <v>u8_DIDSta_MILDIST</v>
      </c>
      <c r="L54" s="22" t="str">
        <f t="shared" si="45"/>
        <v>u8Array2_MILDIST</v>
      </c>
      <c r="M54" s="33"/>
      <c r="N54" s="25" t="str">
        <f t="shared" si="37"/>
        <v>VHAL_DIDSetMILDIST_raw8</v>
      </c>
      <c r="O54" s="25" t="str">
        <f t="shared" si="36"/>
        <v>VHAL_DIDStaMILDIST_flg</v>
      </c>
      <c r="P54" s="15"/>
      <c r="Q54" s="25"/>
      <c r="R54" s="22"/>
    </row>
    <row r="55" spans="1:37" ht="18.75">
      <c r="A55" s="11" t="s">
        <v>165</v>
      </c>
      <c r="B55" s="12" t="s">
        <v>137</v>
      </c>
      <c r="C55" s="10" t="s">
        <v>130</v>
      </c>
      <c r="D55" s="10" t="s">
        <v>98</v>
      </c>
      <c r="E55" s="10">
        <v>2</v>
      </c>
      <c r="F55" s="10" t="s">
        <v>50</v>
      </c>
      <c r="G55" s="22" t="s">
        <v>152</v>
      </c>
      <c r="H55" s="32" t="str">
        <f t="shared" si="32"/>
        <v>CSOP_DIDSet_CLRDIST</v>
      </c>
      <c r="I55" s="15" t="str">
        <f t="shared" si="33"/>
        <v>u16_DIDLen_CLRDIST</v>
      </c>
      <c r="J55" s="15" t="str">
        <f t="shared" si="34"/>
        <v>u16_DIDNum_CLRDIST</v>
      </c>
      <c r="K55" s="15" t="str">
        <f t="shared" si="35"/>
        <v>u8_DIDSta_CLRDIST</v>
      </c>
      <c r="L55" s="22" t="str">
        <f t="shared" si="45"/>
        <v>u8Array2_CLRDIST</v>
      </c>
      <c r="M55" s="33"/>
      <c r="N55" s="25" t="str">
        <f t="shared" si="37"/>
        <v>VHAL_DIDSetCLRDIST_raw8</v>
      </c>
      <c r="O55" s="25" t="str">
        <f t="shared" si="36"/>
        <v>VHAL_DIDStaCLRDIST_flg</v>
      </c>
      <c r="P55" s="15"/>
      <c r="Q55" s="25"/>
      <c r="R55" s="22"/>
    </row>
    <row r="56" spans="1:37" ht="18.75">
      <c r="A56" s="11" t="s">
        <v>166</v>
      </c>
      <c r="B56" s="12" t="s">
        <v>138</v>
      </c>
      <c r="C56" s="10" t="s">
        <v>130</v>
      </c>
      <c r="D56" s="10" t="s">
        <v>98</v>
      </c>
      <c r="E56" s="10">
        <v>1</v>
      </c>
      <c r="F56" s="10" t="s">
        <v>50</v>
      </c>
      <c r="G56" s="22" t="s">
        <v>153</v>
      </c>
      <c r="H56" s="32" t="str">
        <f t="shared" si="32"/>
        <v>CSOP_DIDSet_APPD</v>
      </c>
      <c r="I56" s="15" t="str">
        <f t="shared" si="33"/>
        <v>u16_DIDLen_APPD</v>
      </c>
      <c r="J56" s="15" t="str">
        <f t="shared" si="34"/>
        <v>u16_DIDNum_APPD</v>
      </c>
      <c r="K56" s="15" t="str">
        <f t="shared" si="35"/>
        <v>u8_DIDSta_APPD</v>
      </c>
      <c r="L56" s="22" t="str">
        <f t="shared" si="45"/>
        <v>u8_APPD</v>
      </c>
      <c r="M56" s="33"/>
      <c r="N56" s="25" t="str">
        <f t="shared" si="37"/>
        <v>VHAL_DIDSetAPPD_raw8</v>
      </c>
      <c r="O56" s="25" t="str">
        <f t="shared" si="36"/>
        <v>VHAL_DIDStaAPPD_flg</v>
      </c>
      <c r="P56" s="15"/>
      <c r="Q56" s="25"/>
      <c r="R56" s="22"/>
    </row>
    <row r="57" spans="1:37" ht="18.75">
      <c r="A57" s="11" t="s">
        <v>167</v>
      </c>
      <c r="B57" s="12" t="s">
        <v>139</v>
      </c>
      <c r="C57" s="10" t="s">
        <v>130</v>
      </c>
      <c r="D57" s="10" t="s">
        <v>98</v>
      </c>
      <c r="E57" s="10">
        <v>1</v>
      </c>
      <c r="F57" s="10" t="s">
        <v>50</v>
      </c>
      <c r="G57" s="22" t="s">
        <v>154</v>
      </c>
      <c r="H57" s="32" t="str">
        <f t="shared" si="32"/>
        <v>CSOP_DIDSet_APPE</v>
      </c>
      <c r="I57" s="15" t="str">
        <f t="shared" si="33"/>
        <v>u16_DIDLen_APPE</v>
      </c>
      <c r="J57" s="15" t="str">
        <f t="shared" si="34"/>
        <v>u16_DIDNum_APPE</v>
      </c>
      <c r="K57" s="15" t="str">
        <f t="shared" si="35"/>
        <v>u8_DIDSta_APPE</v>
      </c>
      <c r="L57" s="22" t="str">
        <f>IF((MID(D57, 5,LEN(D57)-4)/8 &lt; E57), ("u" &amp; MID(D57, 5,LEN(D57)-4) &amp; "Array" &amp; E57*8/MID(D57, 5,LEN(D57)-4) &amp; "_" &amp; G57),  ("u" &amp; MID(D57, 5,LEN(D57)-4) &amp; "_" &amp; G57))</f>
        <v>u8_APPE</v>
      </c>
      <c r="M57" s="33"/>
      <c r="N57" s="25" t="str">
        <f t="shared" si="37"/>
        <v>VHAL_DIDSetAPPE_raw8</v>
      </c>
      <c r="O57" s="25" t="str">
        <f t="shared" si="36"/>
        <v>VHAL_DIDStaAPPE_flg</v>
      </c>
      <c r="P57" s="15"/>
      <c r="Q57" s="25"/>
      <c r="R57" s="22"/>
    </row>
    <row r="58" spans="1:37" ht="18.75">
      <c r="A58" s="11" t="s">
        <v>168</v>
      </c>
      <c r="B58" s="12" t="s">
        <v>140</v>
      </c>
      <c r="C58" s="10" t="s">
        <v>130</v>
      </c>
      <c r="D58" s="10" t="s">
        <v>98</v>
      </c>
      <c r="E58" s="10">
        <v>4</v>
      </c>
      <c r="F58" s="10" t="s">
        <v>50</v>
      </c>
      <c r="G58" s="22" t="s">
        <v>155</v>
      </c>
      <c r="H58" s="32" t="str">
        <f t="shared" si="32"/>
        <v>CSOP_DIDSet_ODOMETER</v>
      </c>
      <c r="I58" s="15" t="str">
        <f t="shared" si="33"/>
        <v>u16_DIDLen_ODOMETER</v>
      </c>
      <c r="J58" s="15" t="str">
        <f t="shared" si="34"/>
        <v>u16_DIDNum_ODOMETER</v>
      </c>
      <c r="K58" s="15" t="str">
        <f t="shared" si="35"/>
        <v>u8_DIDSta_ODOMETER</v>
      </c>
      <c r="L58" s="22" t="str">
        <f t="shared" ref="L58" si="46">IF((MID(D58, 5,LEN(D58)-4)/8 &lt; E58), ("u" &amp; MID(D58, 5,LEN(D58)-4) &amp; "Array" &amp; E58*8/MID(D58, 5,LEN(D58)-4) &amp; "_" &amp; G58),  ("u" &amp; MID(D58, 5,LEN(D58)-4) &amp; "_" &amp; G58))</f>
        <v>u8Array4_ODOMETER</v>
      </c>
      <c r="M58" s="33"/>
      <c r="N58" s="25" t="str">
        <f t="shared" si="37"/>
        <v>VHAL_DIDSetODOMETER_raw8</v>
      </c>
      <c r="O58" s="25" t="str">
        <f t="shared" si="36"/>
        <v>VHAL_DIDStaODOMETER_flg</v>
      </c>
      <c r="P58" s="15"/>
      <c r="Q58" s="25"/>
      <c r="R58" s="22"/>
    </row>
    <row r="59" spans="1:37" ht="18.75">
      <c r="A59" s="11" t="s">
        <v>169</v>
      </c>
      <c r="B59" s="12" t="s">
        <v>141</v>
      </c>
      <c r="C59" s="10" t="s">
        <v>130</v>
      </c>
      <c r="D59" s="10" t="s">
        <v>98</v>
      </c>
      <c r="E59" s="10">
        <v>2</v>
      </c>
      <c r="F59" s="10" t="s">
        <v>50</v>
      </c>
      <c r="G59" s="22" t="s">
        <v>156</v>
      </c>
      <c r="H59" s="32" t="str">
        <f t="shared" si="32"/>
        <v>CSOP_DIDSet_NUMPSATRIPSFLTMEMCLR</v>
      </c>
      <c r="I59" s="15" t="str">
        <f t="shared" si="33"/>
        <v>u16_DIDLen_NUMPSATRIPSFLTMEMCLR</v>
      </c>
      <c r="J59" s="15" t="str">
        <f t="shared" si="34"/>
        <v>u16_DIDNum_NUMPSATRIPSFLTMEMCLR</v>
      </c>
      <c r="K59" s="15" t="str">
        <f t="shared" si="35"/>
        <v>u8_DIDSta_NUMPSATRIPSFLTMEMCLR</v>
      </c>
      <c r="L59" s="22" t="str">
        <f t="shared" ref="L59:L62" si="47">IF((MID(D59, 5,LEN(D59)-4)/8 &lt; E59), ("u" &amp; MID(D59, 5,LEN(D59)-4) &amp; "Array" &amp; E59*8/MID(D59, 5,LEN(D59)-4) &amp; "_" &amp; G59),  ("u" &amp; MID(D59, 5,LEN(D59)-4) &amp; "_" &amp; G59))</f>
        <v>u8Array2_NUMPSATRIPSFLTMEMCLR</v>
      </c>
      <c r="M59" s="33"/>
      <c r="N59" s="25" t="str">
        <f t="shared" si="37"/>
        <v>VHAL_DIDSetNUMPSATRIPSFLTMEMCLR_raw8</v>
      </c>
      <c r="O59" s="25" t="str">
        <f t="shared" si="36"/>
        <v>VHAL_DIDStaNUMPSATRIPSFLTMEMCLR_flg</v>
      </c>
      <c r="P59" s="15"/>
      <c r="Q59" s="25"/>
      <c r="R59" s="22"/>
    </row>
    <row r="60" spans="1:37" ht="18.75">
      <c r="A60" s="42" t="s">
        <v>177</v>
      </c>
      <c r="B60" s="39" t="s">
        <v>142</v>
      </c>
      <c r="C60" s="40" t="s">
        <v>130</v>
      </c>
      <c r="D60" s="40" t="s">
        <v>98</v>
      </c>
      <c r="E60" s="40">
        <v>17</v>
      </c>
      <c r="F60" s="40" t="s">
        <v>50</v>
      </c>
      <c r="G60" s="41" t="s">
        <v>178</v>
      </c>
      <c r="H60" s="32" t="str">
        <f t="shared" ref="H60" si="48">IF(F60="W", "CSOP_DIDGet_" &amp; G60, "CSOP_DIDSet_" &amp; G60)</f>
        <v>CSOP_DIDSet_VIN</v>
      </c>
      <c r="I60" s="15" t="str">
        <f t="shared" ref="I60" si="49" xml:space="preserve"> "u16_DIDLen_" &amp; G60</f>
        <v>u16_DIDLen_VIN</v>
      </c>
      <c r="J60" s="15" t="str">
        <f t="shared" ref="J60" si="50" xml:space="preserve"> "u16_DIDNum_" &amp; G60</f>
        <v>u16_DIDNum_VIN</v>
      </c>
      <c r="K60" s="15" t="str">
        <f t="shared" ref="K60" si="51" xml:space="preserve"> "u8_DIDSta_" &amp; G60</f>
        <v>u8_DIDSta_VIN</v>
      </c>
      <c r="L60" s="22" t="str">
        <f t="shared" ref="L60" si="52">IF((MID(D60, 5,LEN(D60)-4)/8 &lt; E60), ("u" &amp; MID(D60, 5,LEN(D60)-4) &amp; "Array" &amp; E60*8/MID(D60, 5,LEN(D60)-4) &amp; "_" &amp; G60),  ("u" &amp; MID(D60, 5,LEN(D60)-4) &amp; "_" &amp; G60))</f>
        <v>u8Array17_VIN</v>
      </c>
      <c r="M60" s="33"/>
      <c r="N60" s="25" t="str">
        <f t="shared" ref="N60" si="53">"VHAL_DIDSet" &amp; G60 &amp; "_raw" &amp; MID(D60, 5,LEN(D60)-4)</f>
        <v>VHAL_DIDSetVIN_raw8</v>
      </c>
      <c r="O60" s="25" t="str">
        <f t="shared" ref="O60" si="54">"VHAL_DIDSta" &amp; G60 &amp; "_flg"</f>
        <v>VHAL_DIDStaVIN_flg</v>
      </c>
      <c r="P60" s="15"/>
      <c r="Q60" s="25"/>
      <c r="R60" s="22"/>
    </row>
    <row r="61" spans="1:37" ht="18.75">
      <c r="A61" s="11" t="s">
        <v>170</v>
      </c>
      <c r="B61" s="12" t="s">
        <v>143</v>
      </c>
      <c r="C61" s="10" t="s">
        <v>130</v>
      </c>
      <c r="D61" s="10" t="s">
        <v>98</v>
      </c>
      <c r="E61" s="10">
        <v>16</v>
      </c>
      <c r="F61" s="10" t="s">
        <v>50</v>
      </c>
      <c r="G61" s="22" t="s">
        <v>157</v>
      </c>
      <c r="H61" s="32" t="str">
        <f t="shared" si="32"/>
        <v>CSOP_DIDSet_CALID</v>
      </c>
      <c r="I61" s="15" t="str">
        <f t="shared" si="33"/>
        <v>u16_DIDLen_CALID</v>
      </c>
      <c r="J61" s="15" t="str">
        <f t="shared" si="34"/>
        <v>u16_DIDNum_CALID</v>
      </c>
      <c r="K61" s="15" t="str">
        <f t="shared" si="35"/>
        <v>u8_DIDSta_CALID</v>
      </c>
      <c r="L61" s="22" t="str">
        <f t="shared" si="47"/>
        <v>u8Array16_CALID</v>
      </c>
      <c r="M61" s="33"/>
      <c r="N61" s="25" t="str">
        <f t="shared" si="37"/>
        <v>VHAL_DIDSetCALID_raw8</v>
      </c>
      <c r="O61" s="25" t="str">
        <f t="shared" si="36"/>
        <v>VHAL_DIDStaCALID_flg</v>
      </c>
      <c r="P61" s="15"/>
      <c r="Q61" s="25"/>
      <c r="R61" s="22"/>
    </row>
    <row r="62" spans="1:37" ht="18.75">
      <c r="A62" s="11" t="s">
        <v>171</v>
      </c>
      <c r="B62" s="12" t="s">
        <v>144</v>
      </c>
      <c r="C62" s="10" t="s">
        <v>130</v>
      </c>
      <c r="D62" s="10" t="s">
        <v>98</v>
      </c>
      <c r="E62" s="10">
        <v>20</v>
      </c>
      <c r="F62" s="10" t="s">
        <v>50</v>
      </c>
      <c r="G62" s="22" t="s">
        <v>144</v>
      </c>
      <c r="H62" s="32" t="str">
        <f t="shared" si="32"/>
        <v>CSOP_DIDSet_ECUNAME</v>
      </c>
      <c r="I62" s="15" t="str">
        <f t="shared" si="33"/>
        <v>u16_DIDLen_ECUNAME</v>
      </c>
      <c r="J62" s="15" t="str">
        <f t="shared" si="34"/>
        <v>u16_DIDNum_ECUNAME</v>
      </c>
      <c r="K62" s="15" t="str">
        <f t="shared" si="35"/>
        <v>u8_DIDSta_ECUNAME</v>
      </c>
      <c r="L62" s="22" t="str">
        <f t="shared" si="47"/>
        <v>u8Array20_ECUNAME</v>
      </c>
      <c r="M62" s="33"/>
      <c r="N62" s="25" t="str">
        <f t="shared" si="37"/>
        <v>VHAL_DIDSetECUNAME_raw8</v>
      </c>
      <c r="O62" s="25" t="str">
        <f t="shared" si="36"/>
        <v>VHAL_DIDStaECUNAME_flg</v>
      </c>
      <c r="P62" s="15"/>
      <c r="Q62" s="25"/>
      <c r="R62" s="22"/>
    </row>
    <row r="63" spans="1:37" ht="18.75">
      <c r="A63" s="11" t="s">
        <v>128</v>
      </c>
      <c r="B63" s="12" t="s">
        <v>129</v>
      </c>
      <c r="C63" s="10" t="s">
        <v>130</v>
      </c>
      <c r="D63" s="10" t="s">
        <v>98</v>
      </c>
      <c r="E63" s="10">
        <v>1</v>
      </c>
      <c r="F63" s="10" t="s">
        <v>50</v>
      </c>
      <c r="G63" s="22" t="s">
        <v>131</v>
      </c>
      <c r="H63" s="32" t="str">
        <f t="shared" si="32"/>
        <v>CSOP_DIDSet_ProtocolId</v>
      </c>
      <c r="I63" s="15" t="str">
        <f t="shared" si="33"/>
        <v>u16_DIDLen_ProtocolId</v>
      </c>
      <c r="J63" s="15" t="str">
        <f t="shared" si="34"/>
        <v>u16_DIDNum_ProtocolId</v>
      </c>
      <c r="K63" s="15" t="str">
        <f t="shared" si="35"/>
        <v>u8_DIDSta_ProtocolId</v>
      </c>
      <c r="L63" s="22" t="str">
        <f>IF((MID(D63, 5,LEN(D63)-4)/8 &lt; E63), ("u" &amp; MID(D63, 5,LEN(D63)-4) &amp; "Array" &amp; E63*8/MID(D63, 5,LEN(D63)-4) &amp; "_" &amp; G63),  ("u" &amp; MID(D63, 5,LEN(D63)-4) &amp; "_" &amp; G63))</f>
        <v>u8_ProtocolId</v>
      </c>
      <c r="M63" s="33"/>
      <c r="N63" s="25" t="str">
        <f t="shared" si="37"/>
        <v>VHAL_DIDSetProtocolId_raw8</v>
      </c>
      <c r="O63" s="25" t="str">
        <f t="shared" si="36"/>
        <v>VHAL_DIDStaProtocolId_flg</v>
      </c>
      <c r="P63" s="15"/>
      <c r="Q63" s="25"/>
      <c r="R63" s="22"/>
    </row>
    <row r="64" spans="1:37" ht="18.75">
      <c r="A64" s="11" t="s">
        <v>172</v>
      </c>
      <c r="B64" s="12" t="s">
        <v>179</v>
      </c>
      <c r="C64" s="10" t="s">
        <v>130</v>
      </c>
      <c r="D64" s="10" t="s">
        <v>98</v>
      </c>
      <c r="E64" s="10">
        <v>12</v>
      </c>
      <c r="F64" s="10" t="s">
        <v>82</v>
      </c>
      <c r="G64" s="22" t="s">
        <v>148</v>
      </c>
      <c r="H64" s="32" t="str">
        <f t="shared" si="32"/>
        <v>CSOP_DIDGet_TestGroup</v>
      </c>
      <c r="I64" s="15" t="str">
        <f t="shared" si="33"/>
        <v>u16_DIDLen_TestGroup</v>
      </c>
      <c r="J64" s="15" t="str">
        <f t="shared" si="34"/>
        <v>u16_DIDNum_TestGroup</v>
      </c>
      <c r="K64" s="15" t="str">
        <f t="shared" si="35"/>
        <v>u8_DIDSta_TestGroup</v>
      </c>
      <c r="L64" s="22"/>
      <c r="M64" s="33" t="str">
        <f t="shared" ref="M64" si="55">IF((MID(D64, 5,LEN(D64)-4)/8 &lt; E64), ("u" &amp; MID(D64, 5,LEN(D64)-4) &amp; "Array" &amp; E64*8/MID(D64, 5,LEN(D64)-4) &amp; "_" &amp; G64),  ("u" &amp; MID(D64, 5,LEN(D64)-4) &amp; "_" &amp; G64))</f>
        <v>u8Array12_TestGroup</v>
      </c>
      <c r="N64" s="25"/>
      <c r="O64" s="25"/>
      <c r="P64" s="15" t="str">
        <f>"VHAL_DIDGet" &amp; G65 &amp; "_raw" &amp; MID(D65, 5,LEN(D65)-4)</f>
        <v>VHAL_DIDGetTestGroup_raw8</v>
      </c>
      <c r="Q64" s="25" t="str">
        <f>"VHAL_DIDSta" &amp; G64 &amp; "_flg"</f>
        <v>VHAL_DIDStaTestGroup_flg</v>
      </c>
      <c r="R64" s="22" t="str">
        <f t="shared" ref="R64" si="56">"VHAL_DIDFlash" &amp; G64 &amp; "_raw" &amp; MID(D64, 5,LEN(D64)-4)</f>
        <v>VHAL_DIDFlashTestGroup_raw8</v>
      </c>
    </row>
    <row r="65" spans="1:18" ht="18.75">
      <c r="A65" s="11"/>
      <c r="B65" s="12"/>
      <c r="C65" s="10" t="s">
        <v>130</v>
      </c>
      <c r="D65" s="10" t="s">
        <v>98</v>
      </c>
      <c r="E65" s="10">
        <v>12</v>
      </c>
      <c r="F65" s="10" t="s">
        <v>50</v>
      </c>
      <c r="G65" s="22" t="s">
        <v>148</v>
      </c>
      <c r="H65" s="32" t="str">
        <f t="shared" si="32"/>
        <v>CSOP_DIDSet_TestGroup</v>
      </c>
      <c r="I65" s="15" t="str">
        <f t="shared" si="33"/>
        <v>u16_DIDLen_TestGroup</v>
      </c>
      <c r="J65" s="15" t="str">
        <f t="shared" si="34"/>
        <v>u16_DIDNum_TestGroup</v>
      </c>
      <c r="K65" s="15" t="str">
        <f t="shared" si="35"/>
        <v>u8_DIDSta_TestGroup</v>
      </c>
      <c r="L65" s="22" t="str">
        <f>IF((MID(D64, 5,LEN(D64)-4)/8 &lt; E64), ("u" &amp; MID(D64, 5,LEN(D64)-4) &amp; "Array" &amp; E64*8/MID(D64, 5,LEN(D64)-4) &amp; "_" &amp; G64),  ("u" &amp; MID(D64, 5,LEN(D64)-4) &amp; "_" &amp; G64))</f>
        <v>u8Array12_TestGroup</v>
      </c>
      <c r="M65" s="33"/>
      <c r="N65" s="25" t="str">
        <f>"VHAL_DIDSet" &amp; G64 &amp; "_raw" &amp; MID(D64, 5,LEN(D64)-4)</f>
        <v>VHAL_DIDSetTestGroup_raw8</v>
      </c>
      <c r="O65" s="25" t="str">
        <f t="shared" ref="O65" si="57">"VHAL_DIDSta" &amp; G65 &amp; "_flg"</f>
        <v>VHAL_DIDStaTestGroup_flg</v>
      </c>
      <c r="P65" s="15"/>
      <c r="Q65" s="25"/>
      <c r="R65" s="22"/>
    </row>
    <row r="66" spans="1:18" ht="18.75">
      <c r="A66" s="11" t="s">
        <v>173</v>
      </c>
      <c r="B66" s="12" t="s">
        <v>180</v>
      </c>
      <c r="C66" s="10" t="s">
        <v>130</v>
      </c>
      <c r="D66" s="10" t="s">
        <v>98</v>
      </c>
      <c r="E66" s="10">
        <v>24</v>
      </c>
      <c r="F66" s="10" t="s">
        <v>50</v>
      </c>
      <c r="G66" s="22" t="s">
        <v>158</v>
      </c>
      <c r="H66" s="32" t="str">
        <f t="shared" si="32"/>
        <v>CSOP_DIDSet_PSA</v>
      </c>
      <c r="I66" s="15" t="str">
        <f t="shared" si="33"/>
        <v>u16_DIDLen_PSA</v>
      </c>
      <c r="J66" s="15" t="str">
        <f t="shared" si="34"/>
        <v>u16_DIDNum_PSA</v>
      </c>
      <c r="K66" s="15" t="str">
        <f t="shared" si="35"/>
        <v>u8_DIDSta_PSA</v>
      </c>
      <c r="L66" s="22" t="str">
        <f t="shared" ref="L66" si="58">IF((MID(D66, 5,LEN(D66)-4)/8 &lt; E66), ("u" &amp; MID(D66, 5,LEN(D66)-4) &amp; "Array" &amp; E66*8/MID(D66, 5,LEN(D66)-4) &amp; "_" &amp; G66),  ("u" &amp; MID(D66, 5,LEN(D66)-4) &amp; "_" &amp; G66))</f>
        <v>u8Array24_PSA</v>
      </c>
      <c r="M66" s="33"/>
      <c r="N66" s="25" t="str">
        <f t="shared" si="37"/>
        <v>VHAL_DIDSetPSA_raw8</v>
      </c>
      <c r="O66" s="25" t="str">
        <f t="shared" si="36"/>
        <v>VHAL_DIDStaPSA_flg</v>
      </c>
      <c r="P66" s="15"/>
      <c r="Q66" s="25"/>
      <c r="R66" s="22"/>
    </row>
    <row r="67" spans="1:18" ht="18.75">
      <c r="A67" s="11" t="s">
        <v>174</v>
      </c>
      <c r="B67" s="12" t="s">
        <v>145</v>
      </c>
      <c r="C67" s="10" t="s">
        <v>130</v>
      </c>
      <c r="D67" s="10" t="s">
        <v>98</v>
      </c>
      <c r="E67" s="10">
        <v>8</v>
      </c>
      <c r="F67" s="10" t="s">
        <v>50</v>
      </c>
      <c r="G67" s="22" t="s">
        <v>159</v>
      </c>
      <c r="H67" s="32" t="str">
        <f t="shared" si="32"/>
        <v>CSOP_DIDSet_PKE</v>
      </c>
      <c r="I67" s="15" t="str">
        <f t="shared" si="33"/>
        <v>u16_DIDLen_PKE</v>
      </c>
      <c r="J67" s="15" t="str">
        <f t="shared" si="34"/>
        <v>u16_DIDNum_PKE</v>
      </c>
      <c r="K67" s="15" t="str">
        <f t="shared" si="35"/>
        <v>u8_DIDSta_PKE</v>
      </c>
      <c r="L67" s="22" t="str">
        <f t="shared" ref="L67:L68" si="59">IF((MID(D67, 5,LEN(D67)-4)/8 &lt; E67), ("u" &amp; MID(D67, 5,LEN(D67)-4) &amp; "Array" &amp; E67*8/MID(D67, 5,LEN(D67)-4) &amp; "_" &amp; G67),  ("u" &amp; MID(D67, 5,LEN(D67)-4) &amp; "_" &amp; G67))</f>
        <v>u8Array8_PKE</v>
      </c>
      <c r="M67" s="33"/>
      <c r="N67" s="25" t="str">
        <f t="shared" si="37"/>
        <v>VHAL_DIDSetPKE_raw8</v>
      </c>
      <c r="O67" s="25" t="str">
        <f t="shared" si="36"/>
        <v>VHAL_DIDStaPKE_flg</v>
      </c>
      <c r="P67" s="15"/>
      <c r="Q67" s="25"/>
      <c r="R67" s="22"/>
    </row>
    <row r="68" spans="1:18" ht="18.75">
      <c r="A68" s="11" t="s">
        <v>175</v>
      </c>
      <c r="B68" s="12" t="s">
        <v>146</v>
      </c>
      <c r="C68" s="10" t="s">
        <v>130</v>
      </c>
      <c r="D68" s="10" t="s">
        <v>98</v>
      </c>
      <c r="E68" s="10">
        <v>8</v>
      </c>
      <c r="F68" s="10" t="s">
        <v>50</v>
      </c>
      <c r="G68" s="22" t="s">
        <v>160</v>
      </c>
      <c r="H68" s="32" t="str">
        <f t="shared" si="32"/>
        <v>CSOP_DIDSet_CDEODT</v>
      </c>
      <c r="I68" s="15" t="str">
        <f t="shared" si="33"/>
        <v>u16_DIDLen_CDEODT</v>
      </c>
      <c r="J68" s="15" t="str">
        <f t="shared" si="34"/>
        <v>u16_DIDNum_CDEODT</v>
      </c>
      <c r="K68" s="15" t="str">
        <f t="shared" si="35"/>
        <v>u8_DIDSta_CDEODT</v>
      </c>
      <c r="L68" s="22" t="str">
        <f t="shared" si="59"/>
        <v>u8Array8_CDEODT</v>
      </c>
      <c r="M68" s="33"/>
      <c r="N68" s="25" t="str">
        <f t="shared" si="37"/>
        <v>VHAL_DIDSetCDEODT_raw8</v>
      </c>
      <c r="O68" s="25" t="str">
        <f t="shared" si="36"/>
        <v>VHAL_DIDStaCDEODT_flg</v>
      </c>
      <c r="P68" s="15"/>
      <c r="Q68" s="25"/>
      <c r="R68" s="22"/>
    </row>
    <row r="69" spans="1:18" ht="18.75">
      <c r="A69" s="11" t="s">
        <v>176</v>
      </c>
      <c r="B69" s="12" t="s">
        <v>147</v>
      </c>
      <c r="C69" s="10" t="s">
        <v>130</v>
      </c>
      <c r="D69" s="10" t="s">
        <v>98</v>
      </c>
      <c r="E69" s="10">
        <v>8</v>
      </c>
      <c r="F69" s="10" t="s">
        <v>50</v>
      </c>
      <c r="G69" s="22" t="s">
        <v>161</v>
      </c>
      <c r="H69" s="32" t="str">
        <f t="shared" si="32"/>
        <v>CSOP_DIDSet_QTYPSATRIPS</v>
      </c>
      <c r="I69" s="15" t="str">
        <f t="shared" si="33"/>
        <v>u16_DIDLen_QTYPSATRIPS</v>
      </c>
      <c r="J69" s="15" t="str">
        <f t="shared" si="34"/>
        <v>u16_DIDNum_QTYPSATRIPS</v>
      </c>
      <c r="K69" s="15" t="str">
        <f t="shared" si="35"/>
        <v>u8_DIDSta_QTYPSATRIPS</v>
      </c>
      <c r="L69" s="22" t="str">
        <f>IF((MID(D69, 5,LEN(D69)-4)/8 &lt; E69), ("u" &amp; MID(D69, 5,LEN(D69)-4) &amp; "Array" &amp; E69*8/MID(D69, 5,LEN(D69)-4) &amp; "_" &amp; G69),  ("u" &amp; MID(D69, 5,LEN(D69)-4) &amp; "_" &amp; G69))</f>
        <v>u8Array8_QTYPSATRIPS</v>
      </c>
      <c r="M69" s="33"/>
      <c r="N69" s="25" t="str">
        <f t="shared" si="37"/>
        <v>VHAL_DIDSetQTYPSATRIPS_raw8</v>
      </c>
      <c r="O69" s="25" t="str">
        <f t="shared" si="36"/>
        <v>VHAL_DIDStaQTYPSATRIPS_flg</v>
      </c>
      <c r="P69" s="15"/>
      <c r="Q69" s="25"/>
      <c r="R69" s="22"/>
    </row>
    <row r="70" spans="1:18" ht="18.75">
      <c r="A70" s="11" t="s">
        <v>186</v>
      </c>
      <c r="B70" s="12" t="s">
        <v>187</v>
      </c>
      <c r="C70" s="10" t="s">
        <v>196</v>
      </c>
      <c r="D70" s="10" t="s">
        <v>98</v>
      </c>
      <c r="E70" s="10">
        <v>2</v>
      </c>
      <c r="F70" s="10" t="s">
        <v>50</v>
      </c>
      <c r="G70" s="22" t="s">
        <v>198</v>
      </c>
      <c r="H70" s="32" t="str">
        <f t="shared" ref="H70:H76" si="60">IF(F70="W", "CSOP_DIDGet_" &amp; G70, "CSOP_DIDSet_" &amp; G70)</f>
        <v>CSOP_DIDSet_DKCSta</v>
      </c>
      <c r="I70" s="15" t="str">
        <f t="shared" ref="I70:I76" si="61" xml:space="preserve"> "u16_DIDLen_" &amp; G70</f>
        <v>u16_DIDLen_DKCSta</v>
      </c>
      <c r="J70" s="15" t="str">
        <f t="shared" ref="J70:J76" si="62" xml:space="preserve"> "u16_DIDNum_" &amp; G70</f>
        <v>u16_DIDNum_DKCSta</v>
      </c>
      <c r="K70" s="15" t="str">
        <f t="shared" ref="K70:K76" si="63" xml:space="preserve"> "u8_DIDSta_" &amp; G70</f>
        <v>u8_DIDSta_DKCSta</v>
      </c>
      <c r="L70" s="22" t="str">
        <f t="shared" ref="L70:L76" si="64">IF((MID(D70, 5,LEN(D70)-4)/8 &lt; E70), ("u" &amp; MID(D70, 5,LEN(D70)-4) &amp; "Array" &amp; E70*8/MID(D70, 5,LEN(D70)-4) &amp; "_" &amp; G70),  ("u" &amp; MID(D70, 5,LEN(D70)-4) &amp; "_" &amp; G70))</f>
        <v>u8Array2_DKCSta</v>
      </c>
      <c r="M70" s="33"/>
      <c r="N70" s="25" t="str">
        <f t="shared" ref="N70:N76" si="65">"VHAL_DIDSet" &amp; G70 &amp; "_raw" &amp; MID(D70, 5,LEN(D70)-4)</f>
        <v>VHAL_DIDSetDKCSta_raw8</v>
      </c>
      <c r="O70" s="25" t="str">
        <f t="shared" ref="O70:O76" si="66">"VHAL_DIDSta" &amp; G70 &amp; "_flg"</f>
        <v>VHAL_DIDStaDKCSta_flg</v>
      </c>
      <c r="P70" s="15"/>
      <c r="Q70" s="25"/>
      <c r="R70" s="22"/>
    </row>
    <row r="71" spans="1:18" ht="18.75">
      <c r="A71" s="11" t="s">
        <v>188</v>
      </c>
      <c r="B71" s="12" t="s">
        <v>189</v>
      </c>
      <c r="C71" s="10" t="s">
        <v>196</v>
      </c>
      <c r="D71" s="10" t="s">
        <v>98</v>
      </c>
      <c r="E71" s="10">
        <v>2</v>
      </c>
      <c r="F71" s="10" t="s">
        <v>50</v>
      </c>
      <c r="G71" s="22" t="s">
        <v>197</v>
      </c>
      <c r="H71" s="32" t="str">
        <f t="shared" si="60"/>
        <v>CSOP_DIDSet_DKCBLESta</v>
      </c>
      <c r="I71" s="15" t="str">
        <f t="shared" si="61"/>
        <v>u16_DIDLen_DKCBLESta</v>
      </c>
      <c r="J71" s="15" t="str">
        <f t="shared" si="62"/>
        <v>u16_DIDNum_DKCBLESta</v>
      </c>
      <c r="K71" s="15" t="str">
        <f t="shared" si="63"/>
        <v>u8_DIDSta_DKCBLESta</v>
      </c>
      <c r="L71" s="22" t="str">
        <f t="shared" si="64"/>
        <v>u8Array2_DKCBLESta</v>
      </c>
      <c r="M71" s="33"/>
      <c r="N71" s="25" t="str">
        <f t="shared" si="65"/>
        <v>VHAL_DIDSetDKCBLESta_raw8</v>
      </c>
      <c r="O71" s="25" t="str">
        <f t="shared" si="66"/>
        <v>VHAL_DIDStaDKCBLESta_flg</v>
      </c>
      <c r="P71" s="15"/>
      <c r="Q71" s="25"/>
      <c r="R71" s="22"/>
    </row>
    <row r="72" spans="1:18" ht="18.75">
      <c r="A72" s="11" t="s">
        <v>190</v>
      </c>
      <c r="B72" s="12" t="s">
        <v>191</v>
      </c>
      <c r="C72" s="10" t="s">
        <v>196</v>
      </c>
      <c r="D72" s="10" t="s">
        <v>98</v>
      </c>
      <c r="E72" s="10">
        <v>93</v>
      </c>
      <c r="F72" s="10" t="s">
        <v>50</v>
      </c>
      <c r="G72" s="22" t="s">
        <v>200</v>
      </c>
      <c r="H72" s="32" t="str">
        <f t="shared" si="60"/>
        <v>CSOP_DIDSet_UWBAnchorSta</v>
      </c>
      <c r="I72" s="15" t="str">
        <f t="shared" si="61"/>
        <v>u16_DIDLen_UWBAnchorSta</v>
      </c>
      <c r="J72" s="15" t="str">
        <f t="shared" si="62"/>
        <v>u16_DIDNum_UWBAnchorSta</v>
      </c>
      <c r="K72" s="15" t="str">
        <f t="shared" si="63"/>
        <v>u8_DIDSta_UWBAnchorSta</v>
      </c>
      <c r="L72" s="22" t="str">
        <f t="shared" si="64"/>
        <v>u8Array93_UWBAnchorSta</v>
      </c>
      <c r="M72" s="33"/>
      <c r="N72" s="25" t="str">
        <f t="shared" si="65"/>
        <v>VHAL_DIDSetUWBAnchorSta_raw8</v>
      </c>
      <c r="O72" s="25" t="str">
        <f t="shared" si="66"/>
        <v>VHAL_DIDStaUWBAnchorSta_flg</v>
      </c>
      <c r="P72" s="15"/>
      <c r="Q72" s="25"/>
      <c r="R72" s="22"/>
    </row>
    <row r="73" spans="1:18" ht="18.75">
      <c r="A73" s="11" t="s">
        <v>182</v>
      </c>
      <c r="B73" s="12" t="s">
        <v>192</v>
      </c>
      <c r="C73" s="10" t="s">
        <v>196</v>
      </c>
      <c r="D73" s="10" t="s">
        <v>98</v>
      </c>
      <c r="E73" s="10">
        <v>21</v>
      </c>
      <c r="F73" s="10" t="s">
        <v>50</v>
      </c>
      <c r="G73" s="22" t="s">
        <v>201</v>
      </c>
      <c r="H73" s="32" t="str">
        <f t="shared" si="60"/>
        <v>CSOP_DIDSet_LIDAAnchorSta</v>
      </c>
      <c r="I73" s="15" t="str">
        <f t="shared" si="61"/>
        <v>u16_DIDLen_LIDAAnchorSta</v>
      </c>
      <c r="J73" s="15" t="str">
        <f t="shared" si="62"/>
        <v>u16_DIDNum_LIDAAnchorSta</v>
      </c>
      <c r="K73" s="15" t="str">
        <f t="shared" si="63"/>
        <v>u8_DIDSta_LIDAAnchorSta</v>
      </c>
      <c r="L73" s="22" t="str">
        <f t="shared" si="64"/>
        <v>u8Array21_LIDAAnchorSta</v>
      </c>
      <c r="M73" s="33"/>
      <c r="N73" s="25" t="str">
        <f t="shared" si="65"/>
        <v>VHAL_DIDSetLIDAAnchorSta_raw8</v>
      </c>
      <c r="O73" s="25" t="str">
        <f t="shared" si="66"/>
        <v>VHAL_DIDStaLIDAAnchorSta_flg</v>
      </c>
      <c r="P73" s="15"/>
      <c r="Q73" s="25"/>
      <c r="R73" s="22"/>
    </row>
    <row r="74" spans="1:18" ht="18.75">
      <c r="A74" s="11" t="s">
        <v>183</v>
      </c>
      <c r="B74" s="12" t="s">
        <v>193</v>
      </c>
      <c r="C74" s="10" t="s">
        <v>196</v>
      </c>
      <c r="D74" s="10" t="s">
        <v>98</v>
      </c>
      <c r="E74" s="10">
        <v>21</v>
      </c>
      <c r="F74" s="10" t="s">
        <v>50</v>
      </c>
      <c r="G74" s="22" t="s">
        <v>202</v>
      </c>
      <c r="H74" s="32" t="str">
        <f t="shared" si="60"/>
        <v>CSOP_DIDSet_DoorNFCAnchorSta</v>
      </c>
      <c r="I74" s="15" t="str">
        <f t="shared" si="61"/>
        <v>u16_DIDLen_DoorNFCAnchorSta</v>
      </c>
      <c r="J74" s="15" t="str">
        <f t="shared" si="62"/>
        <v>u16_DIDNum_DoorNFCAnchorSta</v>
      </c>
      <c r="K74" s="15" t="str">
        <f t="shared" si="63"/>
        <v>u8_DIDSta_DoorNFCAnchorSta</v>
      </c>
      <c r="L74" s="22" t="str">
        <f t="shared" si="64"/>
        <v>u8Array21_DoorNFCAnchorSta</v>
      </c>
      <c r="M74" s="33"/>
      <c r="N74" s="25" t="str">
        <f t="shared" si="65"/>
        <v>VHAL_DIDSetDoorNFCAnchorSta_raw8</v>
      </c>
      <c r="O74" s="25" t="str">
        <f t="shared" si="66"/>
        <v>VHAL_DIDStaDoorNFCAnchorSta_flg</v>
      </c>
      <c r="P74" s="15"/>
      <c r="Q74" s="25"/>
      <c r="R74" s="22"/>
    </row>
    <row r="75" spans="1:18" ht="18.75">
      <c r="A75" s="11" t="s">
        <v>184</v>
      </c>
      <c r="B75" s="12" t="s">
        <v>194</v>
      </c>
      <c r="C75" s="10" t="s">
        <v>196</v>
      </c>
      <c r="D75" s="10" t="s">
        <v>98</v>
      </c>
      <c r="E75" s="10">
        <v>26</v>
      </c>
      <c r="F75" s="10" t="s">
        <v>50</v>
      </c>
      <c r="G75" s="22" t="s">
        <v>199</v>
      </c>
      <c r="H75" s="32" t="str">
        <f t="shared" si="60"/>
        <v>CSOP_DIDSet_UIDSta</v>
      </c>
      <c r="I75" s="15" t="str">
        <f t="shared" si="61"/>
        <v>u16_DIDLen_UIDSta</v>
      </c>
      <c r="J75" s="15" t="str">
        <f t="shared" si="62"/>
        <v>u16_DIDNum_UIDSta</v>
      </c>
      <c r="K75" s="15" t="str">
        <f t="shared" si="63"/>
        <v>u8_DIDSta_UIDSta</v>
      </c>
      <c r="L75" s="22" t="str">
        <f t="shared" si="64"/>
        <v>u8Array26_UIDSta</v>
      </c>
      <c r="M75" s="33"/>
      <c r="N75" s="25" t="str">
        <f t="shared" si="65"/>
        <v>VHAL_DIDSetUIDSta_raw8</v>
      </c>
      <c r="O75" s="25" t="str">
        <f t="shared" si="66"/>
        <v>VHAL_DIDStaUIDSta_flg</v>
      </c>
      <c r="P75" s="15"/>
      <c r="Q75" s="25"/>
      <c r="R75" s="22"/>
    </row>
    <row r="76" spans="1:18" ht="18.75">
      <c r="A76" s="11" t="s">
        <v>185</v>
      </c>
      <c r="B76" s="12" t="s">
        <v>195</v>
      </c>
      <c r="C76" s="10" t="s">
        <v>196</v>
      </c>
      <c r="D76" s="10" t="s">
        <v>98</v>
      </c>
      <c r="E76" s="10">
        <v>3</v>
      </c>
      <c r="F76" s="10" t="s">
        <v>50</v>
      </c>
      <c r="G76" s="22" t="s">
        <v>203</v>
      </c>
      <c r="H76" s="32" t="str">
        <f t="shared" si="60"/>
        <v>CSOP_DIDSet_FDDKCCoordXY</v>
      </c>
      <c r="I76" s="15" t="str">
        <f t="shared" si="61"/>
        <v>u16_DIDLen_FDDKCCoordXY</v>
      </c>
      <c r="J76" s="15" t="str">
        <f t="shared" si="62"/>
        <v>u16_DIDNum_FDDKCCoordXY</v>
      </c>
      <c r="K76" s="15" t="str">
        <f t="shared" si="63"/>
        <v>u8_DIDSta_FDDKCCoordXY</v>
      </c>
      <c r="L76" s="22" t="str">
        <f t="shared" si="64"/>
        <v>u8Array3_FDDKCCoordXY</v>
      </c>
      <c r="M76" s="33"/>
      <c r="N76" s="25" t="str">
        <f t="shared" si="65"/>
        <v>VHAL_DIDSetFDDKCCoordXY_raw8</v>
      </c>
      <c r="O76" s="25" t="str">
        <f t="shared" si="66"/>
        <v>VHAL_DIDStaFDDKCCoordXY_flg</v>
      </c>
      <c r="P76" s="15"/>
      <c r="Q76" s="25"/>
      <c r="R76" s="22"/>
    </row>
    <row r="86" spans="2:2">
      <c r="B86" s="5"/>
    </row>
  </sheetData>
  <phoneticPr fontId="2" type="noConversion"/>
  <conditionalFormatting sqref="A11:B76">
    <cfRule type="cellIs" dxfId="0" priority="5" stopIfTrue="1" operator="equal">
      <formula>"tbd"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林柏毅(Boki.BY.Lin)</dc:creator>
  <cp:lastModifiedBy>林雋彧(Daniel.CY.Lin)</cp:lastModifiedBy>
  <dcterms:created xsi:type="dcterms:W3CDTF">2024-04-24T05:04:47Z</dcterms:created>
  <dcterms:modified xsi:type="dcterms:W3CDTF">2025-06-10T02:08:24Z</dcterms:modified>
</cp:coreProperties>
</file>