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fileSharing readOnlyRecommended="1"/>
  <workbookPr codeName="ThisWorkbook"/>
  <mc:AlternateContent xmlns:mc="http://schemas.openxmlformats.org/markup-compatibility/2006">
    <mc:Choice Requires="x15">
      <x15ac:absPath xmlns:x15ac="http://schemas.microsoft.com/office/spreadsheetml/2010/11/ac" url="C:\Users\fvt23118\Desktop\Git_DID\fdc-bsp-m7-autosar\app\common\documents\"/>
    </mc:Choice>
  </mc:AlternateContent>
  <xr:revisionPtr revIDLastSave="0" documentId="13_ncr:1_{D1C4DDDF-A509-4EE6-8E6F-189C7C5CE887}" xr6:coauthVersionLast="47" xr6:coauthVersionMax="47" xr10:uidLastSave="{00000000-0000-0000-0000-000000000000}"/>
  <bookViews>
    <workbookView xWindow="-120" yWindow="-120" windowWidth="38640" windowHeight="15720" tabRatio="771" firstSheet="5" activeTab="15" xr2:uid="{00000000-000D-0000-FFFF-FFFF00000000}"/>
  </bookViews>
  <sheets>
    <sheet name="DTCInfo" sheetId="54" r:id="rId1"/>
    <sheet name="GeneralInfo" sheetId="53" r:id="rId2"/>
    <sheet name="Cover" sheetId="1" r:id="rId3"/>
    <sheet name="Introduction" sheetId="42" r:id="rId4"/>
    <sheet name="Revision" sheetId="2" r:id="rId5"/>
    <sheet name="GeneralInfo2" sheetId="51" r:id="rId6"/>
    <sheet name="Services" sheetId="4" r:id="rId7"/>
    <sheet name="27Service" sheetId="7" r:id="rId8"/>
    <sheet name="28Service" sheetId="6" r:id="rId9"/>
    <sheet name="DTCInfo2" sheetId="52" r:id="rId10"/>
    <sheet name="DTCList" sheetId="46" r:id="rId11"/>
    <sheet name="DTCData" sheetId="50" r:id="rId12"/>
    <sheet name="Snapshot" sheetId="11" r:id="rId13"/>
    <sheet name="SnapshotList" sheetId="47" r:id="rId14"/>
    <sheet name="ExtendedData" sheetId="36" r:id="rId15"/>
    <sheet name="DIDList" sheetId="15" r:id="rId16"/>
    <sheet name="DIDData" sheetId="16" r:id="rId17"/>
    <sheet name="2FService" sheetId="37" r:id="rId18"/>
    <sheet name="31Service" sheetId="38" r:id="rId19"/>
    <sheet name="23_3DService" sheetId="34" r:id="rId20"/>
    <sheet name="2AService" sheetId="35" r:id="rId21"/>
    <sheet name="Bootloader" sheetId="40" r:id="rId22"/>
    <sheet name="EOL" sheetId="44" r:id="rId23"/>
    <sheet name="Calibration" sheetId="45" r:id="rId24"/>
    <sheet name="NRC" sheetId="43" r:id="rId25"/>
    <sheet name="OIL" sheetId="30" r:id="rId26"/>
  </sheets>
  <externalReferences>
    <externalReference r:id="rId27"/>
  </externalReferences>
  <definedNames>
    <definedName name="_0x04_ReportDTCSnapshotRecordByDTCNumber_0x04_通过DTC报告Snapshot的记录" localSheetId="13">#REF!</definedName>
    <definedName name="_0x04_ReportDTCSnapshotRecordByDTCNumber_0x04_通过DTC报告Snapshot的记录">Services!$D$40</definedName>
    <definedName name="_0x06_ReportDTCExtendedDataRecordByDTCNumber_0x06_通过DTC报告扩展数据记录" localSheetId="13">#REF!</definedName>
    <definedName name="_0x06_ReportDTCExtendedDataRecordByDTCNumber_0x06_通过DTC报告扩展数据记录">Services!$D$41</definedName>
    <definedName name="_0x14" localSheetId="13">#REF!</definedName>
    <definedName name="_0x14">Services!$A$44</definedName>
    <definedName name="_0x22" localSheetId="13">#REF!</definedName>
    <definedName name="_0x22">Services!$A$30</definedName>
    <definedName name="_0x23" localSheetId="13">#REF!</definedName>
    <definedName name="_0x23">Services!$A$32</definedName>
    <definedName name="_0x27" localSheetId="13">#REF!</definedName>
    <definedName name="_0x27">Services!$A$12</definedName>
    <definedName name="_0x28" localSheetId="13">#REF!</definedName>
    <definedName name="_0x28">Services!$A$24</definedName>
    <definedName name="_0x2A" localSheetId="13">#REF!</definedName>
    <definedName name="_0x2A">Services!$A$34</definedName>
    <definedName name="_0x2E" localSheetId="13">#REF!</definedName>
    <definedName name="_0x2E">Services!$A$31</definedName>
    <definedName name="_0x2F" localSheetId="13">#REF!</definedName>
    <definedName name="_0x2F">Services!$A$45</definedName>
    <definedName name="_0x31" localSheetId="13">#REF!</definedName>
    <definedName name="_0x31">Services!$A$46</definedName>
    <definedName name="_0x3D" localSheetId="13">#REF!</definedName>
    <definedName name="_0x3D">Services!$A$33</definedName>
    <definedName name="_xlnm._FilterDatabase" localSheetId="11" hidden="1">DTCData!$A$6:$CW$382</definedName>
    <definedName name="_xlnm._FilterDatabase" localSheetId="10" hidden="1">DTCList!$A$6:$AA$6</definedName>
    <definedName name="_xlnm._FilterDatabase" localSheetId="12" hidden="1">Snapshot!$A$5:$Q$11</definedName>
    <definedName name="Support_Customized_NRC_支持的自定义否定响应码" localSheetId="13">#REF!</definedName>
    <definedName name="Support_Customized_NRC_支持的自定义否定响应码">Services!$L$6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26" i="16" l="1"/>
  <c r="A612" i="16"/>
  <c r="A609" i="16"/>
  <c r="A603" i="16"/>
  <c r="A586" i="16"/>
  <c r="E33" i="53" l="1"/>
  <c r="O385" i="16"/>
  <c r="N385" i="16"/>
  <c r="M385" i="16"/>
  <c r="K385" i="16"/>
  <c r="J385" i="16"/>
  <c r="I385" i="16"/>
  <c r="O372" i="16"/>
  <c r="N372" i="16"/>
  <c r="M372" i="16"/>
  <c r="K372" i="16"/>
  <c r="J372" i="16"/>
  <c r="I372" i="16"/>
  <c r="E29" i="51"/>
  <c r="A12" i="16" l="1"/>
  <c r="A14" i="16" s="1"/>
  <c r="A16" i="16" s="1"/>
  <c r="A18" i="16" s="1"/>
  <c r="A20" i="16" s="1"/>
  <c r="A22" i="16" s="1"/>
  <c r="A24" i="16" s="1"/>
  <c r="A26" i="16" s="1"/>
  <c r="A28" i="16" s="1"/>
  <c r="A34" i="16" s="1"/>
  <c r="A36" i="16" s="1"/>
  <c r="A38" i="16" s="1"/>
  <c r="A40" i="16" s="1"/>
  <c r="A14" i="1"/>
  <c r="C10" i="7"/>
  <c r="C11" i="7"/>
  <c r="C14" i="1"/>
  <c r="C14" i="7"/>
  <c r="C13" i="7"/>
  <c r="C12" i="7"/>
  <c r="C9" i="7"/>
  <c r="C8" i="7"/>
  <c r="C7" i="7"/>
  <c r="A42" i="16" l="1"/>
  <c r="A44" i="16" s="1"/>
  <c r="A46" i="16" s="1"/>
  <c r="A48" i="16" s="1"/>
  <c r="A51" i="16" s="1"/>
  <c r="A54" i="16" s="1"/>
  <c r="A56" i="16" s="1"/>
  <c r="A58" i="16" s="1"/>
  <c r="A60" i="16" s="1"/>
  <c r="A62" i="16" s="1"/>
  <c r="A64" i="16" s="1"/>
  <c r="A66" i="16" s="1"/>
  <c r="A68" i="16" s="1"/>
  <c r="A70" i="16" s="1"/>
  <c r="A73" i="16" s="1"/>
  <c r="A76" i="16" s="1"/>
  <c r="A78" i="16" s="1"/>
  <c r="A80" i="16" s="1"/>
  <c r="A85" i="16" s="1"/>
  <c r="A87" i="16" s="1"/>
  <c r="A89" i="16" s="1"/>
  <c r="A91" i="16" s="1"/>
  <c r="A93" i="16" s="1"/>
  <c r="A95" i="16" s="1"/>
  <c r="A97" i="16" s="1"/>
  <c r="A99" i="16" s="1"/>
  <c r="A101" i="16" s="1"/>
  <c r="A103" i="16" s="1"/>
  <c r="A120" i="16" s="1"/>
  <c r="A122" i="16" s="1"/>
  <c r="A124" i="16" s="1"/>
  <c r="A126" i="16" s="1"/>
  <c r="A128" i="16" s="1"/>
  <c r="A130" i="16" s="1"/>
  <c r="A132" i="16" s="1"/>
  <c r="A134" i="16" l="1"/>
  <c r="A136" i="16" s="1"/>
  <c r="A142" i="16" s="1"/>
  <c r="A149" i="16" s="1"/>
  <c r="A151" i="16" s="1"/>
  <c r="A153" i="16" s="1"/>
  <c r="A155" i="16" s="1"/>
  <c r="A169" i="16" s="1"/>
  <c r="A174" i="16" s="1"/>
  <c r="A178" i="16" s="1"/>
  <c r="A180" i="16" s="1"/>
  <c r="A182" i="16" s="1"/>
  <c r="A184" i="16" s="1"/>
  <c r="A186" i="16" s="1"/>
  <c r="A191" i="16" s="1"/>
  <c r="A196" i="16" s="1"/>
  <c r="A201" i="16" s="1"/>
  <c r="A203" i="16" s="1"/>
  <c r="A205" i="16" s="1"/>
  <c r="A207" i="16" s="1"/>
  <c r="A209" i="16" s="1"/>
  <c r="A214" i="16" s="1"/>
  <c r="A216" i="16" s="1"/>
  <c r="A218" i="16" s="1"/>
  <c r="A220" i="16" s="1"/>
  <c r="A222" i="16" s="1"/>
  <c r="A224" i="16" s="1"/>
  <c r="A233" i="16" s="1"/>
  <c r="A235" i="16" s="1"/>
  <c r="A237" i="16" s="1"/>
  <c r="A239" i="16" s="1"/>
  <c r="A241" i="16" s="1"/>
  <c r="A243" i="16" s="1"/>
  <c r="A245" i="16" s="1"/>
  <c r="A247" i="16" s="1"/>
  <c r="A249" i="16" s="1"/>
  <c r="A251" i="16" s="1"/>
  <c r="A253" i="16" s="1"/>
  <c r="A255" i="16" s="1"/>
  <c r="A257" i="16" s="1"/>
  <c r="A263" i="16" s="1"/>
  <c r="A320" i="16" s="1"/>
  <c r="A324" i="16" s="1"/>
  <c r="A327" i="16" s="1"/>
  <c r="A352" i="16" s="1"/>
  <c r="A356" i="16" s="1"/>
  <c r="A360" i="16" s="1"/>
  <c r="A366" i="16" s="1"/>
  <c r="A369" i="16" s="1"/>
  <c r="A384" i="16" s="1"/>
  <c r="A392" i="16" s="1"/>
  <c r="A404" i="16" s="1"/>
  <c r="A413" i="16" s="1"/>
  <c r="A422" i="16" s="1"/>
  <c r="A439" i="16" l="1"/>
  <c r="A464" i="16" s="1"/>
  <c r="A477" i="16" s="1"/>
  <c r="A479" i="16" l="1"/>
  <c r="A489" i="16" s="1"/>
  <c r="A503" i="16" s="1"/>
  <c r="A529" i="16" s="1"/>
  <c r="A535" i="16" s="1"/>
  <c r="A549" i="16" s="1"/>
  <c r="A552" i="16" s="1"/>
  <c r="A559" i="16" l="1"/>
  <c r="A563" i="16"/>
  <c r="A565" i="16" s="1"/>
  <c r="A567" i="16" s="1"/>
  <c r="A569" i="16" s="1"/>
  <c r="A572" i="16" s="1"/>
  <c r="A574" i="16" s="1"/>
  <c r="A576" i="16" l="1"/>
  <c r="A578" i="16" s="1"/>
  <c r="A580" i="16" s="1"/>
  <c r="A588" i="16" l="1"/>
  <c r="A590" i="16" s="1"/>
  <c r="A592" i="16" s="1"/>
  <c r="A594" i="16" s="1"/>
  <c r="A596" i="16" s="1"/>
  <c r="A606" i="16" s="1"/>
  <c r="A614" i="16" s="1"/>
  <c r="A616" i="16" s="1"/>
  <c r="A618" i="16" s="1"/>
  <c r="A620" i="16" s="1"/>
  <c r="A622" i="16" s="1"/>
  <c r="A624" i="16" s="1"/>
  <c r="A628" i="16" s="1"/>
  <c r="A630" i="16" s="1"/>
  <c r="A632" i="16" s="1"/>
  <c r="A634" i="16" s="1"/>
  <c r="A582" i="16"/>
  <c r="A584"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tc={FD862DD0-4FA7-43C3-A933-E782392CE3D4}</author>
    <author>tc={233669D0-915E-4F1C-9162-25B13B89F238}</author>
    <author>tc={24991DDC-7709-4C0D-964B-7FA1A7C56A20}</author>
    <author>tc={606FB45C-0E03-4009-ABE2-7DA61AE80AFD}</author>
    <author>tc={03FD8F05-E0A4-458D-A4C4-25BB75416FEA}</author>
    <author>tc={7D81C31C-C1B3-435F-8CF9-29CDDF418437}</author>
    <author>tc={D35722AD-CB6A-4FAA-93BF-1B52FF0F5C72}</author>
    <author>tc={A7BBC138-8180-48DC-90E9-5E01A911B510}</author>
    <author>tc={B1B955B9-9D97-41ED-BEEA-39B2D613ACFC}</author>
    <author>tc={5298749D-22E6-4193-A7BF-E9218B3630A2}</author>
    <author>tc={FC2551CF-F420-4146-B7B6-A26F29A2459F}</author>
    <author>tc={486C388C-C101-4F18-94A7-27FD3FE6060D}</author>
    <author>tc={2E575915-5ACB-4551-B2AE-A4DB74E5CE3B}</author>
    <author>tc={B6C55A73-08FE-4A05-8106-2C87CD73615B}</author>
    <author>tc={03DB7B2B-8CA1-47DC-8BD3-DB0AD61A8EB7}</author>
    <author>tc={86CD5B0B-4620-4F87-9ECB-93C352300257}</author>
    <author>tc={F3153824-AB04-431F-9BD3-33561F23F97A}</author>
    <author>tc={4D99A6A1-E2F4-4054-8554-1DAA8A96C97C}</author>
    <author>tc={ABF5A2C5-7368-4F6B-88E4-77CC160C33D4}</author>
    <author>tc={7A6F04EC-020E-4B15-9994-72BB69BAF796}</author>
    <author>tc={EF99C0E4-FC73-4E5E-AE8F-4F2A8AC82629}</author>
    <author>tc={CF9692E7-9F01-4593-B3D6-04A32AE56EAA}</author>
    <author>tc={F0B53483-261B-4044-9461-6A8DCCC86BF7}</author>
    <author>tc={C72646BC-B375-4C9F-8D26-865F074F6D69}</author>
    <author>tc={0C43E42D-4EC2-4B5E-AACA-731B6398DBC4}</author>
    <author>tc={79439C49-8D63-41E4-AE2E-FD4B6F5C8307}</author>
    <author>tc={F452B85C-4187-46A5-A642-B7937FD60BB5}</author>
    <author>tc={33357B5D-4F36-4294-B7F3-E73CF2B2CC5A}</author>
    <author>tc={05B81297-C04C-4B96-AFBD-D8C2E95332AD}</author>
    <author>tc={7E56CFEA-0161-44A8-BA8F-87DEE466BD1C}</author>
    <author>tc={74513779-DD99-4063-88A2-D980E1694F61}</author>
    <author>tc={8F336330-5D54-4385-9EDD-0F2602100827}</author>
    <author>tc={23C7F0A6-6E36-4768-B698-186538BA8A82}</author>
    <author>tc={91CD66B0-0837-46BF-B59C-C181B7A1E02F}</author>
    <author>tc={8B18C106-3A64-482B-B8A9-A11A5AE6CD00}</author>
    <author>tc={60F53649-5825-4CAA-97F6-D183BFBF4F1F}</author>
    <author>tc={413D5B7F-D04E-474B-B290-56F5283DE663}</author>
    <author>tc={267C9311-6EBD-42A9-95E7-F3014810DF88}</author>
    <author>tc={195B37F5-414E-4BB3-86A0-E81B1F1127CE}</author>
    <author>tc={2A18837E-4A99-4746-96D6-E782871AD01C}</author>
    <author>tc={BE4E0848-0D22-4163-A671-8C506F531714}</author>
    <author>tc={7ADEC157-B4A7-4FB8-9C7F-B4B50CA192C8}</author>
    <author>tc={C3CBB405-8CCE-4783-AE2D-DAD57D30AB3E}</author>
    <author>tc={9C602CD9-C82C-41B2-A31A-0A81938285FF}</author>
    <author>tc={BFD6CCA7-B8EB-4671-895D-C8A0E4C95ED2}</author>
    <author>tc={D799C110-BF58-498C-B76F-27346E73821C}</author>
    <author>tc={4A702DC7-EF91-4B67-AE71-C589FF07F707}</author>
    <author>tc={F5085BAA-4E90-4642-872A-67B9DB23CD50}</author>
    <author>tc={2D4F37E2-7C4F-4E91-9C11-44D3FC2D0ACC}</author>
    <author>tc={A81C9248-CB31-4855-AC9F-EECBB71A992E}</author>
    <author>tc={530E5119-5AAD-4101-AED2-7C3E8D20C5DB}</author>
    <author>tc={4B099601-B7E0-48A8-B00D-992C6BF304DC}</author>
    <author>tc={C2EF8CFA-C562-4AF3-8882-6E536772D0ED}</author>
    <author>tc={2690D324-8727-4EF3-A569-0F082FD1F566}</author>
    <author>tc={19F3E20D-4C07-4828-9C35-59C9776D2FB9}</author>
    <author>tc={019C4A84-99E7-4BDC-B2F6-786CADDFF42E}</author>
    <author>tc={2D9BCBEB-E71D-456B-BD8B-64D89FDBB53E}</author>
    <author>tc={6FD18741-6A35-4DCF-8A7A-01EF45949582}</author>
    <author>tc={11650B18-E117-4663-B624-500FA7AEA83F}</author>
    <author>tc={A36C8AD1-293A-4037-BF24-2B414365B9B8}</author>
    <author>tc={823B1651-2145-4BC3-88FF-BE1E424B5A29}</author>
    <author>tc={9757D46A-A1AB-4CCA-8A98-BAC7D53B40ED}</author>
    <author>tc={A3B0CEFF-1FBD-4F06-A27F-B0903538F233}</author>
    <author>tc={4F3E5002-E45A-44EC-AC60-5F82DF1A84E3}</author>
    <author>tc={4C6EBFD5-81EC-4E10-AC96-49E68EAA9058}</author>
    <author>tc={1193E427-4C51-468B-8FED-233D98B3DE16}</author>
    <author>tc={FC93F658-3B72-4E62-8364-A426FB788184}</author>
    <author>tc={514336EE-7F0F-4E6F-AE4B-90ACCA5D97E6}</author>
    <author>tc={73B504D0-D7FD-475A-9ED8-CF02B02B5FC0}</author>
    <author>tc={3B83B857-6F53-4A01-80B5-5CD19610D2EE}</author>
    <author>tc={AF7874AA-3ADA-413B-B150-44871804D425}</author>
  </authors>
  <commentList>
    <comment ref="L258" authorId="0" shapeId="0" xr:uid="{FD862DD0-4FA7-43C3-A933-E782392CE3D4}">
      <text>
        <t>[對話串註解]
您的 Excel 版本可讓您讀取此對話串註解; 但若以較新的 Excel 版本開啟此檔案，將會移除對它進行的所有編輯。深入了解: https://go.microsoft.com/fwlink/?linkid=870924。
註解:
    未填寫
回覆:
    Unsigned修改為Hex</t>
      </text>
    </comment>
    <comment ref="O258" authorId="1" shapeId="0" xr:uid="{233669D0-915E-4F1C-9162-25B13B89F238}">
      <text>
        <t>[對話串註解]
您的 Excel 版本可讓您讀取此對話串註解; 但若以較新的 Excel 版本開啟此檔案，將會移除對它進行的所有編輯。深入了解: https://go.microsoft.com/fwlink/?linkid=870924。
註解:
    Offset為0</t>
      </text>
    </comment>
    <comment ref="L259" authorId="2" shapeId="0" xr:uid="{24991DDC-7709-4C0D-964B-7FA1A7C56A20}">
      <text>
        <t>[對話串註解]
您的 Excel 版本可讓您讀取此對話串註解; 但若以較新的 Excel 版本開啟此檔案，將會移除對它進行的所有編輯。深入了解: https://go.microsoft.com/fwlink/?linkid=870924。
註解:
    未填寫
回覆:
    Unsigned修改為Hex</t>
      </text>
    </comment>
    <comment ref="O259" authorId="3" shapeId="0" xr:uid="{606FB45C-0E03-4009-ABE2-7DA61AE80AFD}">
      <text>
        <t>[對話串註解]
您的 Excel 版本可讓您讀取此對話串註解; 但若以較新的 Excel 版本開啟此檔案，將會移除對它進行的所有編輯。深入了解: https://go.microsoft.com/fwlink/?linkid=870924。
註解:
    Offset為0</t>
      </text>
    </comment>
    <comment ref="L260" authorId="4" shapeId="0" xr:uid="{03FD8F05-E0A4-458D-A4C4-25BB75416FEA}">
      <text>
        <t>[對話串註解]
您的 Excel 版本可讓您讀取此對話串註解; 但若以較新的 Excel 版本開啟此檔案，將會移除對它進行的所有編輯。深入了解: https://go.microsoft.com/fwlink/?linkid=870924。
註解:
    未填寫</t>
      </text>
    </comment>
    <comment ref="O260" authorId="5" shapeId="0" xr:uid="{7D81C31C-C1B3-435F-8CF9-29CDDF418437}">
      <text>
        <t>[對話串註解]
您的 Excel 版本可讓您讀取此對話串註解; 但若以較新的 Excel 版本開啟此檔案，將會移除對它進行的所有編輯。深入了解: https://go.microsoft.com/fwlink/?linkid=870924。
註解:
    Offset為0</t>
      </text>
    </comment>
    <comment ref="L261" authorId="6" shapeId="0" xr:uid="{D35722AD-CB6A-4FAA-93BF-1B52FF0F5C72}">
      <text>
        <t>[對話串註解]
您的 Excel 版本可讓您讀取此對話串註解; 但若以較新的 Excel 版本開啟此檔案，將會移除對它進行的所有編輯。深入了解: https://go.microsoft.com/fwlink/?linkid=870924。
註解:
    未填寫</t>
      </text>
    </comment>
    <comment ref="O261" authorId="7" shapeId="0" xr:uid="{A7BBC138-8180-48DC-90E9-5E01A911B510}">
      <text>
        <t>[對話串註解]
您的 Excel 版本可讓您讀取此對話串註解; 但若以較新的 Excel 版本開啟此檔案，將會移除對它進行的所有編輯。深入了解: https://go.microsoft.com/fwlink/?linkid=870924。
註解:
    Offset為0</t>
      </text>
    </comment>
    <comment ref="L262" authorId="8" shapeId="0" xr:uid="{B1B955B9-9D97-41ED-BEEA-39B2D613ACFC}">
      <text>
        <t>[對話串註解]
您的 Excel 版本可讓您讀取此對話串註解; 但若以較新的 Excel 版本開啟此檔案，將會移除對它進行的所有編輯。深入了解: https://go.microsoft.com/fwlink/?linkid=870924。
註解:
    未填寫</t>
      </text>
    </comment>
    <comment ref="O262" authorId="9" shapeId="0" xr:uid="{5298749D-22E6-4193-A7BF-E9218B3630A2}">
      <text>
        <t>[對話串註解]
您的 Excel 版本可讓您讀取此對話串註解; 但若以較新的 Excel 版本開啟此檔案，將會移除對它進行的所有編輯。深入了解: https://go.microsoft.com/fwlink/?linkid=870924。
註解:
    Offset為0</t>
      </text>
    </comment>
    <comment ref="L264" authorId="10" shapeId="0" xr:uid="{FC2551CF-F420-4146-B7B6-A26F29A2459F}">
      <text>
        <t>[對話串註解]
您的 Excel 版本可讓您讀取此對話串註解; 但若以較新的 Excel 版本開啟此檔案，將會移除對它進行的所有編輯。深入了解: https://go.microsoft.com/fwlink/?linkid=870924。
註解:
    未填寫
回覆:
    Unsigned修改為Hex</t>
      </text>
    </comment>
    <comment ref="O264" authorId="11" shapeId="0" xr:uid="{486C388C-C101-4F18-94A7-27FD3FE6060D}">
      <text>
        <t>[對話串註解]
您的 Excel 版本可讓您讀取此對話串註解; 但若以較新的 Excel 版本開啟此檔案，將會移除對它進行的所有編輯。深入了解: https://go.microsoft.com/fwlink/?linkid=870924。
註解:
    Offset為0</t>
      </text>
    </comment>
    <comment ref="L265" authorId="12" shapeId="0" xr:uid="{2E575915-5ACB-4551-B2AE-A4DB74E5CE3B}">
      <text>
        <t>[對話串註解]
您的 Excel 版本可讓您讀取此對話串註解; 但若以較新的 Excel 版本開啟此檔案，將會移除對它進行的所有編輯。深入了解: https://go.microsoft.com/fwlink/?linkid=870924。
註解:
    未填寫
回覆:
    Unsigned修改為Hex</t>
      </text>
    </comment>
    <comment ref="O265" authorId="13" shapeId="0" xr:uid="{B6C55A73-08FE-4A05-8106-2C87CD73615B}">
      <text>
        <t>[對話串註解]
您的 Excel 版本可讓您讀取此對話串註解; 但若以較新的 Excel 版本開啟此檔案，將會移除對它進行的所有編輯。深入了解: https://go.microsoft.com/fwlink/?linkid=870924。
註解:
    Offset為0</t>
      </text>
    </comment>
    <comment ref="L266" authorId="14" shapeId="0" xr:uid="{03DB7B2B-8CA1-47DC-8BD3-DB0AD61A8EB7}">
      <text>
        <t>[對話串註解]
您的 Excel 版本可讓您讀取此對話串註解; 但若以較新的 Excel 版本開啟此檔案，將會移除對它進行的所有編輯。深入了解: https://go.microsoft.com/fwlink/?linkid=870924。
註解:
    未填寫</t>
      </text>
    </comment>
    <comment ref="O266" authorId="15" shapeId="0" xr:uid="{86CD5B0B-4620-4F87-9ECB-93C352300257}">
      <text>
        <t>[對話串註解]
您的 Excel 版本可讓您讀取此對話串註解; 但若以較新的 Excel 版本開啟此檔案，將會移除對它進行的所有編輯。深入了解: https://go.microsoft.com/fwlink/?linkid=870924。
註解:
    Offset為0</t>
      </text>
    </comment>
    <comment ref="L267" authorId="16" shapeId="0" xr:uid="{F3153824-AB04-431F-9BD3-33561F23F97A}">
      <text>
        <t>[對話串註解]
您的 Excel 版本可讓您讀取此對話串註解; 但若以較新的 Excel 版本開啟此檔案，將會移除對它進行的所有編輯。深入了解: https://go.microsoft.com/fwlink/?linkid=870924。
註解:
    未填寫</t>
      </text>
    </comment>
    <comment ref="O267" authorId="17" shapeId="0" xr:uid="{4D99A6A1-E2F4-4054-8554-1DAA8A96C97C}">
      <text>
        <t>[對話串註解]
您的 Excel 版本可讓您讀取此對話串註解; 但若以較新的 Excel 版本開啟此檔案，將會移除對它進行的所有編輯。深入了解: https://go.microsoft.com/fwlink/?linkid=870924。
註解:
    Offset為0</t>
      </text>
    </comment>
    <comment ref="L268" authorId="18" shapeId="0" xr:uid="{ABF5A2C5-7368-4F6B-88E4-77CC160C33D4}">
      <text>
        <t>[對話串註解]
您的 Excel 版本可讓您讀取此對話串註解; 但若以較新的 Excel 版本開啟此檔案，將會移除對它進行的所有編輯。深入了解: https://go.microsoft.com/fwlink/?linkid=870924。
註解:
    未填寫</t>
      </text>
    </comment>
    <comment ref="O268" authorId="19" shapeId="0" xr:uid="{7A6F04EC-020E-4B15-9994-72BB69BAF796}">
      <text>
        <t>[對話串註解]
您的 Excel 版本可讓您讀取此對話串註解; 但若以較新的 Excel 版本開啟此檔案，將會移除對它進行的所有編輯。深入了解: https://go.microsoft.com/fwlink/?linkid=870924。
註解:
    Offset為0</t>
      </text>
    </comment>
    <comment ref="L269" authorId="20" shapeId="0" xr:uid="{EF99C0E4-FC73-4E5E-AE8F-4F2A8AC82629}">
      <text>
        <t>[對話串註解]
您的 Excel 版本可讓您讀取此對話串註解; 但若以較新的 Excel 版本開啟此檔案，將會移除對它進行的所有編輯。深入了解: https://go.microsoft.com/fwlink/?linkid=870924。
註解:
    未填寫</t>
      </text>
    </comment>
    <comment ref="L270" authorId="21" shapeId="0" xr:uid="{CF9692E7-9F01-4593-B3D6-04A32AE56EAA}">
      <text>
        <t>[對話串註解]
您的 Excel 版本可讓您讀取此對話串註解; 但若以較新的 Excel 版本開啟此檔案，將會移除對它進行的所有編輯。深入了解: https://go.microsoft.com/fwlink/?linkid=870924。
註解:
    未填寫</t>
      </text>
    </comment>
    <comment ref="L271" authorId="22" shapeId="0" xr:uid="{F0B53483-261B-4044-9461-6A8DCCC86BF7}">
      <text>
        <t>[對話串註解]
您的 Excel 版本可讓您讀取此對話串註解; 但若以較新的 Excel 版本開啟此檔案，將會移除對它進行的所有編輯。深入了解: https://go.microsoft.com/fwlink/?linkid=870924。
註解:
    未填寫</t>
      </text>
    </comment>
    <comment ref="L272" authorId="23" shapeId="0" xr:uid="{C72646BC-B375-4C9F-8D26-865F074F6D69}">
      <text>
        <t>[對話串註解]
您的 Excel 版本可讓您讀取此對話串註解; 但若以較新的 Excel 版本開啟此檔案，將會移除對它進行的所有編輯。深入了解: https://go.microsoft.com/fwlink/?linkid=870924。
註解:
    未填寫</t>
      </text>
    </comment>
    <comment ref="L273" authorId="24" shapeId="0" xr:uid="{0C43E42D-4EC2-4B5E-AACA-731B6398DBC4}">
      <text>
        <t>[對話串註解]
您的 Excel 版本可讓您讀取此對話串註解; 但若以較新的 Excel 版本開啟此檔案，將會移除對它進行的所有編輯。深入了解: https://go.microsoft.com/fwlink/?linkid=870924。
註解:
    未填寫</t>
      </text>
    </comment>
    <comment ref="L274" authorId="25" shapeId="0" xr:uid="{79439C49-8D63-41E4-AE2E-FD4B6F5C8307}">
      <text>
        <t>[對話串註解]
您的 Excel 版本可讓您讀取此對話串註解; 但若以較新的 Excel 版本開啟此檔案，將會移除對它進行的所有編輯。深入了解: https://go.microsoft.com/fwlink/?linkid=870924。
註解:
    未填寫</t>
      </text>
    </comment>
    <comment ref="L275" authorId="26" shapeId="0" xr:uid="{F452B85C-4187-46A5-A642-B7937FD60BB5}">
      <text>
        <t>[對話串註解]
您的 Excel 版本可讓您讀取此對話串註解; 但若以較新的 Excel 版本開啟此檔案，將會移除對它進行的所有編輯。深入了解: https://go.microsoft.com/fwlink/?linkid=870924。
註解:
    未填寫</t>
      </text>
    </comment>
    <comment ref="L276" authorId="27" shapeId="0" xr:uid="{33357B5D-4F36-4294-B7F3-E73CF2B2CC5A}">
      <text>
        <t>[對話串註解]
您的 Excel 版本可讓您讀取此對話串註解; 但若以較新的 Excel 版本開啟此檔案，將會移除對它進行的所有編輯。深入了解: https://go.microsoft.com/fwlink/?linkid=870924。
註解:
    未填寫</t>
      </text>
    </comment>
    <comment ref="L277" authorId="28" shapeId="0" xr:uid="{05B81297-C04C-4B96-AFBD-D8C2E95332AD}">
      <text>
        <t>[對話串註解]
您的 Excel 版本可讓您讀取此對話串註解; 但若以較新的 Excel 版本開啟此檔案，將會移除對它進行的所有編輯。深入了解: https://go.microsoft.com/fwlink/?linkid=870924。
註解:
    未填寫</t>
      </text>
    </comment>
    <comment ref="L278" authorId="29" shapeId="0" xr:uid="{7E56CFEA-0161-44A8-BA8F-87DEE466BD1C}">
      <text>
        <t>[對話串註解]
您的 Excel 版本可讓您讀取此對話串註解; 但若以較新的 Excel 版本開啟此檔案，將會移除對它進行的所有編輯。深入了解: https://go.microsoft.com/fwlink/?linkid=870924。
註解:
    未填寫</t>
      </text>
    </comment>
    <comment ref="L279" authorId="30" shapeId="0" xr:uid="{74513779-DD99-4063-88A2-D980E1694F61}">
      <text>
        <t>[對話串註解]
您的 Excel 版本可讓您讀取此對話串註解; 但若以較新的 Excel 版本開啟此檔案，將會移除對它進行的所有編輯。深入了解: https://go.microsoft.com/fwlink/?linkid=870924。
註解:
    未填寫</t>
      </text>
    </comment>
    <comment ref="L280" authorId="31" shapeId="0" xr:uid="{8F336330-5D54-4385-9EDD-0F2602100827}">
      <text>
        <t>[對話串註解]
您的 Excel 版本可讓您讀取此對話串註解; 但若以較新的 Excel 版本開啟此檔案，將會移除對它進行的所有編輯。深入了解: https://go.microsoft.com/fwlink/?linkid=870924。
註解:
    未填寫</t>
      </text>
    </comment>
    <comment ref="L281" authorId="32" shapeId="0" xr:uid="{23C7F0A6-6E36-4768-B698-186538BA8A82}">
      <text>
        <t>[對話串註解]
您的 Excel 版本可讓您讀取此對話串註解; 但若以較新的 Excel 版本開啟此檔案，將會移除對它進行的所有編輯。深入了解: https://go.microsoft.com/fwlink/?linkid=870924。
註解:
    未填寫</t>
      </text>
    </comment>
    <comment ref="L282" authorId="33" shapeId="0" xr:uid="{91CD66B0-0837-46BF-B59C-C181B7A1E02F}">
      <text>
        <t>[對話串註解]
您的 Excel 版本可讓您讀取此對話串註解; 但若以較新的 Excel 版本開啟此檔案，將會移除對它進行的所有編輯。深入了解: https://go.microsoft.com/fwlink/?linkid=870924。
註解:
    未填寫</t>
      </text>
    </comment>
    <comment ref="L283" authorId="34" shapeId="0" xr:uid="{8B18C106-3A64-482B-B8A9-A11A5AE6CD00}">
      <text>
        <t>[對話串註解]
您的 Excel 版本可讓您讀取此對話串註解; 但若以較新的 Excel 版本開啟此檔案，將會移除對它進行的所有編輯。深入了解: https://go.microsoft.com/fwlink/?linkid=870924。
註解:
    未填寫</t>
      </text>
    </comment>
    <comment ref="L284" authorId="35" shapeId="0" xr:uid="{60F53649-5825-4CAA-97F6-D183BFBF4F1F}">
      <text>
        <t>[對話串註解]
您的 Excel 版本可讓您讀取此對話串註解; 但若以較新的 Excel 版本開啟此檔案，將會移除對它進行的所有編輯。深入了解: https://go.microsoft.com/fwlink/?linkid=870924。
註解:
    未填寫</t>
      </text>
    </comment>
    <comment ref="L285" authorId="36" shapeId="0" xr:uid="{413D5B7F-D04E-474B-B290-56F5283DE663}">
      <text>
        <t>[對話串註解]
您的 Excel 版本可讓您讀取此對話串註解; 但若以較新的 Excel 版本開啟此檔案，將會移除對它進行的所有編輯。深入了解: https://go.microsoft.com/fwlink/?linkid=870924。
註解:
    未填寫</t>
      </text>
    </comment>
    <comment ref="L286" authorId="37" shapeId="0" xr:uid="{267C9311-6EBD-42A9-95E7-F3014810DF88}">
      <text>
        <t>[對話串註解]
您的 Excel 版本可讓您讀取此對話串註解; 但若以較新的 Excel 版本開啟此檔案，將會移除對它進行的所有編輯。深入了解: https://go.microsoft.com/fwlink/?linkid=870924。
註解:
    未填寫</t>
      </text>
    </comment>
    <comment ref="L287" authorId="38" shapeId="0" xr:uid="{195B37F5-414E-4BB3-86A0-E81B1F1127CE}">
      <text>
        <t>[對話串註解]
您的 Excel 版本可讓您讀取此對話串註解; 但若以較新的 Excel 版本開啟此檔案，將會移除對它進行的所有編輯。深入了解: https://go.microsoft.com/fwlink/?linkid=870924。
註解:
    未填寫</t>
      </text>
    </comment>
    <comment ref="L288" authorId="39" shapeId="0" xr:uid="{2A18837E-4A99-4746-96D6-E782871AD01C}">
      <text>
        <t>[對話串註解]
您的 Excel 版本可讓您讀取此對話串註解; 但若以較新的 Excel 版本開啟此檔案，將會移除對它進行的所有編輯。深入了解: https://go.microsoft.com/fwlink/?linkid=870924。
註解:
    未填寫</t>
      </text>
    </comment>
    <comment ref="L289" authorId="40" shapeId="0" xr:uid="{BE4E0848-0D22-4163-A671-8C506F531714}">
      <text>
        <t>[對話串註解]
您的 Excel 版本可讓您讀取此對話串註解; 但若以較新的 Excel 版本開啟此檔案，將會移除對它進行的所有編輯。深入了解: https://go.microsoft.com/fwlink/?linkid=870924。
註解:
    未填寫</t>
      </text>
    </comment>
    <comment ref="L290" authorId="41" shapeId="0" xr:uid="{7ADEC157-B4A7-4FB8-9C7F-B4B50CA192C8}">
      <text>
        <t>[對話串註解]
您的 Excel 版本可讓您讀取此對話串註解; 但若以較新的 Excel 版本開啟此檔案，將會移除對它進行的所有編輯。深入了解: https://go.microsoft.com/fwlink/?linkid=870924。
註解:
    未填寫</t>
      </text>
    </comment>
    <comment ref="L291" authorId="42" shapeId="0" xr:uid="{C3CBB405-8CCE-4783-AE2D-DAD57D30AB3E}">
      <text>
        <t>[對話串註解]
您的 Excel 版本可讓您讀取此對話串註解; 但若以較新的 Excel 版本開啟此檔案，將會移除對它進行的所有編輯。深入了解: https://go.microsoft.com/fwlink/?linkid=870924。
註解:
    未填寫</t>
      </text>
    </comment>
    <comment ref="L292" authorId="43" shapeId="0" xr:uid="{9C602CD9-C82C-41B2-A31A-0A81938285FF}">
      <text>
        <t>[對話串註解]
您的 Excel 版本可讓您讀取此對話串註解; 但若以較新的 Excel 版本開啟此檔案，將會移除對它進行的所有編輯。深入了解: https://go.microsoft.com/fwlink/?linkid=870924。
註解:
    未填寫</t>
      </text>
    </comment>
    <comment ref="L293" authorId="44" shapeId="0" xr:uid="{BFD6CCA7-B8EB-4671-895D-C8A0E4C95ED2}">
      <text>
        <t>[對話串註解]
您的 Excel 版本可讓您讀取此對話串註解; 但若以較新的 Excel 版本開啟此檔案，將會移除對它進行的所有編輯。深入了解: https://go.microsoft.com/fwlink/?linkid=870924。
註解:
    未填寫</t>
      </text>
    </comment>
    <comment ref="L294" authorId="45" shapeId="0" xr:uid="{D799C110-BF58-498C-B76F-27346E73821C}">
      <text>
        <t>[對話串註解]
您的 Excel 版本可讓您讀取此對話串註解; 但若以較新的 Excel 版本開啟此檔案，將會移除對它進行的所有編輯。深入了解: https://go.microsoft.com/fwlink/?linkid=870924。
註解:
    未填寫</t>
      </text>
    </comment>
    <comment ref="L295" authorId="46" shapeId="0" xr:uid="{4A702DC7-EF91-4B67-AE71-C589FF07F707}">
      <text>
        <t>[對話串註解]
您的 Excel 版本可讓您讀取此對話串註解; 但若以較新的 Excel 版本開啟此檔案，將會移除對它進行的所有編輯。深入了解: https://go.microsoft.com/fwlink/?linkid=870924。
註解:
    未填寫</t>
      </text>
    </comment>
    <comment ref="L296" authorId="47" shapeId="0" xr:uid="{F5085BAA-4E90-4642-872A-67B9DB23CD50}">
      <text>
        <t>[對話串註解]
您的 Excel 版本可讓您讀取此對話串註解; 但若以較新的 Excel 版本開啟此檔案，將會移除對它進行的所有編輯。深入了解: https://go.microsoft.com/fwlink/?linkid=870924。
註解:
    未填寫</t>
      </text>
    </comment>
    <comment ref="L297" authorId="48" shapeId="0" xr:uid="{2D4F37E2-7C4F-4E91-9C11-44D3FC2D0ACC}">
      <text>
        <t>[對話串註解]
您的 Excel 版本可讓您讀取此對話串註解; 但若以較新的 Excel 版本開啟此檔案，將會移除對它進行的所有編輯。深入了解: https://go.microsoft.com/fwlink/?linkid=870924。
註解:
    未填寫</t>
      </text>
    </comment>
    <comment ref="L298" authorId="49" shapeId="0" xr:uid="{A81C9248-CB31-4855-AC9F-EECBB71A992E}">
      <text>
        <t>[對話串註解]
您的 Excel 版本可讓您讀取此對話串註解; 但若以較新的 Excel 版本開啟此檔案，將會移除對它進行的所有編輯。深入了解: https://go.microsoft.com/fwlink/?linkid=870924。
註解:
    未填寫</t>
      </text>
    </comment>
    <comment ref="L299" authorId="50" shapeId="0" xr:uid="{530E5119-5AAD-4101-AED2-7C3E8D20C5DB}">
      <text>
        <t>[對話串註解]
您的 Excel 版本可讓您讀取此對話串註解; 但若以較新的 Excel 版本開啟此檔案，將會移除對它進行的所有編輯。深入了解: https://go.microsoft.com/fwlink/?linkid=870924。
註解:
    未填寫</t>
      </text>
    </comment>
    <comment ref="L300" authorId="51" shapeId="0" xr:uid="{4B099601-B7E0-48A8-B00D-992C6BF304DC}">
      <text>
        <t>[對話串註解]
您的 Excel 版本可讓您讀取此對話串註解; 但若以較新的 Excel 版本開啟此檔案，將會移除對它進行的所有編輯。深入了解: https://go.microsoft.com/fwlink/?linkid=870924。
註解:
    未填寫</t>
      </text>
    </comment>
    <comment ref="L301" authorId="52" shapeId="0" xr:uid="{C2EF8CFA-C562-4AF3-8882-6E536772D0ED}">
      <text>
        <t>[對話串註解]
您的 Excel 版本可讓您讀取此對話串註解; 但若以較新的 Excel 版本開啟此檔案，將會移除對它進行的所有編輯。深入了解: https://go.microsoft.com/fwlink/?linkid=870924。
註解:
    未填寫</t>
      </text>
    </comment>
    <comment ref="L302" authorId="53" shapeId="0" xr:uid="{2690D324-8727-4EF3-A569-0F082FD1F566}">
      <text>
        <t>[對話串註解]
您的 Excel 版本可讓您讀取此對話串註解; 但若以較新的 Excel 版本開啟此檔案，將會移除對它進行的所有編輯。深入了解: https://go.microsoft.com/fwlink/?linkid=870924。
註解:
    未填寫</t>
      </text>
    </comment>
    <comment ref="L303" authorId="54" shapeId="0" xr:uid="{19F3E20D-4C07-4828-9C35-59C9776D2FB9}">
      <text>
        <t>[對話串註解]
您的 Excel 版本可讓您讀取此對話串註解; 但若以較新的 Excel 版本開啟此檔案，將會移除對它進行的所有編輯。深入了解: https://go.microsoft.com/fwlink/?linkid=870924。
註解:
    未填寫</t>
      </text>
    </comment>
    <comment ref="L304" authorId="55" shapeId="0" xr:uid="{019C4A84-99E7-4BDC-B2F6-786CADDFF42E}">
      <text>
        <t>[對話串註解]
您的 Excel 版本可讓您讀取此對話串註解; 但若以較新的 Excel 版本開啟此檔案，將會移除對它進行的所有編輯。深入了解: https://go.microsoft.com/fwlink/?linkid=870924。
註解:
    未填寫</t>
      </text>
    </comment>
    <comment ref="L305" authorId="56" shapeId="0" xr:uid="{2D9BCBEB-E71D-456B-BD8B-64D89FDBB53E}">
      <text>
        <t>[對話串註解]
您的 Excel 版本可讓您讀取此對話串註解; 但若以較新的 Excel 版本開啟此檔案，將會移除對它進行的所有編輯。深入了解: https://go.microsoft.com/fwlink/?linkid=870924。
註解:
    未填寫</t>
      </text>
    </comment>
    <comment ref="L306" authorId="57" shapeId="0" xr:uid="{6FD18741-6A35-4DCF-8A7A-01EF45949582}">
      <text>
        <t>[對話串註解]
您的 Excel 版本可讓您讀取此對話串註解; 但若以較新的 Excel 版本開啟此檔案，將會移除對它進行的所有編輯。深入了解: https://go.microsoft.com/fwlink/?linkid=870924。
註解:
    未填寫</t>
      </text>
    </comment>
    <comment ref="L307" authorId="58" shapeId="0" xr:uid="{11650B18-E117-4663-B624-500FA7AEA83F}">
      <text>
        <t>[對話串註解]
您的 Excel 版本可讓您讀取此對話串註解; 但若以較新的 Excel 版本開啟此檔案，將會移除對它進行的所有編輯。深入了解: https://go.microsoft.com/fwlink/?linkid=870924。
註解:
    未填寫</t>
      </text>
    </comment>
    <comment ref="L308" authorId="59" shapeId="0" xr:uid="{A36C8AD1-293A-4037-BF24-2B414365B9B8}">
      <text>
        <t>[對話串註解]
您的 Excel 版本可讓您讀取此對話串註解; 但若以較新的 Excel 版本開啟此檔案，將會移除對它進行的所有編輯。深入了解: https://go.microsoft.com/fwlink/?linkid=870924。
註解:
    未填寫</t>
      </text>
    </comment>
    <comment ref="L309" authorId="60" shapeId="0" xr:uid="{823B1651-2145-4BC3-88FF-BE1E424B5A29}">
      <text>
        <t>[對話串註解]
您的 Excel 版本可讓您讀取此對話串註解; 但若以較新的 Excel 版本開啟此檔案，將會移除對它進行的所有編輯。深入了解: https://go.microsoft.com/fwlink/?linkid=870924。
註解:
    未填寫</t>
      </text>
    </comment>
    <comment ref="L310" authorId="61" shapeId="0" xr:uid="{9757D46A-A1AB-4CCA-8A98-BAC7D53B40ED}">
      <text>
        <t>[對話串註解]
您的 Excel 版本可讓您讀取此對話串註解; 但若以較新的 Excel 版本開啟此檔案，將會移除對它進行的所有編輯。深入了解: https://go.microsoft.com/fwlink/?linkid=870924。
註解:
    未填寫</t>
      </text>
    </comment>
    <comment ref="L311" authorId="62" shapeId="0" xr:uid="{A3B0CEFF-1FBD-4F06-A27F-B0903538F233}">
      <text>
        <t>[對話串註解]
您的 Excel 版本可讓您讀取此對話串註解; 但若以較新的 Excel 版本開啟此檔案，將會移除對它進行的所有編輯。深入了解: https://go.microsoft.com/fwlink/?linkid=870924。
註解:
    未填寫</t>
      </text>
    </comment>
    <comment ref="L312" authorId="63" shapeId="0" xr:uid="{4F3E5002-E45A-44EC-AC60-5F82DF1A84E3}">
      <text>
        <t>[對話串註解]
您的 Excel 版本可讓您讀取此對話串註解; 但若以較新的 Excel 版本開啟此檔案，將會移除對它進行的所有編輯。深入了解: https://go.microsoft.com/fwlink/?linkid=870924。
註解:
    未填寫</t>
      </text>
    </comment>
    <comment ref="L313" authorId="64" shapeId="0" xr:uid="{4C6EBFD5-81EC-4E10-AC96-49E68EAA9058}">
      <text>
        <t>[對話串註解]
您的 Excel 版本可讓您讀取此對話串註解; 但若以較新的 Excel 版本開啟此檔案，將會移除對它進行的所有編輯。深入了解: https://go.microsoft.com/fwlink/?linkid=870924。
註解:
    未填寫</t>
      </text>
    </comment>
    <comment ref="L314" authorId="65" shapeId="0" xr:uid="{1193E427-4C51-468B-8FED-233D98B3DE16}">
      <text>
        <t>[對話串註解]
您的 Excel 版本可讓您讀取此對話串註解; 但若以較新的 Excel 版本開啟此檔案，將會移除對它進行的所有編輯。深入了解: https://go.microsoft.com/fwlink/?linkid=870924。
註解:
    未填寫</t>
      </text>
    </comment>
    <comment ref="L315" authorId="66" shapeId="0" xr:uid="{FC93F658-3B72-4E62-8364-A426FB788184}">
      <text>
        <t>[對話串註解]
您的 Excel 版本可讓您讀取此對話串註解; 但若以較新的 Excel 版本開啟此檔案，將會移除對它進行的所有編輯。深入了解: https://go.microsoft.com/fwlink/?linkid=870924。
註解:
    未填寫</t>
      </text>
    </comment>
    <comment ref="L316" authorId="67" shapeId="0" xr:uid="{514336EE-7F0F-4E6F-AE4B-90ACCA5D97E6}">
      <text>
        <t>[對話串註解]
您的 Excel 版本可讓您讀取此對話串註解; 但若以較新的 Excel 版本開啟此檔案，將會移除對它進行的所有編輯。深入了解: https://go.microsoft.com/fwlink/?linkid=870924。
註解:
    未填寫</t>
      </text>
    </comment>
    <comment ref="L317" authorId="68" shapeId="0" xr:uid="{73B504D0-D7FD-475A-9ED8-CF02B02B5FC0}">
      <text>
        <t>[對話串註解]
您的 Excel 版本可讓您讀取此對話串註解; 但若以較新的 Excel 版本開啟此檔案，將會移除對它進行的所有編輯。深入了解: https://go.microsoft.com/fwlink/?linkid=870924。
註解:
    未填寫</t>
      </text>
    </comment>
    <comment ref="L318" authorId="69" shapeId="0" xr:uid="{3B83B857-6F53-4A01-80B5-5CD19610D2EE}">
      <text>
        <t>[對話串註解]
您的 Excel 版本可讓您讀取此對話串註解; 但若以較新的 Excel 版本開啟此檔案，將會移除對它進行的所有編輯。深入了解: https://go.microsoft.com/fwlink/?linkid=870924。
註解:
    未填寫</t>
      </text>
    </comment>
    <comment ref="L319" authorId="70" shapeId="0" xr:uid="{AF7874AA-3ADA-413B-B150-44871804D425}">
      <text>
        <t>[對話串註解]
您的 Excel 版本可讓您讀取此對話串註解; 但若以較新的 Excel 版本開啟此檔案，將會移除對它進行的所有編輯。深入了解: https://go.microsoft.com/fwlink/?linkid=870924。
註解:
    未填寫</t>
      </text>
    </comment>
  </commentList>
</comments>
</file>

<file path=xl/sharedStrings.xml><?xml version="1.0" encoding="utf-8"?>
<sst xmlns="http://schemas.openxmlformats.org/spreadsheetml/2006/main" count="32459" uniqueCount="6493">
  <si>
    <t>Return</t>
  </si>
  <si>
    <t>Diagnostic Questionnaire - GroupOfDTC</t>
  </si>
  <si>
    <t>Service ID</t>
    <phoneticPr fontId="28" type="noConversion"/>
  </si>
  <si>
    <t>DTC Group(hex)</t>
    <phoneticPr fontId="28" type="noConversion"/>
  </si>
  <si>
    <t>Group Description</t>
    <phoneticPr fontId="28" type="noConversion"/>
  </si>
  <si>
    <t>Supported by ECU</t>
    <phoneticPr fontId="28" type="noConversion"/>
  </si>
  <si>
    <t>Remarks</t>
    <phoneticPr fontId="28" type="noConversion"/>
  </si>
  <si>
    <t>FVT Require</t>
    <phoneticPr fontId="28" type="noConversion"/>
  </si>
  <si>
    <t>0x14</t>
  </si>
  <si>
    <t>0xFFFF33</t>
  </si>
  <si>
    <t>Emissions-related systems</t>
    <phoneticPr fontId="28" type="noConversion"/>
  </si>
  <si>
    <t>N</t>
  </si>
  <si>
    <t>U</t>
    <phoneticPr fontId="28" type="noConversion"/>
  </si>
  <si>
    <t>0x100000</t>
  </si>
  <si>
    <t>Powertrain group</t>
    <phoneticPr fontId="28" type="noConversion"/>
  </si>
  <si>
    <t/>
  </si>
  <si>
    <t>0x400000</t>
    <phoneticPr fontId="28" type="noConversion"/>
  </si>
  <si>
    <t>Chassis group</t>
    <phoneticPr fontId="28" type="noConversion"/>
  </si>
  <si>
    <t>0x800000</t>
  </si>
  <si>
    <t>Body group</t>
    <phoneticPr fontId="28" type="noConversion"/>
  </si>
  <si>
    <t>0xC00000</t>
    <phoneticPr fontId="28" type="noConversion"/>
  </si>
  <si>
    <t>Network communication group</t>
    <phoneticPr fontId="28" type="noConversion"/>
  </si>
  <si>
    <t>0xFFFFFF</t>
  </si>
  <si>
    <t>All DTC group</t>
    <phoneticPr fontId="28" type="noConversion"/>
  </si>
  <si>
    <t>Y</t>
  </si>
  <si>
    <t>M</t>
    <phoneticPr fontId="28" type="noConversion"/>
  </si>
  <si>
    <t>Diagnostic Questionnaire - DTC Status</t>
    <phoneticPr fontId="28" type="noConversion"/>
  </si>
  <si>
    <t>Bit Field</t>
    <phoneticPr fontId="28" type="noConversion"/>
  </si>
  <si>
    <t>Bit Description</t>
    <phoneticPr fontId="28" type="noConversion"/>
  </si>
  <si>
    <t>Bit State Definition</t>
    <phoneticPr fontId="28" type="noConversion"/>
  </si>
  <si>
    <t>0</t>
  </si>
  <si>
    <t>Test failed</t>
    <phoneticPr fontId="28" type="noConversion"/>
  </si>
  <si>
    <t>0=False
1=True</t>
  </si>
  <si>
    <t>1</t>
  </si>
  <si>
    <t>Test failed this monitoring cycle</t>
    <phoneticPr fontId="28" type="noConversion"/>
  </si>
  <si>
    <t>0=False
1=True</t>
    <phoneticPr fontId="28" type="noConversion"/>
  </si>
  <si>
    <t>2</t>
  </si>
  <si>
    <t>Pending DTC</t>
    <phoneticPr fontId="28" type="noConversion"/>
  </si>
  <si>
    <t>3</t>
  </si>
  <si>
    <t>Confirmed DTC</t>
    <phoneticPr fontId="28" type="noConversion"/>
  </si>
  <si>
    <t>4</t>
  </si>
  <si>
    <t>Test not completed since last clear</t>
    <phoneticPr fontId="28" type="noConversion"/>
  </si>
  <si>
    <t>5</t>
  </si>
  <si>
    <t>Test failed since last clear</t>
    <phoneticPr fontId="28" type="noConversion"/>
  </si>
  <si>
    <t>6</t>
  </si>
  <si>
    <t>Test not completed this monitoring cycle</t>
    <phoneticPr fontId="28" type="noConversion"/>
  </si>
  <si>
    <t>7</t>
  </si>
  <si>
    <t>Warning indicator requested</t>
    <phoneticPr fontId="28" type="noConversion"/>
  </si>
  <si>
    <t>Diagnostic Questionnaire - General information</t>
    <phoneticPr fontId="28" type="noConversion"/>
  </si>
  <si>
    <t>General information</t>
    <phoneticPr fontId="28" type="noConversion"/>
  </si>
  <si>
    <t xml:space="preserve">Car model selection </t>
    <phoneticPr fontId="28" type="noConversion"/>
  </si>
  <si>
    <t>ECU Information</t>
    <phoneticPr fontId="28" type="noConversion"/>
  </si>
  <si>
    <t>Name</t>
    <phoneticPr fontId="28" type="noConversion"/>
  </si>
  <si>
    <t>Value</t>
    <phoneticPr fontId="28" type="noConversion"/>
  </si>
  <si>
    <t>Unit</t>
    <phoneticPr fontId="28" type="noConversion"/>
  </si>
  <si>
    <t>OTHER</t>
  </si>
  <si>
    <t>ECU Name</t>
    <phoneticPr fontId="28" type="noConversion"/>
  </si>
  <si>
    <t>Fusion ECU</t>
  </si>
  <si>
    <t>CAN(FD) Information</t>
    <phoneticPr fontId="28" type="noConversion"/>
  </si>
  <si>
    <t>FVT Normative Values</t>
    <phoneticPr fontId="28" type="noConversion"/>
  </si>
  <si>
    <t>Support</t>
  </si>
  <si>
    <t>NO</t>
  </si>
  <si>
    <t>!</t>
    <phoneticPr fontId="28" type="noConversion"/>
  </si>
  <si>
    <t xml:space="preserve">M </t>
    <phoneticPr fontId="28" type="noConversion"/>
  </si>
  <si>
    <t>Protocol</t>
  </si>
  <si>
    <t>CANFD</t>
  </si>
  <si>
    <t>CAN ID Format</t>
  </si>
  <si>
    <t>Standard</t>
  </si>
  <si>
    <t>C</t>
    <phoneticPr fontId="28" type="noConversion"/>
  </si>
  <si>
    <t>CAN Physical Request ID</t>
    <phoneticPr fontId="28" type="noConversion"/>
  </si>
  <si>
    <t>0x680</t>
    <phoneticPr fontId="28" type="noConversion"/>
  </si>
  <si>
    <t>CAN Functional Request ID</t>
  </si>
  <si>
    <t>0x7D0</t>
    <phoneticPr fontId="28" type="noConversion"/>
  </si>
  <si>
    <t>CAN Response ID</t>
  </si>
  <si>
    <t>0x600</t>
    <phoneticPr fontId="28" type="noConversion"/>
  </si>
  <si>
    <t>N_Cr</t>
    <phoneticPr fontId="28" type="noConversion"/>
  </si>
  <si>
    <t>150</t>
    <phoneticPr fontId="28" type="noConversion"/>
  </si>
  <si>
    <t>ms</t>
  </si>
  <si>
    <t>150ms</t>
    <phoneticPr fontId="28" type="noConversion"/>
  </si>
  <si>
    <t>N_Cs</t>
  </si>
  <si>
    <t>100</t>
    <phoneticPr fontId="28" type="noConversion"/>
  </si>
  <si>
    <r>
      <rPr>
        <sz val="10"/>
        <rFont val="BatangChe"/>
        <family val="3"/>
        <charset val="129"/>
      </rPr>
      <t>≤</t>
    </r>
    <r>
      <rPr>
        <sz val="10"/>
        <rFont val="Arial"/>
        <family val="2"/>
      </rPr>
      <t>100ms</t>
    </r>
    <phoneticPr fontId="28" type="noConversion"/>
  </si>
  <si>
    <t>N_Br</t>
  </si>
  <si>
    <t>N_Bs</t>
  </si>
  <si>
    <t>P2(Client)</t>
    <phoneticPr fontId="28" type="noConversion"/>
  </si>
  <si>
    <t>ms</t>
    <phoneticPr fontId="28" type="noConversion"/>
  </si>
  <si>
    <t>&lt;150ms</t>
    <phoneticPr fontId="28" type="noConversion"/>
  </si>
  <si>
    <t>P2*(Client)</t>
  </si>
  <si>
    <t>&lt;5500ms</t>
    <phoneticPr fontId="28" type="noConversion"/>
  </si>
  <si>
    <t>S3(Client)</t>
  </si>
  <si>
    <t>&lt;2000ms</t>
    <phoneticPr fontId="28" type="noConversion"/>
  </si>
  <si>
    <t>STmin(Client)</t>
    <phoneticPr fontId="28" type="noConversion"/>
  </si>
  <si>
    <t>0ms</t>
    <phoneticPr fontId="28" type="noConversion"/>
  </si>
  <si>
    <t>BlockSize(Client)</t>
    <phoneticPr fontId="28" type="noConversion"/>
  </si>
  <si>
    <t>0</t>
    <phoneticPr fontId="28" type="noConversion"/>
  </si>
  <si>
    <t>P2(ECU)</t>
  </si>
  <si>
    <t>50</t>
  </si>
  <si>
    <t>&lt;50ms</t>
    <phoneticPr fontId="28" type="noConversion"/>
  </si>
  <si>
    <t>P2*(ECU)</t>
  </si>
  <si>
    <t>5000</t>
  </si>
  <si>
    <t>&lt;5000ms</t>
    <phoneticPr fontId="28" type="noConversion"/>
  </si>
  <si>
    <t>S3(ECU)</t>
  </si>
  <si>
    <t>STmin(ECU)</t>
    <phoneticPr fontId="28" type="noConversion"/>
  </si>
  <si>
    <t>15</t>
  </si>
  <si>
    <r>
      <rPr>
        <sz val="10"/>
        <color rgb="FFFF0000"/>
        <rFont val="BatangChe"/>
        <family val="3"/>
        <charset val="129"/>
      </rPr>
      <t>≤</t>
    </r>
    <r>
      <rPr>
        <sz val="10"/>
        <color rgb="FFFF0000"/>
        <rFont val="Arial"/>
        <family val="2"/>
      </rPr>
      <t>1ms</t>
    </r>
    <phoneticPr fontId="28" type="noConversion"/>
  </si>
  <si>
    <t>BlockSize(ECU)</t>
    <phoneticPr fontId="28" type="noConversion"/>
  </si>
  <si>
    <t>Buffer</t>
    <phoneticPr fontId="28" type="noConversion"/>
  </si>
  <si>
    <t>500</t>
  </si>
  <si>
    <t>bytes</t>
    <phoneticPr fontId="28" type="noConversion"/>
  </si>
  <si>
    <t>Baudrate</t>
  </si>
  <si>
    <t>2000</t>
  </si>
  <si>
    <t>kps</t>
    <phoneticPr fontId="28" type="noConversion"/>
  </si>
  <si>
    <t>CANFDBaudrate</t>
  </si>
  <si>
    <t>64</t>
  </si>
  <si>
    <t>kps</t>
  </si>
  <si>
    <t>2M</t>
    <phoneticPr fontId="28" type="noConversion"/>
  </si>
  <si>
    <t>CANFD DLC</t>
  </si>
  <si>
    <t>8~64</t>
    <phoneticPr fontId="28" type="noConversion"/>
  </si>
  <si>
    <t>Doip Information</t>
    <phoneticPr fontId="28" type="noConversion"/>
  </si>
  <si>
    <t>YES</t>
  </si>
  <si>
    <t>DoIP Logical Tester Address</t>
  </si>
  <si>
    <t>0x0E00</t>
    <phoneticPr fontId="28" type="noConversion"/>
  </si>
  <si>
    <t>DoIP Logical ECU Address</t>
  </si>
  <si>
    <t>0x0680</t>
    <phoneticPr fontId="28" type="noConversion"/>
  </si>
  <si>
    <t>DoIP Logical Functional Address</t>
  </si>
  <si>
    <t>0xEFFF</t>
    <phoneticPr fontId="28" type="noConversion"/>
  </si>
  <si>
    <t>P6</t>
  </si>
  <si>
    <t>1000</t>
    <phoneticPr fontId="28" type="noConversion"/>
  </si>
  <si>
    <t>P6*</t>
  </si>
  <si>
    <t>2000</t>
    <phoneticPr fontId="28" type="noConversion"/>
  </si>
  <si>
    <t>3000</t>
    <phoneticPr fontId="28" type="noConversion"/>
  </si>
  <si>
    <t>S3(ECU)</t>
    <phoneticPr fontId="28" type="noConversion"/>
  </si>
  <si>
    <t>16384</t>
  </si>
  <si>
    <t>Security Access Parameter Information</t>
    <phoneticPr fontId="28" type="noConversion"/>
  </si>
  <si>
    <t>Parameter</t>
    <phoneticPr fontId="28" type="noConversion"/>
  </si>
  <si>
    <t>The time from ECU power up to diagnostic communication</t>
    <phoneticPr fontId="45" type="noConversion"/>
  </si>
  <si>
    <t>s</t>
  </si>
  <si>
    <t>-</t>
  </si>
  <si>
    <r>
      <t>T2</t>
    </r>
    <r>
      <rPr>
        <b/>
        <vertAlign val="superscript"/>
        <sz val="10"/>
        <rFont val="Arial"/>
        <family val="2"/>
      </rPr>
      <t>1</t>
    </r>
    <r>
      <rPr>
        <b/>
        <sz val="10"/>
        <rFont val="微軟正黑體"/>
        <family val="2"/>
        <charset val="136"/>
      </rPr>
      <t>：</t>
    </r>
    <r>
      <rPr>
        <b/>
        <sz val="10"/>
        <rFont val="Arial"/>
        <family val="2"/>
      </rPr>
      <t>Duration of Delay Timer when exceeded max number of attempts</t>
    </r>
    <phoneticPr fontId="28" type="noConversion"/>
  </si>
  <si>
    <t>60</t>
    <phoneticPr fontId="28" type="noConversion"/>
  </si>
  <si>
    <r>
      <t>N</t>
    </r>
    <r>
      <rPr>
        <b/>
        <sz val="10"/>
        <rFont val="微軟正黑體"/>
        <family val="2"/>
        <charset val="136"/>
      </rPr>
      <t>：</t>
    </r>
    <r>
      <rPr>
        <b/>
        <sz val="10"/>
        <rFont val="Arial"/>
        <family val="2"/>
      </rPr>
      <t>max number of continuous fail attempts</t>
    </r>
    <phoneticPr fontId="28" type="noConversion"/>
  </si>
  <si>
    <t>3</t>
    <phoneticPr fontId="28" type="noConversion"/>
  </si>
  <si>
    <t>Other Function Check</t>
    <phoneticPr fontId="28" type="noConversion"/>
  </si>
  <si>
    <t>Function</t>
    <phoneticPr fontId="28" type="noConversion"/>
  </si>
  <si>
    <t>BootLoader</t>
    <phoneticPr fontId="45" type="noConversion"/>
  </si>
  <si>
    <t>N</t>
    <phoneticPr fontId="28" type="noConversion"/>
  </si>
  <si>
    <t>-</t>
    <phoneticPr fontId="28" type="noConversion"/>
  </si>
  <si>
    <t>EOL</t>
    <phoneticPr fontId="28" type="noConversion"/>
  </si>
  <si>
    <t>Y</t>
    <phoneticPr fontId="28" type="noConversion"/>
  </si>
  <si>
    <t>Calibration</t>
    <phoneticPr fontId="28" type="noConversion"/>
  </si>
  <si>
    <t>Commercial vehicle</t>
    <phoneticPr fontId="28" type="noConversion"/>
  </si>
  <si>
    <t>Unsigned</t>
    <phoneticPr fontId="28" type="noConversion"/>
  </si>
  <si>
    <t>Hex</t>
  </si>
  <si>
    <t>Request</t>
    <phoneticPr fontId="28" type="noConversion"/>
  </si>
  <si>
    <t>Passenger Cars</t>
    <phoneticPr fontId="28" type="noConversion"/>
  </si>
  <si>
    <t>Signed</t>
    <phoneticPr fontId="28" type="noConversion"/>
  </si>
  <si>
    <t>Decimal</t>
  </si>
  <si>
    <t>Response</t>
  </si>
  <si>
    <t>BCD</t>
  </si>
  <si>
    <t xml:space="preserve">LOGO
</t>
  </si>
  <si>
    <t>BCD</t>
    <phoneticPr fontId="28" type="noConversion"/>
  </si>
  <si>
    <t>ASCII</t>
  </si>
  <si>
    <t>ASCII</t>
    <phoneticPr fontId="28" type="noConversion"/>
  </si>
  <si>
    <t>Diagnostic Specificaion</t>
    <phoneticPr fontId="28" type="noConversion"/>
  </si>
  <si>
    <t>Date:</t>
    <phoneticPr fontId="28" type="noConversion"/>
  </si>
  <si>
    <t>2025/04/11</t>
    <phoneticPr fontId="28" type="noConversion"/>
  </si>
  <si>
    <t>ECU (Module)  DATA</t>
  </si>
  <si>
    <t>ECU Name
Acronym</t>
    <phoneticPr fontId="28" type="noConversion"/>
  </si>
  <si>
    <t>CAN Rx/Tx
Ids in Hex</t>
  </si>
  <si>
    <t>Diagnostic
Com. Link</t>
    <phoneticPr fontId="28" type="noConversion"/>
  </si>
  <si>
    <t>Supplier</t>
  </si>
  <si>
    <t>ECU Variant</t>
  </si>
  <si>
    <t>0x680</t>
  </si>
  <si>
    <t>FVT</t>
    <phoneticPr fontId="28" type="noConversion"/>
  </si>
  <si>
    <t>0x7D0</t>
  </si>
  <si>
    <t>0x600</t>
  </si>
  <si>
    <t>Diagnostic Specifications</t>
  </si>
  <si>
    <t>Part Number / Version</t>
    <phoneticPr fontId="28" type="noConversion"/>
  </si>
  <si>
    <t>[ 1 ] FSE-F00005 Requirement Specification Diagnostic Communication</t>
    <phoneticPr fontId="28" type="noConversion"/>
  </si>
  <si>
    <r>
      <t xml:space="preserve">Part Number:
</t>
    </r>
    <r>
      <rPr>
        <b/>
        <sz val="10"/>
        <color theme="1"/>
        <rFont val="細明體"/>
        <family val="3"/>
        <charset val="136"/>
      </rPr>
      <t xml:space="preserve">D31L:   </t>
    </r>
    <r>
      <rPr>
        <b/>
        <sz val="10"/>
        <color rgb="FFFF0000"/>
        <rFont val="細明體"/>
        <family val="3"/>
        <charset val="136"/>
      </rPr>
      <t>29710HA100</t>
    </r>
    <r>
      <rPr>
        <b/>
        <sz val="10"/>
        <color theme="1"/>
        <rFont val="細明體"/>
        <family val="3"/>
        <charset val="136"/>
      </rPr>
      <t xml:space="preserve">
D31L24: </t>
    </r>
    <r>
      <rPr>
        <b/>
        <sz val="10"/>
        <color rgb="FFFF0000"/>
        <rFont val="細明體"/>
        <family val="3"/>
        <charset val="136"/>
      </rPr>
      <t>29710HA110</t>
    </r>
    <r>
      <rPr>
        <b/>
        <sz val="10"/>
        <color theme="1"/>
        <rFont val="細明體"/>
        <family val="3"/>
        <charset val="136"/>
      </rPr>
      <t xml:space="preserve">
D31F25: </t>
    </r>
    <r>
      <rPr>
        <b/>
        <sz val="10"/>
        <color rgb="FFFF0000"/>
        <rFont val="細明體"/>
        <family val="3"/>
        <charset val="136"/>
      </rPr>
      <t>29710HA200</t>
    </r>
    <r>
      <rPr>
        <b/>
        <sz val="10"/>
        <color theme="1"/>
        <rFont val="細明體"/>
        <family val="3"/>
        <charset val="136"/>
      </rPr>
      <t xml:space="preserve">
D31H:   </t>
    </r>
    <r>
      <rPr>
        <b/>
        <sz val="10"/>
        <color rgb="FFFF0000"/>
        <rFont val="細明體"/>
        <family val="3"/>
        <charset val="136"/>
      </rPr>
      <t>29710HC100</t>
    </r>
    <r>
      <rPr>
        <b/>
        <sz val="10"/>
        <color theme="1"/>
        <rFont val="細明體"/>
        <family val="3"/>
        <charset val="136"/>
      </rPr>
      <t xml:space="preserve">
D21:    </t>
    </r>
    <r>
      <rPr>
        <b/>
        <sz val="10"/>
        <color rgb="FFFF0000"/>
        <rFont val="細明體"/>
        <family val="3"/>
        <charset val="136"/>
      </rPr>
      <t>29710BA100</t>
    </r>
    <r>
      <rPr>
        <b/>
        <sz val="10"/>
        <color theme="1"/>
        <rFont val="細明體"/>
        <family val="3"/>
        <charset val="136"/>
      </rPr>
      <t xml:space="preserve">
Foxtorn Pi: 
        </t>
    </r>
    <r>
      <rPr>
        <b/>
        <sz val="10"/>
        <color rgb="FFFF0000"/>
        <rFont val="細明體"/>
        <family val="3"/>
        <charset val="136"/>
      </rPr>
      <t>29710HA110</t>
    </r>
    <phoneticPr fontId="28" type="noConversion"/>
  </si>
  <si>
    <t>HW:</t>
    <phoneticPr fontId="28" type="noConversion"/>
  </si>
  <si>
    <t>SW:</t>
    <phoneticPr fontId="28" type="noConversion"/>
  </si>
  <si>
    <r>
      <rPr>
        <b/>
        <i/>
        <sz val="10"/>
        <color rgb="FF000000"/>
        <rFont val="微軟正黑體"/>
        <family val="2"/>
        <charset val="136"/>
      </rPr>
      <t>版本</t>
    </r>
    <phoneticPr fontId="45" type="noConversion"/>
  </si>
  <si>
    <r>
      <rPr>
        <b/>
        <i/>
        <sz val="10"/>
        <color indexed="8"/>
        <rFont val="微軟正黑體"/>
        <family val="2"/>
        <charset val="136"/>
      </rPr>
      <t>日期</t>
    </r>
    <phoneticPr fontId="45" type="noConversion"/>
  </si>
  <si>
    <r>
      <rPr>
        <b/>
        <i/>
        <sz val="10"/>
        <color indexed="8"/>
        <rFont val="微軟正黑體"/>
        <family val="2"/>
        <charset val="136"/>
      </rPr>
      <t>作者</t>
    </r>
    <phoneticPr fontId="45" type="noConversion"/>
  </si>
  <si>
    <r>
      <rPr>
        <b/>
        <i/>
        <sz val="10"/>
        <color indexed="8"/>
        <rFont val="微軟正黑體"/>
        <family val="2"/>
        <charset val="136"/>
      </rPr>
      <t>審查人員</t>
    </r>
    <phoneticPr fontId="45" type="noConversion"/>
  </si>
  <si>
    <r>
      <rPr>
        <b/>
        <i/>
        <sz val="10"/>
        <color indexed="8"/>
        <rFont val="微軟正黑體"/>
        <family val="2"/>
        <charset val="136"/>
      </rPr>
      <t>狀態</t>
    </r>
    <phoneticPr fontId="45" type="noConversion"/>
  </si>
  <si>
    <r>
      <rPr>
        <b/>
        <i/>
        <sz val="10"/>
        <color indexed="8"/>
        <rFont val="微軟正黑體"/>
        <family val="2"/>
        <charset val="136"/>
      </rPr>
      <t>修改章節</t>
    </r>
    <phoneticPr fontId="45" type="noConversion"/>
  </si>
  <si>
    <r>
      <rPr>
        <b/>
        <i/>
        <sz val="10"/>
        <color indexed="8"/>
        <rFont val="微軟正黑體"/>
        <family val="2"/>
        <charset val="136"/>
      </rPr>
      <t>修改說明</t>
    </r>
    <phoneticPr fontId="45" type="noConversion"/>
  </si>
  <si>
    <t>Introduction</t>
    <phoneticPr fontId="45" type="noConversion"/>
  </si>
  <si>
    <t>A</t>
    <phoneticPr fontId="45" type="noConversion"/>
  </si>
  <si>
    <t>2022/02/22</t>
    <phoneticPr fontId="28" type="noConversion"/>
  </si>
  <si>
    <t>Yi Jun</t>
    <phoneticPr fontId="28" type="noConversion"/>
  </si>
  <si>
    <t>David Yu</t>
    <phoneticPr fontId="45" type="noConversion"/>
  </si>
  <si>
    <t>release</t>
  </si>
  <si>
    <t>null</t>
    <phoneticPr fontId="28" type="noConversion"/>
  </si>
  <si>
    <r>
      <rPr>
        <sz val="10"/>
        <rFont val="微軟正黑體"/>
        <family val="2"/>
        <charset val="136"/>
      </rPr>
      <t>發布初始版本</t>
    </r>
    <r>
      <rPr>
        <sz val="10"/>
        <rFont val="Arial"/>
        <family val="2"/>
      </rPr>
      <t>Demo</t>
    </r>
    <phoneticPr fontId="28" type="noConversion"/>
  </si>
  <si>
    <t>Cvt</t>
    <phoneticPr fontId="45" type="noConversion"/>
  </si>
  <si>
    <t>Convention, the parameter conventions described in following table.</t>
    <phoneticPr fontId="45" type="noConversion"/>
  </si>
  <si>
    <t>2022/02/25</t>
    <phoneticPr fontId="45" type="noConversion"/>
  </si>
  <si>
    <t>Yi Jun</t>
  </si>
  <si>
    <t>MinHungWang</t>
    <phoneticPr fontId="45" type="noConversion"/>
  </si>
  <si>
    <t>DTCList</t>
    <phoneticPr fontId="45" type="noConversion"/>
  </si>
  <si>
    <r>
      <rPr>
        <sz val="10"/>
        <rFont val="微軟正黑體"/>
        <family val="2"/>
        <charset val="136"/>
      </rPr>
      <t>加入</t>
    </r>
    <r>
      <rPr>
        <sz val="10"/>
        <rFont val="Arial"/>
        <family val="2"/>
      </rPr>
      <t>counter</t>
    </r>
    <phoneticPr fontId="45" type="noConversion"/>
  </si>
  <si>
    <t>Type</t>
  </si>
  <si>
    <t>Name</t>
  </si>
  <si>
    <t>Description</t>
  </si>
  <si>
    <t>2022/03/14</t>
    <phoneticPr fontId="45" type="noConversion"/>
  </si>
  <si>
    <t>Yi Jun</t>
    <phoneticPr fontId="45" type="noConversion"/>
  </si>
  <si>
    <t>GeneralInfo</t>
  </si>
  <si>
    <r>
      <t>1. Support</t>
    </r>
    <r>
      <rPr>
        <sz val="10"/>
        <rFont val="微軟正黑體"/>
        <family val="2"/>
        <charset val="136"/>
      </rPr>
      <t>欄位預設</t>
    </r>
    <r>
      <rPr>
        <sz val="10"/>
        <rFont val="Arial"/>
        <family val="2"/>
      </rPr>
      <t>yes</t>
    </r>
    <r>
      <rPr>
        <sz val="10"/>
        <rFont val="微軟正黑體"/>
        <family val="2"/>
        <charset val="136"/>
      </rPr>
      <t>，</t>
    </r>
    <r>
      <rPr>
        <sz val="10"/>
        <rFont val="Arial"/>
        <family val="2"/>
      </rPr>
      <t>FVT</t>
    </r>
    <r>
      <rPr>
        <sz val="10"/>
        <rFont val="微軟正黑體"/>
        <family val="2"/>
        <charset val="136"/>
      </rPr>
      <t>要求為</t>
    </r>
    <r>
      <rPr>
        <sz val="10"/>
        <rFont val="Arial"/>
        <family val="2"/>
      </rPr>
      <t>M
2. Protocol</t>
    </r>
    <r>
      <rPr>
        <sz val="10"/>
        <rFont val="微軟正黑體"/>
        <family val="2"/>
        <charset val="136"/>
      </rPr>
      <t>為</t>
    </r>
    <r>
      <rPr>
        <sz val="10"/>
        <rFont val="Arial"/>
        <family val="2"/>
      </rPr>
      <t>CAN</t>
    </r>
    <r>
      <rPr>
        <sz val="10"/>
        <rFont val="微軟正黑體"/>
        <family val="2"/>
        <charset val="136"/>
      </rPr>
      <t>，</t>
    </r>
    <r>
      <rPr>
        <sz val="10"/>
        <rFont val="Arial"/>
        <family val="2"/>
      </rPr>
      <t>DLC</t>
    </r>
    <r>
      <rPr>
        <sz val="10"/>
        <rFont val="微軟正黑體"/>
        <family val="2"/>
        <charset val="136"/>
      </rPr>
      <t>為</t>
    </r>
    <r>
      <rPr>
        <sz val="10"/>
        <rFont val="Arial"/>
        <family val="2"/>
      </rPr>
      <t>8
3. CAN Functional Request ID</t>
    </r>
    <r>
      <rPr>
        <sz val="10"/>
        <rFont val="微軟正黑體"/>
        <family val="2"/>
        <charset val="136"/>
      </rPr>
      <t>在</t>
    </r>
    <r>
      <rPr>
        <sz val="10"/>
        <rFont val="Arial"/>
        <family val="2"/>
      </rPr>
      <t>Extended</t>
    </r>
    <r>
      <rPr>
        <sz val="10"/>
        <rFont val="微軟正黑體"/>
        <family val="2"/>
        <charset val="136"/>
      </rPr>
      <t>下可輸入其他值</t>
    </r>
    <phoneticPr fontId="45" type="noConversion"/>
  </si>
  <si>
    <t>M</t>
  </si>
  <si>
    <t>Mandatory</t>
    <phoneticPr fontId="45" type="noConversion"/>
  </si>
  <si>
    <t>The parameter shall be present by ECU</t>
  </si>
  <si>
    <t>B</t>
    <phoneticPr fontId="45" type="noConversion"/>
  </si>
  <si>
    <t>2022/03/17</t>
    <phoneticPr fontId="45" type="noConversion"/>
  </si>
  <si>
    <t>Service</t>
  </si>
  <si>
    <r>
      <rPr>
        <sz val="10"/>
        <rFont val="微軟正黑體"/>
        <family val="2"/>
        <charset val="136"/>
      </rPr>
      <t>診斷模式控制</t>
    </r>
    <r>
      <rPr>
        <sz val="10"/>
        <rFont val="Arial"/>
        <family val="2"/>
      </rPr>
      <t>0x03</t>
    </r>
    <r>
      <rPr>
        <sz val="10"/>
        <rFont val="微軟正黑體"/>
        <family val="2"/>
        <charset val="136"/>
      </rPr>
      <t>，安全問訪級別</t>
    </r>
    <r>
      <rPr>
        <sz val="10"/>
        <rFont val="Arial"/>
        <family val="2"/>
      </rPr>
      <t>01</t>
    </r>
    <r>
      <rPr>
        <sz val="10"/>
        <rFont val="微軟正黑體"/>
        <family val="2"/>
        <charset val="136"/>
      </rPr>
      <t>刪除</t>
    </r>
    <phoneticPr fontId="45" type="noConversion"/>
  </si>
  <si>
    <t>C</t>
  </si>
  <si>
    <t>Conditional</t>
  </si>
  <si>
    <t>The parameter can be present by ECU, based on certain criteria</t>
    <phoneticPr fontId="45" type="noConversion"/>
  </si>
  <si>
    <t>C</t>
    <phoneticPr fontId="45" type="noConversion"/>
  </si>
  <si>
    <t>2022/07/25</t>
    <phoneticPr fontId="45" type="noConversion"/>
  </si>
  <si>
    <t>Sam Wei</t>
    <phoneticPr fontId="45" type="noConversion"/>
  </si>
  <si>
    <t>Sam Tso</t>
    <phoneticPr fontId="45" type="noConversion"/>
  </si>
  <si>
    <t>release</t>
    <phoneticPr fontId="45" type="noConversion"/>
  </si>
  <si>
    <t xml:space="preserve">1.27Service
2.DTCList
3.Snapshot
4.ExtendedData
5.DIDIList
6.DIDData
</t>
    <phoneticPr fontId="45" type="noConversion"/>
  </si>
  <si>
    <r>
      <t xml:space="preserve">1. 27Service </t>
    </r>
    <r>
      <rPr>
        <sz val="10"/>
        <rFont val="微軟正黑體"/>
        <family val="2"/>
        <charset val="136"/>
      </rPr>
      <t>演算法改為</t>
    </r>
    <r>
      <rPr>
        <sz val="10"/>
        <rFont val="Arial"/>
        <family val="2"/>
      </rPr>
      <t>AES-128</t>
    </r>
    <r>
      <rPr>
        <sz val="10"/>
        <rFont val="微軟正黑體"/>
        <family val="2"/>
        <charset val="136"/>
      </rPr>
      <t>，</t>
    </r>
    <r>
      <rPr>
        <sz val="10"/>
        <rFont val="Arial"/>
        <family val="2"/>
      </rPr>
      <t xml:space="preserve">SEED/KEY </t>
    </r>
    <r>
      <rPr>
        <sz val="10"/>
        <rFont val="微軟正黑體"/>
        <family val="2"/>
        <charset val="136"/>
      </rPr>
      <t>改為</t>
    </r>
    <r>
      <rPr>
        <sz val="10"/>
        <rFont val="Arial"/>
        <family val="2"/>
      </rPr>
      <t xml:space="preserve">16Bytes
2.DTCList Busoff </t>
    </r>
    <r>
      <rPr>
        <sz val="10"/>
        <rFont val="微軟正黑體"/>
        <family val="2"/>
        <charset val="136"/>
      </rPr>
      <t xml:space="preserve">內容修正
</t>
    </r>
    <r>
      <rPr>
        <sz val="10"/>
        <rFont val="Arial"/>
        <family val="2"/>
      </rPr>
      <t>3.Snapshot</t>
    </r>
    <r>
      <rPr>
        <sz val="10"/>
        <rFont val="微軟正黑體"/>
        <family val="2"/>
        <charset val="136"/>
      </rPr>
      <t xml:space="preserve">範例更新
</t>
    </r>
    <r>
      <rPr>
        <sz val="10"/>
        <rFont val="Arial"/>
        <family val="2"/>
      </rPr>
      <t xml:space="preserve">4.ExtendedData </t>
    </r>
    <r>
      <rPr>
        <sz val="10"/>
        <rFont val="微軟正黑體"/>
        <family val="2"/>
        <charset val="136"/>
      </rPr>
      <t xml:space="preserve">範例更新
</t>
    </r>
    <r>
      <rPr>
        <sz val="10"/>
        <rFont val="Arial"/>
        <family val="2"/>
      </rPr>
      <t>5.DIDList</t>
    </r>
    <r>
      <rPr>
        <sz val="10"/>
        <rFont val="微軟正黑體"/>
        <family val="2"/>
        <charset val="136"/>
      </rPr>
      <t>更新</t>
    </r>
    <r>
      <rPr>
        <sz val="10"/>
        <rFont val="Arial"/>
        <family val="2"/>
      </rPr>
      <t>(</t>
    </r>
    <r>
      <rPr>
        <sz val="10"/>
        <rFont val="微軟正黑體"/>
        <family val="2"/>
        <charset val="136"/>
      </rPr>
      <t>新增多組</t>
    </r>
    <r>
      <rPr>
        <sz val="10"/>
        <rFont val="Arial"/>
        <family val="2"/>
      </rPr>
      <t>DID</t>
    </r>
    <r>
      <rPr>
        <sz val="10"/>
        <rFont val="微軟正黑體"/>
        <family val="2"/>
        <charset val="136"/>
      </rPr>
      <t>及移除不適用</t>
    </r>
    <r>
      <rPr>
        <sz val="10"/>
        <rFont val="Arial"/>
        <family val="2"/>
      </rPr>
      <t>DID)
6.DIDData</t>
    </r>
    <r>
      <rPr>
        <sz val="10"/>
        <rFont val="微軟正黑體"/>
        <family val="2"/>
        <charset val="136"/>
      </rPr>
      <t>更新</t>
    </r>
    <r>
      <rPr>
        <sz val="10"/>
        <rFont val="Arial"/>
        <family val="2"/>
      </rPr>
      <t>(</t>
    </r>
    <r>
      <rPr>
        <sz val="10"/>
        <rFont val="微軟正黑體"/>
        <family val="2"/>
        <charset val="136"/>
      </rPr>
      <t>新增多組</t>
    </r>
    <r>
      <rPr>
        <sz val="10"/>
        <rFont val="Arial"/>
        <family val="2"/>
      </rPr>
      <t>DID</t>
    </r>
    <r>
      <rPr>
        <sz val="10"/>
        <rFont val="微軟正黑體"/>
        <family val="2"/>
        <charset val="136"/>
      </rPr>
      <t>及移除不適用</t>
    </r>
    <r>
      <rPr>
        <sz val="10"/>
        <rFont val="Arial"/>
        <family val="2"/>
      </rPr>
      <t>DID)</t>
    </r>
    <phoneticPr fontId="45" type="noConversion"/>
  </si>
  <si>
    <t>U</t>
  </si>
  <si>
    <t>User option</t>
  </si>
  <si>
    <t>The parameter may or may not be present, depending on dynamic usage by the user.</t>
    <phoneticPr fontId="45" type="noConversion"/>
  </si>
  <si>
    <t>D</t>
    <phoneticPr fontId="45" type="noConversion"/>
  </si>
  <si>
    <t>2022/10/28</t>
    <phoneticPr fontId="45" type="noConversion"/>
  </si>
  <si>
    <t>Fu Wei Huang</t>
    <phoneticPr fontId="45" type="noConversion"/>
  </si>
  <si>
    <t>1. GeneralInfo
2. Services
3. 27Service
4. 28Service
5. DTCInfo</t>
    <phoneticPr fontId="45" type="noConversion"/>
  </si>
  <si>
    <r>
      <t xml:space="preserve">1. </t>
    </r>
    <r>
      <rPr>
        <sz val="10"/>
        <color theme="1"/>
        <rFont val="微軟正黑體"/>
        <family val="2"/>
        <charset val="136"/>
      </rPr>
      <t>取消</t>
    </r>
    <r>
      <rPr>
        <sz val="10"/>
        <color theme="1"/>
        <rFont val="Arial"/>
        <family val="2"/>
      </rPr>
      <t>Client</t>
    </r>
    <r>
      <rPr>
        <sz val="10"/>
        <color theme="1"/>
        <rFont val="微軟正黑體"/>
        <family val="2"/>
        <charset val="136"/>
      </rPr>
      <t>欄位底色，後續</t>
    </r>
    <r>
      <rPr>
        <sz val="10"/>
        <color theme="1"/>
        <rFont val="Arial"/>
        <family val="2"/>
      </rPr>
      <t>ECU</t>
    </r>
    <r>
      <rPr>
        <sz val="10"/>
        <color theme="1"/>
        <rFont val="微軟正黑體"/>
        <family val="2"/>
        <charset val="136"/>
      </rPr>
      <t xml:space="preserve">無需填寫此欄位。
</t>
    </r>
    <r>
      <rPr>
        <sz val="10"/>
        <color theme="1"/>
        <rFont val="Arial"/>
        <family val="2"/>
      </rPr>
      <t xml:space="preserve">2-1. </t>
    </r>
    <r>
      <rPr>
        <sz val="10"/>
        <color theme="1"/>
        <rFont val="微軟正黑體"/>
        <family val="2"/>
        <charset val="136"/>
      </rPr>
      <t xml:space="preserve">將各欄位預期填寫內容調整為預設值。
</t>
    </r>
    <r>
      <rPr>
        <sz val="10"/>
        <color theme="1"/>
        <rFont val="Arial"/>
        <family val="2"/>
      </rPr>
      <t>2-2. ISO</t>
    </r>
    <r>
      <rPr>
        <sz val="10"/>
        <color theme="1"/>
        <rFont val="微軟正黑體"/>
        <family val="2"/>
        <charset val="136"/>
      </rPr>
      <t>規範</t>
    </r>
    <r>
      <rPr>
        <sz val="10"/>
        <color theme="1"/>
        <rFont val="Arial"/>
        <family val="2"/>
      </rPr>
      <t>Level</t>
    </r>
    <r>
      <rPr>
        <sz val="10"/>
        <color theme="1"/>
        <rFont val="微軟正黑體"/>
        <family val="2"/>
        <charset val="136"/>
      </rPr>
      <t>為</t>
    </r>
    <r>
      <rPr>
        <sz val="10"/>
        <color theme="1"/>
        <rFont val="Arial"/>
        <family val="2"/>
      </rPr>
      <t>requestSeed</t>
    </r>
    <r>
      <rPr>
        <sz val="10"/>
        <color theme="1"/>
        <rFont val="微軟正黑體"/>
        <family val="2"/>
        <charset val="136"/>
      </rPr>
      <t>之</t>
    </r>
    <r>
      <rPr>
        <sz val="10"/>
        <color theme="1"/>
        <rFont val="Arial"/>
        <family val="2"/>
      </rPr>
      <t>hex</t>
    </r>
    <r>
      <rPr>
        <sz val="10"/>
        <color theme="1"/>
        <rFont val="微軟正黑體"/>
        <family val="2"/>
        <charset val="136"/>
      </rPr>
      <t>值，故修改原</t>
    </r>
    <r>
      <rPr>
        <sz val="10"/>
        <color theme="1"/>
        <rFont val="Arial"/>
        <family val="2"/>
      </rPr>
      <t>L2</t>
    </r>
    <r>
      <rPr>
        <sz val="10"/>
        <color theme="1"/>
        <rFont val="微軟正黑體"/>
        <family val="2"/>
        <charset val="136"/>
      </rPr>
      <t>為</t>
    </r>
    <r>
      <rPr>
        <sz val="10"/>
        <color theme="1"/>
        <rFont val="Arial"/>
        <family val="2"/>
      </rPr>
      <t>L3</t>
    </r>
    <r>
      <rPr>
        <sz val="10"/>
        <color theme="1"/>
        <rFont val="微軟正黑體"/>
        <family val="2"/>
        <charset val="136"/>
      </rPr>
      <t xml:space="preserve">。
</t>
    </r>
    <r>
      <rPr>
        <sz val="10"/>
        <color theme="1"/>
        <rFont val="Arial"/>
        <family val="2"/>
      </rPr>
      <t xml:space="preserve">3. </t>
    </r>
    <r>
      <rPr>
        <sz val="10"/>
        <color theme="1"/>
        <rFont val="微軟正黑體"/>
        <family val="2"/>
        <charset val="136"/>
      </rPr>
      <t>新增</t>
    </r>
    <r>
      <rPr>
        <sz val="10"/>
        <color theme="1"/>
        <rFont val="Arial"/>
        <family val="2"/>
      </rPr>
      <t>key</t>
    </r>
    <r>
      <rPr>
        <sz val="10"/>
        <color theme="1"/>
        <rFont val="微軟正黑體"/>
        <family val="2"/>
        <charset val="136"/>
      </rPr>
      <t xml:space="preserve">填寫欄位。
</t>
    </r>
    <r>
      <rPr>
        <sz val="10"/>
        <color theme="1"/>
        <rFont val="Arial"/>
        <family val="2"/>
      </rPr>
      <t xml:space="preserve">4. </t>
    </r>
    <r>
      <rPr>
        <sz val="10"/>
        <color theme="1"/>
        <rFont val="微軟正黑體"/>
        <family val="2"/>
        <charset val="136"/>
      </rPr>
      <t xml:space="preserve">將各欄位預期填寫內容調整為預設值。
</t>
    </r>
    <r>
      <rPr>
        <sz val="10"/>
        <color theme="1"/>
        <rFont val="Arial"/>
        <family val="2"/>
      </rPr>
      <t xml:space="preserve">5. NRC
5. </t>
    </r>
    <r>
      <rPr>
        <sz val="10"/>
        <color theme="1"/>
        <rFont val="微軟正黑體"/>
        <family val="2"/>
        <charset val="136"/>
      </rPr>
      <t>更新</t>
    </r>
    <r>
      <rPr>
        <sz val="10"/>
        <color theme="1"/>
        <rFont val="Arial"/>
        <family val="2"/>
      </rPr>
      <t>DTC Status</t>
    </r>
    <r>
      <rPr>
        <sz val="10"/>
        <color theme="1"/>
        <rFont val="微軟正黑體"/>
        <family val="2"/>
        <charset val="136"/>
      </rPr>
      <t>的</t>
    </r>
    <r>
      <rPr>
        <sz val="10"/>
        <color theme="1"/>
        <rFont val="Arial"/>
        <family val="2"/>
      </rPr>
      <t>Mandatory</t>
    </r>
    <r>
      <rPr>
        <sz val="10"/>
        <color theme="1"/>
        <rFont val="微軟正黑體"/>
        <family val="2"/>
        <charset val="136"/>
      </rPr>
      <t>項目。</t>
    </r>
    <phoneticPr fontId="45" type="noConversion"/>
  </si>
  <si>
    <t>E</t>
    <phoneticPr fontId="45" type="noConversion"/>
  </si>
  <si>
    <t>2022/11/03</t>
    <phoneticPr fontId="45" type="noConversion"/>
  </si>
  <si>
    <t>1. 27Service
2. DIDIList
3. DIDData
4. Bootloader
5. NRC</t>
    <phoneticPr fontId="45" type="noConversion"/>
  </si>
  <si>
    <r>
      <t xml:space="preserve">1. </t>
    </r>
    <r>
      <rPr>
        <sz val="10"/>
        <color theme="1"/>
        <rFont val="微軟正黑體"/>
        <family val="2"/>
        <charset val="136"/>
      </rPr>
      <t>欄位</t>
    </r>
    <r>
      <rPr>
        <sz val="10"/>
        <color theme="1"/>
        <rFont val="Arial"/>
        <family val="2"/>
      </rPr>
      <t>A16</t>
    </r>
    <r>
      <rPr>
        <sz val="10"/>
        <color theme="1"/>
        <rFont val="微軟正黑體"/>
        <family val="2"/>
        <charset val="136"/>
      </rPr>
      <t xml:space="preserve">誤記更正。
</t>
    </r>
    <r>
      <rPr>
        <sz val="10"/>
        <color theme="1"/>
        <rFont val="Arial"/>
        <family val="2"/>
      </rPr>
      <t xml:space="preserve">2. </t>
    </r>
    <r>
      <rPr>
        <sz val="10"/>
        <color theme="1"/>
        <rFont val="微軟正黑體"/>
        <family val="2"/>
        <charset val="136"/>
      </rPr>
      <t>新增</t>
    </r>
    <r>
      <rPr>
        <sz val="10"/>
        <color theme="1"/>
        <rFont val="Arial"/>
        <family val="2"/>
      </rPr>
      <t>DID F180</t>
    </r>
    <r>
      <rPr>
        <sz val="10"/>
        <color theme="1"/>
        <rFont val="微軟正黑體"/>
        <family val="2"/>
        <charset val="136"/>
      </rPr>
      <t xml:space="preserve">。
</t>
    </r>
    <r>
      <rPr>
        <sz val="10"/>
        <color theme="1"/>
        <rFont val="Arial"/>
        <family val="2"/>
      </rPr>
      <t xml:space="preserve">3. </t>
    </r>
    <r>
      <rPr>
        <sz val="10"/>
        <color theme="1"/>
        <rFont val="微軟正黑體"/>
        <family val="2"/>
        <charset val="136"/>
      </rPr>
      <t>新增</t>
    </r>
    <r>
      <rPr>
        <sz val="10"/>
        <color theme="1"/>
        <rFont val="Arial"/>
        <family val="2"/>
      </rPr>
      <t>DID F180</t>
    </r>
    <r>
      <rPr>
        <sz val="10"/>
        <color theme="1"/>
        <rFont val="微軟正黑體"/>
        <family val="2"/>
        <charset val="136"/>
      </rPr>
      <t xml:space="preserve">。
</t>
    </r>
    <r>
      <rPr>
        <sz val="10"/>
        <color theme="1"/>
        <rFont val="Arial"/>
        <family val="2"/>
      </rPr>
      <t xml:space="preserve">4. </t>
    </r>
    <r>
      <rPr>
        <sz val="10"/>
        <color theme="1"/>
        <rFont val="微軟正黑體"/>
        <family val="2"/>
        <charset val="136"/>
      </rPr>
      <t xml:space="preserve">開放空白欄位填寫資訊。
</t>
    </r>
    <r>
      <rPr>
        <sz val="10"/>
        <color theme="1"/>
        <rFont val="Arial"/>
        <family val="2"/>
      </rPr>
      <t xml:space="preserve">5. </t>
    </r>
    <r>
      <rPr>
        <sz val="10"/>
        <color theme="1"/>
        <rFont val="微軟正黑體"/>
        <family val="2"/>
        <charset val="136"/>
      </rPr>
      <t>開放供應商填寫自訂義</t>
    </r>
    <r>
      <rPr>
        <sz val="10"/>
        <color theme="1"/>
        <rFont val="Arial"/>
        <family val="2"/>
      </rPr>
      <t>NRC</t>
    </r>
    <r>
      <rPr>
        <sz val="10"/>
        <color theme="1"/>
        <rFont val="微軟正黑體"/>
        <family val="2"/>
        <charset val="136"/>
      </rPr>
      <t>資訊。</t>
    </r>
    <phoneticPr fontId="45" type="noConversion"/>
  </si>
  <si>
    <t>ASC</t>
    <phoneticPr fontId="45" type="noConversion"/>
  </si>
  <si>
    <t>ASCII Encoded.</t>
  </si>
  <si>
    <t>F</t>
    <phoneticPr fontId="45" type="noConversion"/>
  </si>
  <si>
    <t>2022/12/12</t>
    <phoneticPr fontId="45" type="noConversion"/>
  </si>
  <si>
    <t>1. Cover
2. Revision
3. GenetalInfo
4. Services
5. 27Service
6. 28Service
7. DTCInfo
8. DTCIList
9. Snapshot
10. ExtendedData 11. DIDIList
12. DIDData
13. 2FServices
14. 31Services
15. 23_3DServices
16. 2AServices</t>
    <phoneticPr fontId="45" type="noConversion"/>
  </si>
  <si>
    <r>
      <t xml:space="preserve">1. </t>
    </r>
    <r>
      <rPr>
        <sz val="10"/>
        <color theme="1"/>
        <rFont val="微軟正黑體"/>
        <family val="2"/>
        <charset val="136"/>
      </rPr>
      <t>開放空白欄位填寫資訊、新增欄位</t>
    </r>
    <r>
      <rPr>
        <sz val="10"/>
        <color theme="1"/>
        <rFont val="Arial"/>
        <family val="2"/>
      </rPr>
      <t>E18</t>
    </r>
    <r>
      <rPr>
        <sz val="10"/>
        <color theme="1"/>
        <rFont val="微軟正黑體"/>
        <family val="2"/>
        <charset val="136"/>
      </rPr>
      <t>、</t>
    </r>
    <r>
      <rPr>
        <sz val="10"/>
        <color theme="1"/>
        <rFont val="Arial"/>
        <family val="2"/>
      </rPr>
      <t>E19</t>
    </r>
    <r>
      <rPr>
        <sz val="10"/>
        <color theme="1"/>
        <rFont val="微軟正黑體"/>
        <family val="2"/>
        <charset val="136"/>
      </rPr>
      <t>、</t>
    </r>
    <r>
      <rPr>
        <sz val="10"/>
        <color theme="1"/>
        <rFont val="Arial"/>
        <family val="2"/>
      </rPr>
      <t>E20</t>
    </r>
    <r>
      <rPr>
        <sz val="10"/>
        <color theme="1"/>
        <rFont val="微軟正黑體"/>
        <family val="2"/>
        <charset val="136"/>
      </rPr>
      <t xml:space="preserve">填寫資訊。
</t>
    </r>
    <r>
      <rPr>
        <sz val="10"/>
        <color theme="1"/>
        <rFont val="Arial"/>
        <family val="2"/>
      </rPr>
      <t xml:space="preserve">2. </t>
    </r>
    <r>
      <rPr>
        <sz val="10"/>
        <color theme="1"/>
        <rFont val="微軟正黑體"/>
        <family val="2"/>
        <charset val="136"/>
      </rPr>
      <t xml:space="preserve">開放空白欄位填寫資訊。
</t>
    </r>
    <r>
      <rPr>
        <sz val="10"/>
        <color theme="1"/>
        <rFont val="Arial"/>
        <family val="2"/>
      </rPr>
      <t xml:space="preserve">3. </t>
    </r>
    <r>
      <rPr>
        <sz val="10"/>
        <color theme="1"/>
        <rFont val="微軟正黑體"/>
        <family val="2"/>
        <charset val="136"/>
      </rPr>
      <t xml:space="preserve">開放空白欄位填寫資訊。
</t>
    </r>
    <r>
      <rPr>
        <sz val="10"/>
        <color theme="1"/>
        <rFont val="Arial"/>
        <family val="2"/>
      </rPr>
      <t xml:space="preserve">4. </t>
    </r>
    <r>
      <rPr>
        <sz val="10"/>
        <color theme="1"/>
        <rFont val="微軟正黑體"/>
        <family val="2"/>
        <charset val="136"/>
      </rPr>
      <t>開放空白欄位填寫資訊、欄位</t>
    </r>
    <r>
      <rPr>
        <sz val="10"/>
        <color theme="1"/>
        <rFont val="Arial"/>
        <family val="2"/>
      </rPr>
      <t>K24</t>
    </r>
    <r>
      <rPr>
        <sz val="10"/>
        <color theme="1"/>
        <rFont val="微軟正黑體"/>
        <family val="2"/>
        <charset val="136"/>
      </rPr>
      <t>、</t>
    </r>
    <r>
      <rPr>
        <sz val="10"/>
        <color theme="1"/>
        <rFont val="Arial"/>
        <family val="2"/>
      </rPr>
      <t>K25</t>
    </r>
    <r>
      <rPr>
        <sz val="10"/>
        <color theme="1"/>
        <rFont val="微軟正黑體"/>
        <family val="2"/>
        <charset val="136"/>
      </rPr>
      <t>、</t>
    </r>
    <r>
      <rPr>
        <sz val="10"/>
        <color theme="1"/>
        <rFont val="Arial"/>
        <family val="2"/>
      </rPr>
      <t>K26</t>
    </r>
    <r>
      <rPr>
        <sz val="10"/>
        <color theme="1"/>
        <rFont val="微軟正黑體"/>
        <family val="2"/>
        <charset val="136"/>
      </rPr>
      <t>、</t>
    </r>
    <r>
      <rPr>
        <sz val="10"/>
        <color theme="1"/>
        <rFont val="Arial"/>
        <family val="2"/>
      </rPr>
      <t>K27</t>
    </r>
    <r>
      <rPr>
        <sz val="10"/>
        <color theme="1"/>
        <rFont val="微軟正黑體"/>
        <family val="2"/>
        <charset val="136"/>
      </rPr>
      <t>、</t>
    </r>
    <r>
      <rPr>
        <sz val="10"/>
        <color theme="1"/>
        <rFont val="Arial"/>
        <family val="2"/>
      </rPr>
      <t>F37</t>
    </r>
    <r>
      <rPr>
        <sz val="10"/>
        <color theme="1"/>
        <rFont val="微軟正黑體"/>
        <family val="2"/>
        <charset val="136"/>
      </rPr>
      <t>、</t>
    </r>
    <r>
      <rPr>
        <sz val="10"/>
        <color theme="1"/>
        <rFont val="Arial"/>
        <family val="2"/>
      </rPr>
      <t>F38</t>
    </r>
    <r>
      <rPr>
        <sz val="10"/>
        <color theme="1"/>
        <rFont val="微軟正黑體"/>
        <family val="2"/>
        <charset val="136"/>
      </rPr>
      <t>、</t>
    </r>
    <r>
      <rPr>
        <sz val="10"/>
        <color theme="1"/>
        <rFont val="Arial"/>
        <family val="2"/>
      </rPr>
      <t>F39</t>
    </r>
    <r>
      <rPr>
        <sz val="10"/>
        <color theme="1"/>
        <rFont val="微軟正黑體"/>
        <family val="2"/>
        <charset val="136"/>
      </rPr>
      <t>、</t>
    </r>
    <r>
      <rPr>
        <sz val="10"/>
        <color theme="1"/>
        <rFont val="Arial"/>
        <family val="2"/>
      </rPr>
      <t>F40</t>
    </r>
    <r>
      <rPr>
        <sz val="10"/>
        <color theme="1"/>
        <rFont val="微軟正黑體"/>
        <family val="2"/>
        <charset val="136"/>
      </rPr>
      <t>、</t>
    </r>
    <r>
      <rPr>
        <sz val="10"/>
        <color theme="1"/>
        <rFont val="Arial"/>
        <family val="2"/>
      </rPr>
      <t>F41</t>
    </r>
    <r>
      <rPr>
        <sz val="10"/>
        <color theme="1"/>
        <rFont val="微軟正黑體"/>
        <family val="2"/>
        <charset val="136"/>
      </rPr>
      <t>、</t>
    </r>
    <r>
      <rPr>
        <sz val="10"/>
        <color theme="1"/>
        <rFont val="Arial"/>
        <family val="2"/>
      </rPr>
      <t>F42</t>
    </r>
    <r>
      <rPr>
        <sz val="10"/>
        <color theme="1"/>
        <rFont val="微軟正黑體"/>
        <family val="2"/>
        <charset val="136"/>
      </rPr>
      <t xml:space="preserve">誤記更正。
</t>
    </r>
    <r>
      <rPr>
        <sz val="10"/>
        <color theme="1"/>
        <rFont val="Arial"/>
        <family val="2"/>
      </rPr>
      <t xml:space="preserve">5. </t>
    </r>
    <r>
      <rPr>
        <sz val="10"/>
        <color theme="1"/>
        <rFont val="微軟正黑體"/>
        <family val="2"/>
        <charset val="136"/>
      </rPr>
      <t xml:space="preserve">開放空白欄位填寫資訊。
</t>
    </r>
    <r>
      <rPr>
        <sz val="10"/>
        <color theme="1"/>
        <rFont val="Arial"/>
        <family val="2"/>
      </rPr>
      <t xml:space="preserve">6. </t>
    </r>
    <r>
      <rPr>
        <sz val="10"/>
        <color theme="1"/>
        <rFont val="微軟正黑體"/>
        <family val="2"/>
        <charset val="136"/>
      </rPr>
      <t xml:space="preserve">開放空白欄位填寫資訊。
</t>
    </r>
    <r>
      <rPr>
        <sz val="10"/>
        <color theme="1"/>
        <rFont val="Arial"/>
        <family val="2"/>
      </rPr>
      <t xml:space="preserve">7. </t>
    </r>
    <r>
      <rPr>
        <sz val="10"/>
        <color theme="1"/>
        <rFont val="微軟正黑體"/>
        <family val="2"/>
        <charset val="136"/>
      </rPr>
      <t xml:space="preserve">開放空白欄位填寫資訊、新增黃底標註。
</t>
    </r>
    <r>
      <rPr>
        <sz val="10"/>
        <color theme="1"/>
        <rFont val="Arial"/>
        <family val="2"/>
      </rPr>
      <t xml:space="preserve">8. </t>
    </r>
    <r>
      <rPr>
        <sz val="10"/>
        <color theme="1"/>
        <rFont val="微軟正黑體"/>
        <family val="2"/>
        <charset val="136"/>
      </rPr>
      <t xml:space="preserve">開放空白欄位填寫資訊、新增黃底標註。
</t>
    </r>
    <r>
      <rPr>
        <sz val="10"/>
        <color theme="1"/>
        <rFont val="Arial"/>
        <family val="2"/>
      </rPr>
      <t xml:space="preserve">9. </t>
    </r>
    <r>
      <rPr>
        <sz val="10"/>
        <color theme="1"/>
        <rFont val="微軟正黑體"/>
        <family val="2"/>
        <charset val="136"/>
      </rPr>
      <t xml:space="preserve">開放空白欄位填寫資訊、新增黃底標註。
</t>
    </r>
    <r>
      <rPr>
        <sz val="10"/>
        <color theme="1"/>
        <rFont val="Arial"/>
        <family val="2"/>
      </rPr>
      <t xml:space="preserve">10. </t>
    </r>
    <r>
      <rPr>
        <sz val="10"/>
        <color theme="1"/>
        <rFont val="微軟正黑體"/>
        <family val="2"/>
        <charset val="136"/>
      </rPr>
      <t xml:space="preserve">開放空白欄位填寫資訊、新增黃底標註。
</t>
    </r>
    <r>
      <rPr>
        <sz val="10"/>
        <color theme="1"/>
        <rFont val="Arial"/>
        <family val="2"/>
      </rPr>
      <t xml:space="preserve">11. </t>
    </r>
    <r>
      <rPr>
        <sz val="10"/>
        <color theme="1"/>
        <rFont val="微軟正黑體"/>
        <family val="2"/>
        <charset val="136"/>
      </rPr>
      <t>開放空白欄位填寫資訊、新增黃底標註、更新欄位</t>
    </r>
    <r>
      <rPr>
        <sz val="10"/>
        <color theme="1"/>
        <rFont val="Arial"/>
        <family val="2"/>
      </rPr>
      <t>C7</t>
    </r>
    <r>
      <rPr>
        <sz val="10"/>
        <color theme="1"/>
        <rFont val="微軟正黑體"/>
        <family val="2"/>
        <charset val="136"/>
      </rPr>
      <t>、</t>
    </r>
    <r>
      <rPr>
        <sz val="10"/>
        <color theme="1"/>
        <rFont val="Arial"/>
        <family val="2"/>
      </rPr>
      <t>C8</t>
    </r>
    <r>
      <rPr>
        <sz val="10"/>
        <color theme="1"/>
        <rFont val="微軟正黑體"/>
        <family val="2"/>
        <charset val="136"/>
      </rPr>
      <t>、</t>
    </r>
    <r>
      <rPr>
        <sz val="10"/>
        <color theme="1"/>
        <rFont val="Arial"/>
        <family val="2"/>
      </rPr>
      <t>C12</t>
    </r>
    <r>
      <rPr>
        <sz val="10"/>
        <color theme="1"/>
        <rFont val="微軟正黑體"/>
        <family val="2"/>
        <charset val="136"/>
      </rPr>
      <t>、</t>
    </r>
    <r>
      <rPr>
        <sz val="10"/>
        <color theme="1"/>
        <rFont val="Arial"/>
        <family val="2"/>
      </rPr>
      <t>C14</t>
    </r>
    <r>
      <rPr>
        <sz val="10"/>
        <color theme="1"/>
        <rFont val="微軟正黑體"/>
        <family val="2"/>
        <charset val="136"/>
      </rPr>
      <t>、</t>
    </r>
    <r>
      <rPr>
        <sz val="10"/>
        <color theme="1"/>
        <rFont val="Arial"/>
        <family val="2"/>
      </rPr>
      <t>C15</t>
    </r>
    <r>
      <rPr>
        <sz val="10"/>
        <color theme="1"/>
        <rFont val="微軟正黑體"/>
        <family val="2"/>
        <charset val="136"/>
      </rPr>
      <t>、</t>
    </r>
    <r>
      <rPr>
        <sz val="10"/>
        <color theme="1"/>
        <rFont val="Arial"/>
        <family val="2"/>
      </rPr>
      <t>C16</t>
    </r>
    <r>
      <rPr>
        <sz val="10"/>
        <color theme="1"/>
        <rFont val="微軟正黑體"/>
        <family val="2"/>
        <charset val="136"/>
      </rPr>
      <t>、</t>
    </r>
    <r>
      <rPr>
        <sz val="10"/>
        <color theme="1"/>
        <rFont val="Arial"/>
        <family val="2"/>
      </rPr>
      <t>C17</t>
    </r>
    <r>
      <rPr>
        <sz val="10"/>
        <color theme="1"/>
        <rFont val="微軟正黑體"/>
        <family val="2"/>
        <charset val="136"/>
      </rPr>
      <t>、</t>
    </r>
    <r>
      <rPr>
        <sz val="10"/>
        <color theme="1"/>
        <rFont val="Arial"/>
        <family val="2"/>
      </rPr>
      <t>C21</t>
    </r>
    <r>
      <rPr>
        <sz val="10"/>
        <color theme="1"/>
        <rFont val="微軟正黑體"/>
        <family val="2"/>
        <charset val="136"/>
      </rPr>
      <t xml:space="preserve">。
</t>
    </r>
    <r>
      <rPr>
        <sz val="10"/>
        <color theme="1"/>
        <rFont val="Arial"/>
        <family val="2"/>
      </rPr>
      <t xml:space="preserve">12. </t>
    </r>
    <r>
      <rPr>
        <sz val="10"/>
        <color theme="1"/>
        <rFont val="微軟正黑體"/>
        <family val="2"/>
        <charset val="136"/>
      </rPr>
      <t>開放空白欄位填寫資訊、新增黃底標註、更新</t>
    </r>
    <r>
      <rPr>
        <sz val="10"/>
        <color theme="1"/>
        <rFont val="Arial"/>
        <family val="2"/>
      </rPr>
      <t>Column W</t>
    </r>
    <r>
      <rPr>
        <sz val="10"/>
        <color theme="1"/>
        <rFont val="微軟正黑體"/>
        <family val="2"/>
        <charset val="136"/>
      </rPr>
      <t>、欄位</t>
    </r>
    <r>
      <rPr>
        <sz val="10"/>
        <color theme="1"/>
        <rFont val="Arial"/>
        <family val="2"/>
      </rPr>
      <t>P20</t>
    </r>
    <r>
      <rPr>
        <sz val="10"/>
        <color theme="1"/>
        <rFont val="微軟正黑體"/>
        <family val="2"/>
        <charset val="136"/>
      </rPr>
      <t>、</t>
    </r>
    <r>
      <rPr>
        <sz val="10"/>
        <color theme="1"/>
        <rFont val="Arial"/>
        <family val="2"/>
      </rPr>
      <t>T20</t>
    </r>
    <r>
      <rPr>
        <sz val="10"/>
        <color theme="1"/>
        <rFont val="微軟正黑體"/>
        <family val="2"/>
        <charset val="136"/>
      </rPr>
      <t>、</t>
    </r>
    <r>
      <rPr>
        <sz val="10"/>
        <color theme="1"/>
        <rFont val="Arial"/>
        <family val="2"/>
      </rPr>
      <t>U20</t>
    </r>
    <r>
      <rPr>
        <sz val="10"/>
        <color theme="1"/>
        <rFont val="微軟正黑體"/>
        <family val="2"/>
        <charset val="136"/>
      </rPr>
      <t>、</t>
    </r>
    <r>
      <rPr>
        <sz val="10"/>
        <color theme="1"/>
        <rFont val="Arial"/>
        <family val="2"/>
      </rPr>
      <t>V20</t>
    </r>
    <r>
      <rPr>
        <sz val="10"/>
        <color theme="1"/>
        <rFont val="微軟正黑體"/>
        <family val="2"/>
        <charset val="136"/>
      </rPr>
      <t>、</t>
    </r>
    <r>
      <rPr>
        <sz val="10"/>
        <color theme="1"/>
        <rFont val="Arial"/>
        <family val="2"/>
      </rPr>
      <t>P22</t>
    </r>
    <r>
      <rPr>
        <sz val="10"/>
        <color theme="1"/>
        <rFont val="微軟正黑體"/>
        <family val="2"/>
        <charset val="136"/>
      </rPr>
      <t>、</t>
    </r>
    <r>
      <rPr>
        <sz val="10"/>
        <color theme="1"/>
        <rFont val="Arial"/>
        <family val="2"/>
      </rPr>
      <t>T22</t>
    </r>
    <r>
      <rPr>
        <sz val="10"/>
        <color theme="1"/>
        <rFont val="微軟正黑體"/>
        <family val="2"/>
        <charset val="136"/>
      </rPr>
      <t>、</t>
    </r>
    <r>
      <rPr>
        <sz val="10"/>
        <color theme="1"/>
        <rFont val="Arial"/>
        <family val="2"/>
      </rPr>
      <t>U22</t>
    </r>
    <r>
      <rPr>
        <sz val="10"/>
        <color theme="1"/>
        <rFont val="微軟正黑體"/>
        <family val="2"/>
        <charset val="136"/>
      </rPr>
      <t>、</t>
    </r>
    <r>
      <rPr>
        <sz val="10"/>
        <color theme="1"/>
        <rFont val="Arial"/>
        <family val="2"/>
      </rPr>
      <t>V22</t>
    </r>
    <r>
      <rPr>
        <sz val="10"/>
        <color theme="1"/>
        <rFont val="微軟正黑體"/>
        <family val="2"/>
        <charset val="136"/>
      </rPr>
      <t xml:space="preserve">。
</t>
    </r>
    <r>
      <rPr>
        <sz val="10"/>
        <color theme="1"/>
        <rFont val="Arial"/>
        <family val="2"/>
      </rPr>
      <t xml:space="preserve">13. </t>
    </r>
    <r>
      <rPr>
        <sz val="10"/>
        <color theme="1"/>
        <rFont val="微軟正黑體"/>
        <family val="2"/>
        <charset val="136"/>
      </rPr>
      <t xml:space="preserve">開放空白欄位填寫資訊、新增黃底標註。
</t>
    </r>
    <r>
      <rPr>
        <sz val="10"/>
        <color theme="1"/>
        <rFont val="Arial"/>
        <family val="2"/>
      </rPr>
      <t xml:space="preserve">14. </t>
    </r>
    <r>
      <rPr>
        <sz val="10"/>
        <color theme="1"/>
        <rFont val="微軟正黑體"/>
        <family val="2"/>
        <charset val="136"/>
      </rPr>
      <t xml:space="preserve">開放空白欄位填寫資訊、新增黃底標註。
</t>
    </r>
    <r>
      <rPr>
        <sz val="10"/>
        <color theme="1"/>
        <rFont val="Arial"/>
        <family val="2"/>
      </rPr>
      <t xml:space="preserve">15. </t>
    </r>
    <r>
      <rPr>
        <sz val="10"/>
        <color theme="1"/>
        <rFont val="微軟正黑體"/>
        <family val="2"/>
        <charset val="136"/>
      </rPr>
      <t xml:space="preserve">開放空白欄位填寫資訊、新增黃底標註。
</t>
    </r>
    <r>
      <rPr>
        <sz val="10"/>
        <color theme="1"/>
        <rFont val="Arial"/>
        <family val="2"/>
      </rPr>
      <t xml:space="preserve">16. </t>
    </r>
    <r>
      <rPr>
        <sz val="10"/>
        <color theme="1"/>
        <rFont val="微軟正黑體"/>
        <family val="2"/>
        <charset val="136"/>
      </rPr>
      <t>開放空白欄位填寫資訊、新增黃底標註。</t>
    </r>
    <phoneticPr fontId="45" type="noConversion"/>
  </si>
  <si>
    <t>VSIE</t>
  </si>
  <si>
    <t>Vehicle Software Integration Engineer</t>
    <phoneticPr fontId="45" type="noConversion"/>
  </si>
  <si>
    <t>G</t>
    <phoneticPr fontId="45" type="noConversion"/>
  </si>
  <si>
    <t>2023/1/5</t>
    <phoneticPr fontId="45" type="noConversion"/>
  </si>
  <si>
    <t>1. Cover
2. DTCList
3. Snapshot
4. DIDData
5. 2FServices
6. 31Services
7. 23_3DServices
8. Bootloader
9. EOL
10. Calibration</t>
    <phoneticPr fontId="45" type="noConversion"/>
  </si>
  <si>
    <r>
      <t xml:space="preserve">1. </t>
    </r>
    <r>
      <rPr>
        <sz val="10"/>
        <color theme="1"/>
        <rFont val="微軟正黑體"/>
        <family val="2"/>
        <charset val="136"/>
      </rPr>
      <t>更新</t>
    </r>
    <r>
      <rPr>
        <sz val="10"/>
        <color theme="1"/>
        <rFont val="Arial"/>
        <family val="2"/>
      </rPr>
      <t>E18</t>
    </r>
    <r>
      <rPr>
        <sz val="10"/>
        <color theme="1"/>
        <rFont val="微軟正黑體"/>
        <family val="2"/>
        <charset val="136"/>
      </rPr>
      <t>、</t>
    </r>
    <r>
      <rPr>
        <sz val="10"/>
        <color theme="1"/>
        <rFont val="Arial"/>
        <family val="2"/>
      </rPr>
      <t>E19</t>
    </r>
    <r>
      <rPr>
        <sz val="10"/>
        <color theme="1"/>
        <rFont val="微軟正黑體"/>
        <family val="2"/>
        <charset val="136"/>
      </rPr>
      <t>、</t>
    </r>
    <r>
      <rPr>
        <sz val="10"/>
        <color theme="1"/>
        <rFont val="Arial"/>
        <family val="2"/>
      </rPr>
      <t>E20</t>
    </r>
    <r>
      <rPr>
        <sz val="10"/>
        <color theme="1"/>
        <rFont val="微軟正黑體"/>
        <family val="2"/>
        <charset val="136"/>
      </rPr>
      <t xml:space="preserve">填寫資訊。
</t>
    </r>
    <r>
      <rPr>
        <sz val="10"/>
        <color theme="1"/>
        <rFont val="Arial"/>
        <family val="2"/>
      </rPr>
      <t xml:space="preserve">2. </t>
    </r>
    <r>
      <rPr>
        <sz val="10"/>
        <color theme="1"/>
        <rFont val="微軟正黑體"/>
        <family val="2"/>
        <charset val="136"/>
      </rPr>
      <t>新增</t>
    </r>
    <r>
      <rPr>
        <sz val="10"/>
        <color theme="1"/>
        <rFont val="Arial"/>
        <family val="2"/>
      </rPr>
      <t>column F</t>
    </r>
    <r>
      <rPr>
        <sz val="10"/>
        <color theme="1"/>
        <rFont val="微軟正黑體"/>
        <family val="2"/>
        <charset val="136"/>
      </rPr>
      <t>、</t>
    </r>
    <r>
      <rPr>
        <sz val="10"/>
        <color theme="1"/>
        <rFont val="Arial"/>
        <family val="2"/>
      </rPr>
      <t>column N</t>
    </r>
    <r>
      <rPr>
        <sz val="10"/>
        <color theme="1"/>
        <rFont val="微軟正黑體"/>
        <family val="2"/>
        <charset val="136"/>
      </rPr>
      <t>、</t>
    </r>
    <r>
      <rPr>
        <sz val="10"/>
        <color theme="1"/>
        <rFont val="Arial"/>
        <family val="2"/>
      </rPr>
      <t>column O</t>
    </r>
    <r>
      <rPr>
        <sz val="10"/>
        <color theme="1"/>
        <rFont val="微軟正黑體"/>
        <family val="2"/>
        <charset val="136"/>
      </rPr>
      <t>、</t>
    </r>
    <r>
      <rPr>
        <sz val="10"/>
        <color theme="1"/>
        <rFont val="Arial"/>
        <family val="2"/>
      </rPr>
      <t>column S</t>
    </r>
    <r>
      <rPr>
        <sz val="10"/>
        <color theme="1"/>
        <rFont val="微軟正黑體"/>
        <family val="2"/>
        <charset val="136"/>
      </rPr>
      <t>、</t>
    </r>
    <r>
      <rPr>
        <sz val="10"/>
        <color theme="1"/>
        <rFont val="Arial"/>
        <family val="2"/>
      </rPr>
      <t>column T</t>
    </r>
    <r>
      <rPr>
        <sz val="10"/>
        <color theme="1"/>
        <rFont val="微軟正黑體"/>
        <family val="2"/>
        <charset val="136"/>
      </rPr>
      <t>、</t>
    </r>
    <r>
      <rPr>
        <sz val="10"/>
        <color theme="1"/>
        <rFont val="Arial"/>
        <family val="2"/>
      </rPr>
      <t>column V</t>
    </r>
    <r>
      <rPr>
        <sz val="10"/>
        <color theme="1"/>
        <rFont val="微軟正黑體"/>
        <family val="2"/>
        <charset val="136"/>
      </rPr>
      <t>、</t>
    </r>
    <r>
      <rPr>
        <sz val="10"/>
        <color theme="1"/>
        <rFont val="Arial"/>
        <family val="2"/>
      </rPr>
      <t>column W</t>
    </r>
    <r>
      <rPr>
        <sz val="10"/>
        <color theme="1"/>
        <rFont val="微軟正黑體"/>
        <family val="2"/>
        <charset val="136"/>
      </rPr>
      <t xml:space="preserve">。
</t>
    </r>
    <r>
      <rPr>
        <sz val="10"/>
        <color theme="1"/>
        <rFont val="Arial"/>
        <family val="2"/>
      </rPr>
      <t xml:space="preserve">3-1. </t>
    </r>
    <r>
      <rPr>
        <sz val="10"/>
        <color theme="1"/>
        <rFont val="微軟正黑體"/>
        <family val="2"/>
        <charset val="136"/>
      </rPr>
      <t>新增</t>
    </r>
    <r>
      <rPr>
        <sz val="10"/>
        <color theme="1"/>
        <rFont val="Arial"/>
        <family val="2"/>
      </rPr>
      <t>A11</t>
    </r>
    <r>
      <rPr>
        <sz val="10"/>
        <color theme="1"/>
        <rFont val="微軟正黑體"/>
        <family val="2"/>
        <charset val="136"/>
      </rPr>
      <t>、</t>
    </r>
    <r>
      <rPr>
        <sz val="10"/>
        <color theme="1"/>
        <rFont val="Arial"/>
        <family val="2"/>
      </rPr>
      <t>A13</t>
    </r>
    <r>
      <rPr>
        <sz val="10"/>
        <color theme="1"/>
        <rFont val="微軟正黑體"/>
        <family val="2"/>
        <charset val="136"/>
      </rPr>
      <t>、</t>
    </r>
    <r>
      <rPr>
        <sz val="10"/>
        <color theme="1"/>
        <rFont val="Arial"/>
        <family val="2"/>
      </rPr>
      <t>B11</t>
    </r>
    <r>
      <rPr>
        <sz val="10"/>
        <color theme="1"/>
        <rFont val="微軟正黑體"/>
        <family val="2"/>
        <charset val="136"/>
      </rPr>
      <t>、</t>
    </r>
    <r>
      <rPr>
        <sz val="10"/>
        <color theme="1"/>
        <rFont val="Arial"/>
        <family val="2"/>
      </rPr>
      <t>B13</t>
    </r>
    <r>
      <rPr>
        <sz val="10"/>
        <color theme="1"/>
        <rFont val="微軟正黑體"/>
        <family val="2"/>
        <charset val="136"/>
      </rPr>
      <t xml:space="preserve">填寫資訊。
</t>
    </r>
    <r>
      <rPr>
        <sz val="10"/>
        <color theme="1"/>
        <rFont val="Arial"/>
        <family val="2"/>
      </rPr>
      <t xml:space="preserve">3-2. </t>
    </r>
    <r>
      <rPr>
        <sz val="10"/>
        <color theme="1"/>
        <rFont val="微軟正黑體"/>
        <family val="2"/>
        <charset val="136"/>
      </rPr>
      <t>更新</t>
    </r>
    <r>
      <rPr>
        <sz val="10"/>
        <color theme="1"/>
        <rFont val="Arial"/>
        <family val="2"/>
      </rPr>
      <t>G12</t>
    </r>
    <r>
      <rPr>
        <sz val="10"/>
        <color theme="1"/>
        <rFont val="微軟正黑體"/>
        <family val="2"/>
        <charset val="136"/>
      </rPr>
      <t xml:space="preserve">填寫方式。
</t>
    </r>
    <r>
      <rPr>
        <sz val="10"/>
        <color theme="1"/>
        <rFont val="Arial"/>
        <family val="2"/>
      </rPr>
      <t xml:space="preserve">4. </t>
    </r>
    <r>
      <rPr>
        <sz val="10"/>
        <color theme="1"/>
        <rFont val="微軟正黑體"/>
        <family val="2"/>
        <charset val="136"/>
      </rPr>
      <t>更新</t>
    </r>
    <r>
      <rPr>
        <sz val="10"/>
        <color theme="1"/>
        <rFont val="Arial"/>
        <family val="2"/>
      </rPr>
      <t>F11</t>
    </r>
    <r>
      <rPr>
        <sz val="10"/>
        <color theme="1"/>
        <rFont val="微軟正黑體"/>
        <family val="2"/>
        <charset val="136"/>
      </rPr>
      <t>、</t>
    </r>
    <r>
      <rPr>
        <sz val="10"/>
        <color theme="1"/>
        <rFont val="Arial"/>
        <family val="2"/>
      </rPr>
      <t>F13</t>
    </r>
    <r>
      <rPr>
        <sz val="10"/>
        <color theme="1"/>
        <rFont val="微軟正黑體"/>
        <family val="2"/>
        <charset val="136"/>
      </rPr>
      <t>、</t>
    </r>
    <r>
      <rPr>
        <sz val="10"/>
        <color theme="1"/>
        <rFont val="Arial"/>
        <family val="2"/>
      </rPr>
      <t>F15</t>
    </r>
    <r>
      <rPr>
        <sz val="10"/>
        <color theme="1"/>
        <rFont val="微軟正黑體"/>
        <family val="2"/>
        <charset val="136"/>
      </rPr>
      <t>、</t>
    </r>
    <r>
      <rPr>
        <sz val="10"/>
        <color theme="1"/>
        <rFont val="Arial"/>
        <family val="2"/>
      </rPr>
      <t>F17</t>
    </r>
    <r>
      <rPr>
        <sz val="10"/>
        <color theme="1"/>
        <rFont val="微軟正黑體"/>
        <family val="2"/>
        <charset val="136"/>
      </rPr>
      <t>、</t>
    </r>
    <r>
      <rPr>
        <sz val="10"/>
        <color theme="1"/>
        <rFont val="Arial"/>
        <family val="2"/>
      </rPr>
      <t>F19</t>
    </r>
    <r>
      <rPr>
        <sz val="10"/>
        <color theme="1"/>
        <rFont val="微軟正黑體"/>
        <family val="2"/>
        <charset val="136"/>
      </rPr>
      <t>、</t>
    </r>
    <r>
      <rPr>
        <sz val="10"/>
        <color theme="1"/>
        <rFont val="Arial"/>
        <family val="2"/>
      </rPr>
      <t>F21</t>
    </r>
    <r>
      <rPr>
        <sz val="10"/>
        <color theme="1"/>
        <rFont val="微軟正黑體"/>
        <family val="2"/>
        <charset val="136"/>
      </rPr>
      <t>、</t>
    </r>
    <r>
      <rPr>
        <sz val="10"/>
        <color theme="1"/>
        <rFont val="Arial"/>
        <family val="2"/>
      </rPr>
      <t>F23</t>
    </r>
    <r>
      <rPr>
        <sz val="10"/>
        <color theme="1"/>
        <rFont val="微軟正黑體"/>
        <family val="2"/>
        <charset val="136"/>
      </rPr>
      <t>、</t>
    </r>
    <r>
      <rPr>
        <sz val="10"/>
        <color theme="1"/>
        <rFont val="Arial"/>
        <family val="2"/>
      </rPr>
      <t>F25</t>
    </r>
    <r>
      <rPr>
        <sz val="10"/>
        <color theme="1"/>
        <rFont val="微軟正黑體"/>
        <family val="2"/>
        <charset val="136"/>
      </rPr>
      <t>、</t>
    </r>
    <r>
      <rPr>
        <sz val="10"/>
        <color theme="1"/>
        <rFont val="Arial"/>
        <family val="2"/>
      </rPr>
      <t>F29</t>
    </r>
    <r>
      <rPr>
        <sz val="10"/>
        <color theme="1"/>
        <rFont val="微軟正黑體"/>
        <family val="2"/>
        <charset val="136"/>
      </rPr>
      <t xml:space="preserve">填寫方式。
</t>
    </r>
    <r>
      <rPr>
        <sz val="10"/>
        <color theme="1"/>
        <rFont val="Arial"/>
        <family val="2"/>
      </rPr>
      <t xml:space="preserve">5. </t>
    </r>
    <r>
      <rPr>
        <sz val="10"/>
        <color theme="1"/>
        <rFont val="微軟正黑體"/>
        <family val="2"/>
        <charset val="136"/>
      </rPr>
      <t>更新</t>
    </r>
    <r>
      <rPr>
        <sz val="10"/>
        <color theme="1"/>
        <rFont val="Arial"/>
        <family val="2"/>
      </rPr>
      <t>I14</t>
    </r>
    <r>
      <rPr>
        <sz val="10"/>
        <color theme="1"/>
        <rFont val="微軟正黑體"/>
        <family val="2"/>
        <charset val="136"/>
      </rPr>
      <t xml:space="preserve">填寫方式。
</t>
    </r>
    <r>
      <rPr>
        <sz val="10"/>
        <color theme="1"/>
        <rFont val="Arial"/>
        <family val="2"/>
      </rPr>
      <t xml:space="preserve">6. </t>
    </r>
    <r>
      <rPr>
        <sz val="10"/>
        <color theme="1"/>
        <rFont val="微軟正黑體"/>
        <family val="2"/>
        <charset val="136"/>
      </rPr>
      <t>更新</t>
    </r>
    <r>
      <rPr>
        <sz val="10"/>
        <color theme="1"/>
        <rFont val="Arial"/>
        <family val="2"/>
      </rPr>
      <t>H11</t>
    </r>
    <r>
      <rPr>
        <sz val="10"/>
        <color theme="1"/>
        <rFont val="微軟正黑體"/>
        <family val="2"/>
        <charset val="136"/>
      </rPr>
      <t>、</t>
    </r>
    <r>
      <rPr>
        <sz val="10"/>
        <color theme="1"/>
        <rFont val="Arial"/>
        <family val="2"/>
      </rPr>
      <t>H12</t>
    </r>
    <r>
      <rPr>
        <sz val="10"/>
        <color theme="1"/>
        <rFont val="微軟正黑體"/>
        <family val="2"/>
        <charset val="136"/>
      </rPr>
      <t xml:space="preserve">填寫方式。
</t>
    </r>
    <r>
      <rPr>
        <sz val="10"/>
        <color theme="1"/>
        <rFont val="Arial"/>
        <family val="2"/>
      </rPr>
      <t xml:space="preserve">7. </t>
    </r>
    <r>
      <rPr>
        <sz val="10"/>
        <color theme="1"/>
        <rFont val="微軟正黑體"/>
        <family val="2"/>
        <charset val="136"/>
      </rPr>
      <t>更新</t>
    </r>
    <r>
      <rPr>
        <sz val="10"/>
        <color theme="1"/>
        <rFont val="Arial"/>
        <family val="2"/>
      </rPr>
      <t>F12</t>
    </r>
    <r>
      <rPr>
        <sz val="10"/>
        <color theme="1"/>
        <rFont val="微軟正黑體"/>
        <family val="2"/>
        <charset val="136"/>
      </rPr>
      <t>、</t>
    </r>
    <r>
      <rPr>
        <sz val="10"/>
        <color theme="1"/>
        <rFont val="Arial"/>
        <family val="2"/>
      </rPr>
      <t>F15</t>
    </r>
    <r>
      <rPr>
        <sz val="10"/>
        <color theme="1"/>
        <rFont val="微軟正黑體"/>
        <family val="2"/>
        <charset val="136"/>
      </rPr>
      <t>、</t>
    </r>
    <r>
      <rPr>
        <sz val="10"/>
        <color theme="1"/>
        <rFont val="Arial"/>
        <family val="2"/>
      </rPr>
      <t>F19</t>
    </r>
    <r>
      <rPr>
        <sz val="10"/>
        <color theme="1"/>
        <rFont val="微軟正黑體"/>
        <family val="2"/>
        <charset val="136"/>
      </rPr>
      <t>、</t>
    </r>
    <r>
      <rPr>
        <sz val="10"/>
        <color theme="1"/>
        <rFont val="Arial"/>
        <family val="2"/>
      </rPr>
      <t>F20</t>
    </r>
    <r>
      <rPr>
        <sz val="10"/>
        <color theme="1"/>
        <rFont val="微軟正黑體"/>
        <family val="2"/>
        <charset val="136"/>
      </rPr>
      <t xml:space="preserve">填寫方式。
</t>
    </r>
    <r>
      <rPr>
        <sz val="10"/>
        <color theme="1"/>
        <rFont val="Arial"/>
        <family val="2"/>
      </rPr>
      <t xml:space="preserve">8. </t>
    </r>
    <r>
      <rPr>
        <sz val="10"/>
        <color theme="1"/>
        <rFont val="微軟正黑體"/>
        <family val="2"/>
        <charset val="136"/>
      </rPr>
      <t xml:space="preserve">新增燒錄檔格式說明。
</t>
    </r>
    <r>
      <rPr>
        <sz val="10"/>
        <color theme="1"/>
        <rFont val="Arial"/>
        <family val="2"/>
      </rPr>
      <t xml:space="preserve">9. </t>
    </r>
    <r>
      <rPr>
        <sz val="10"/>
        <color theme="1"/>
        <rFont val="微軟正黑體"/>
        <family val="2"/>
        <charset val="136"/>
      </rPr>
      <t>新增</t>
    </r>
    <r>
      <rPr>
        <sz val="10"/>
        <color theme="1"/>
        <rFont val="Arial"/>
        <family val="2"/>
      </rPr>
      <t>sheet</t>
    </r>
    <r>
      <rPr>
        <sz val="10"/>
        <color theme="1"/>
        <rFont val="微軟正黑體"/>
        <family val="2"/>
        <charset val="136"/>
      </rPr>
      <t xml:space="preserve">。
</t>
    </r>
    <r>
      <rPr>
        <sz val="10"/>
        <color theme="1"/>
        <rFont val="Arial"/>
        <family val="2"/>
      </rPr>
      <t xml:space="preserve">10. </t>
    </r>
    <r>
      <rPr>
        <sz val="10"/>
        <color theme="1"/>
        <rFont val="微軟正黑體"/>
        <family val="2"/>
        <charset val="136"/>
      </rPr>
      <t>新增</t>
    </r>
    <r>
      <rPr>
        <sz val="10"/>
        <color theme="1"/>
        <rFont val="Arial"/>
        <family val="2"/>
      </rPr>
      <t>sheet</t>
    </r>
    <r>
      <rPr>
        <sz val="10"/>
        <color theme="1"/>
        <rFont val="微軟正黑體"/>
        <family val="2"/>
        <charset val="136"/>
      </rPr>
      <t>。</t>
    </r>
    <phoneticPr fontId="45" type="noConversion"/>
  </si>
  <si>
    <t>Binary Coded Decimal (Numeric Signal)</t>
  </si>
  <si>
    <t>H</t>
    <phoneticPr fontId="45" type="noConversion"/>
  </si>
  <si>
    <t>2023/1/18</t>
    <phoneticPr fontId="45" type="noConversion"/>
  </si>
  <si>
    <t>1. Snapshot
2. ExtendedData
3. DIDData
4. 2FServices
5. 31Services
6. 23_3DServices
7. 2AServices</t>
    <phoneticPr fontId="45" type="noConversion"/>
  </si>
  <si>
    <r>
      <t xml:space="preserve">1-1. </t>
    </r>
    <r>
      <rPr>
        <sz val="10"/>
        <color theme="1"/>
        <rFont val="微軟正黑體"/>
        <family val="2"/>
        <charset val="136"/>
      </rPr>
      <t>刪除</t>
    </r>
    <r>
      <rPr>
        <sz val="10"/>
        <color theme="1"/>
        <rFont val="Arial"/>
        <family val="2"/>
      </rPr>
      <t>column F</t>
    </r>
    <r>
      <rPr>
        <sz val="10"/>
        <color theme="1"/>
        <rFont val="微軟正黑體"/>
        <family val="2"/>
        <charset val="136"/>
      </rPr>
      <t>、</t>
    </r>
    <r>
      <rPr>
        <sz val="10"/>
        <color theme="1"/>
        <rFont val="Arial"/>
        <family val="2"/>
      </rPr>
      <t>column G</t>
    </r>
    <r>
      <rPr>
        <sz val="10"/>
        <color theme="1"/>
        <rFont val="微軟正黑體"/>
        <family val="2"/>
        <charset val="136"/>
      </rPr>
      <t>；新增</t>
    </r>
    <r>
      <rPr>
        <sz val="10"/>
        <color theme="1"/>
        <rFont val="Arial"/>
        <family val="2"/>
      </rPr>
      <t>column F</t>
    </r>
    <r>
      <rPr>
        <sz val="10"/>
        <color theme="1"/>
        <rFont val="微軟正黑體"/>
        <family val="2"/>
        <charset val="136"/>
      </rPr>
      <t>、</t>
    </r>
    <r>
      <rPr>
        <sz val="10"/>
        <color theme="1"/>
        <rFont val="Arial"/>
        <family val="2"/>
      </rPr>
      <t>column G</t>
    </r>
    <r>
      <rPr>
        <sz val="10"/>
        <color theme="1"/>
        <rFont val="微軟正黑體"/>
        <family val="2"/>
        <charset val="136"/>
      </rPr>
      <t>、</t>
    </r>
    <r>
      <rPr>
        <sz val="10"/>
        <color theme="1"/>
        <rFont val="Arial"/>
        <family val="2"/>
      </rPr>
      <t>column H</t>
    </r>
    <r>
      <rPr>
        <sz val="10"/>
        <color theme="1"/>
        <rFont val="微軟正黑體"/>
        <family val="2"/>
        <charset val="136"/>
      </rPr>
      <t xml:space="preserve">。
</t>
    </r>
    <r>
      <rPr>
        <sz val="10"/>
        <color theme="1"/>
        <rFont val="Arial"/>
        <family val="2"/>
      </rPr>
      <t xml:space="preserve">1-2. </t>
    </r>
    <r>
      <rPr>
        <sz val="10"/>
        <color theme="1"/>
        <rFont val="微軟正黑體"/>
        <family val="2"/>
        <charset val="136"/>
      </rPr>
      <t>更新</t>
    </r>
    <r>
      <rPr>
        <sz val="10"/>
        <color theme="1"/>
        <rFont val="Arial"/>
        <family val="2"/>
      </rPr>
      <t>N10</t>
    </r>
    <r>
      <rPr>
        <sz val="10"/>
        <color theme="1"/>
        <rFont val="微軟正黑體"/>
        <family val="2"/>
        <charset val="136"/>
      </rPr>
      <t xml:space="preserve">資訊。
</t>
    </r>
    <r>
      <rPr>
        <sz val="10"/>
        <color theme="1"/>
        <rFont val="Arial"/>
        <family val="2"/>
      </rPr>
      <t xml:space="preserve">2. </t>
    </r>
    <r>
      <rPr>
        <sz val="10"/>
        <color theme="1"/>
        <rFont val="微軟正黑體"/>
        <family val="2"/>
        <charset val="136"/>
      </rPr>
      <t>刪除</t>
    </r>
    <r>
      <rPr>
        <sz val="10"/>
        <color theme="1"/>
        <rFont val="Arial"/>
        <family val="2"/>
      </rPr>
      <t>column F</t>
    </r>
    <r>
      <rPr>
        <sz val="10"/>
        <color theme="1"/>
        <rFont val="微軟正黑體"/>
        <family val="2"/>
        <charset val="136"/>
      </rPr>
      <t>、</t>
    </r>
    <r>
      <rPr>
        <sz val="10"/>
        <color theme="1"/>
        <rFont val="Arial"/>
        <family val="2"/>
      </rPr>
      <t>column G</t>
    </r>
    <r>
      <rPr>
        <sz val="10"/>
        <color theme="1"/>
        <rFont val="微軟正黑體"/>
        <family val="2"/>
        <charset val="136"/>
      </rPr>
      <t>；新增</t>
    </r>
    <r>
      <rPr>
        <sz val="10"/>
        <color theme="1"/>
        <rFont val="Arial"/>
        <family val="2"/>
      </rPr>
      <t>column F</t>
    </r>
    <r>
      <rPr>
        <sz val="10"/>
        <color theme="1"/>
        <rFont val="微軟正黑體"/>
        <family val="2"/>
        <charset val="136"/>
      </rPr>
      <t>、</t>
    </r>
    <r>
      <rPr>
        <sz val="10"/>
        <color theme="1"/>
        <rFont val="Arial"/>
        <family val="2"/>
      </rPr>
      <t>column G</t>
    </r>
    <r>
      <rPr>
        <sz val="10"/>
        <color theme="1"/>
        <rFont val="微軟正黑體"/>
        <family val="2"/>
        <charset val="136"/>
      </rPr>
      <t>、</t>
    </r>
    <r>
      <rPr>
        <sz val="10"/>
        <color theme="1"/>
        <rFont val="Arial"/>
        <family val="2"/>
      </rPr>
      <t>column H</t>
    </r>
    <r>
      <rPr>
        <sz val="10"/>
        <color theme="1"/>
        <rFont val="微軟正黑體"/>
        <family val="2"/>
        <charset val="136"/>
      </rPr>
      <t xml:space="preserve">。
</t>
    </r>
    <r>
      <rPr>
        <sz val="10"/>
        <color theme="1"/>
        <rFont val="Arial"/>
        <family val="2"/>
      </rPr>
      <t xml:space="preserve">3. </t>
    </r>
    <r>
      <rPr>
        <sz val="10"/>
        <color theme="1"/>
        <rFont val="微軟正黑體"/>
        <family val="2"/>
        <charset val="136"/>
      </rPr>
      <t>刪除</t>
    </r>
    <r>
      <rPr>
        <sz val="10"/>
        <color theme="1"/>
        <rFont val="Arial"/>
        <family val="2"/>
      </rPr>
      <t>column E</t>
    </r>
    <r>
      <rPr>
        <sz val="10"/>
        <color theme="1"/>
        <rFont val="微軟正黑體"/>
        <family val="2"/>
        <charset val="136"/>
      </rPr>
      <t>、</t>
    </r>
    <r>
      <rPr>
        <sz val="10"/>
        <color theme="1"/>
        <rFont val="Arial"/>
        <family val="2"/>
      </rPr>
      <t>column F</t>
    </r>
    <r>
      <rPr>
        <sz val="10"/>
        <color theme="1"/>
        <rFont val="微軟正黑體"/>
        <family val="2"/>
        <charset val="136"/>
      </rPr>
      <t>；新增</t>
    </r>
    <r>
      <rPr>
        <sz val="10"/>
        <color theme="1"/>
        <rFont val="Arial"/>
        <family val="2"/>
      </rPr>
      <t>column E</t>
    </r>
    <r>
      <rPr>
        <sz val="10"/>
        <color theme="1"/>
        <rFont val="微軟正黑體"/>
        <family val="2"/>
        <charset val="136"/>
      </rPr>
      <t>、</t>
    </r>
    <r>
      <rPr>
        <sz val="10"/>
        <color theme="1"/>
        <rFont val="Arial"/>
        <family val="2"/>
      </rPr>
      <t>column F</t>
    </r>
    <r>
      <rPr>
        <sz val="10"/>
        <color theme="1"/>
        <rFont val="微軟正黑體"/>
        <family val="2"/>
        <charset val="136"/>
      </rPr>
      <t>、</t>
    </r>
    <r>
      <rPr>
        <sz val="10"/>
        <color theme="1"/>
        <rFont val="Arial"/>
        <family val="2"/>
      </rPr>
      <t>column G</t>
    </r>
    <r>
      <rPr>
        <sz val="10"/>
        <color theme="1"/>
        <rFont val="微軟正黑體"/>
        <family val="2"/>
        <charset val="136"/>
      </rPr>
      <t xml:space="preserve">。
</t>
    </r>
    <r>
      <rPr>
        <sz val="10"/>
        <color theme="1"/>
        <rFont val="Arial"/>
        <family val="2"/>
      </rPr>
      <t xml:space="preserve">4. </t>
    </r>
    <r>
      <rPr>
        <sz val="10"/>
        <color theme="1"/>
        <rFont val="微軟正黑體"/>
        <family val="2"/>
        <charset val="136"/>
      </rPr>
      <t>刪除</t>
    </r>
    <r>
      <rPr>
        <sz val="10"/>
        <color theme="1"/>
        <rFont val="Arial"/>
        <family val="2"/>
      </rPr>
      <t>column H</t>
    </r>
    <r>
      <rPr>
        <sz val="10"/>
        <color theme="1"/>
        <rFont val="微軟正黑體"/>
        <family val="2"/>
        <charset val="136"/>
      </rPr>
      <t>、</t>
    </r>
    <r>
      <rPr>
        <sz val="10"/>
        <color theme="1"/>
        <rFont val="Arial"/>
        <family val="2"/>
      </rPr>
      <t>column I</t>
    </r>
    <r>
      <rPr>
        <sz val="10"/>
        <color theme="1"/>
        <rFont val="微軟正黑體"/>
        <family val="2"/>
        <charset val="136"/>
      </rPr>
      <t>；新增</t>
    </r>
    <r>
      <rPr>
        <sz val="10"/>
        <color theme="1"/>
        <rFont val="Arial"/>
        <family val="2"/>
      </rPr>
      <t>column H</t>
    </r>
    <r>
      <rPr>
        <sz val="10"/>
        <color theme="1"/>
        <rFont val="微軟正黑體"/>
        <family val="2"/>
        <charset val="136"/>
      </rPr>
      <t>、</t>
    </r>
    <r>
      <rPr>
        <sz val="10"/>
        <color theme="1"/>
        <rFont val="Arial"/>
        <family val="2"/>
      </rPr>
      <t>column I</t>
    </r>
    <r>
      <rPr>
        <sz val="10"/>
        <color theme="1"/>
        <rFont val="微軟正黑體"/>
        <family val="2"/>
        <charset val="136"/>
      </rPr>
      <t>、</t>
    </r>
    <r>
      <rPr>
        <sz val="10"/>
        <color theme="1"/>
        <rFont val="Arial"/>
        <family val="2"/>
      </rPr>
      <t>column J</t>
    </r>
    <r>
      <rPr>
        <sz val="10"/>
        <color theme="1"/>
        <rFont val="微軟正黑體"/>
        <family val="2"/>
        <charset val="136"/>
      </rPr>
      <t xml:space="preserve">。
</t>
    </r>
    <r>
      <rPr>
        <sz val="10"/>
        <color theme="1"/>
        <rFont val="Arial"/>
        <family val="2"/>
      </rPr>
      <t xml:space="preserve">5. </t>
    </r>
    <r>
      <rPr>
        <sz val="10"/>
        <color theme="1"/>
        <rFont val="微軟正黑體"/>
        <family val="2"/>
        <charset val="136"/>
      </rPr>
      <t>刪除</t>
    </r>
    <r>
      <rPr>
        <sz val="10"/>
        <color theme="1"/>
        <rFont val="Arial"/>
        <family val="2"/>
      </rPr>
      <t>column G</t>
    </r>
    <r>
      <rPr>
        <sz val="10"/>
        <color theme="1"/>
        <rFont val="微軟正黑體"/>
        <family val="2"/>
        <charset val="136"/>
      </rPr>
      <t>、</t>
    </r>
    <r>
      <rPr>
        <sz val="10"/>
        <color theme="1"/>
        <rFont val="Arial"/>
        <family val="2"/>
      </rPr>
      <t>column H</t>
    </r>
    <r>
      <rPr>
        <sz val="10"/>
        <color theme="1"/>
        <rFont val="微軟正黑體"/>
        <family val="2"/>
        <charset val="136"/>
      </rPr>
      <t>；新增</t>
    </r>
    <r>
      <rPr>
        <sz val="10"/>
        <color theme="1"/>
        <rFont val="Arial"/>
        <family val="2"/>
      </rPr>
      <t>column G</t>
    </r>
    <r>
      <rPr>
        <sz val="10"/>
        <color theme="1"/>
        <rFont val="微軟正黑體"/>
        <family val="2"/>
        <charset val="136"/>
      </rPr>
      <t>、</t>
    </r>
    <r>
      <rPr>
        <sz val="10"/>
        <color theme="1"/>
        <rFont val="Arial"/>
        <family val="2"/>
      </rPr>
      <t>column H</t>
    </r>
    <r>
      <rPr>
        <sz val="10"/>
        <color theme="1"/>
        <rFont val="微軟正黑體"/>
        <family val="2"/>
        <charset val="136"/>
      </rPr>
      <t>、</t>
    </r>
    <r>
      <rPr>
        <sz val="10"/>
        <color theme="1"/>
        <rFont val="Arial"/>
        <family val="2"/>
      </rPr>
      <t>column I</t>
    </r>
    <r>
      <rPr>
        <sz val="10"/>
        <color theme="1"/>
        <rFont val="微軟正黑體"/>
        <family val="2"/>
        <charset val="136"/>
      </rPr>
      <t xml:space="preserve">。
</t>
    </r>
    <r>
      <rPr>
        <sz val="10"/>
        <color theme="1"/>
        <rFont val="Arial"/>
        <family val="2"/>
      </rPr>
      <t xml:space="preserve">6. </t>
    </r>
    <r>
      <rPr>
        <sz val="10"/>
        <color theme="1"/>
        <rFont val="微軟正黑體"/>
        <family val="2"/>
        <charset val="136"/>
      </rPr>
      <t>刪除</t>
    </r>
    <r>
      <rPr>
        <sz val="10"/>
        <color theme="1"/>
        <rFont val="Arial"/>
        <family val="2"/>
      </rPr>
      <t>column E</t>
    </r>
    <r>
      <rPr>
        <sz val="10"/>
        <color theme="1"/>
        <rFont val="微軟正黑體"/>
        <family val="2"/>
        <charset val="136"/>
      </rPr>
      <t>、</t>
    </r>
    <r>
      <rPr>
        <sz val="10"/>
        <color theme="1"/>
        <rFont val="Arial"/>
        <family val="2"/>
      </rPr>
      <t>column F</t>
    </r>
    <r>
      <rPr>
        <sz val="10"/>
        <color theme="1"/>
        <rFont val="微軟正黑體"/>
        <family val="2"/>
        <charset val="136"/>
      </rPr>
      <t>；新增</t>
    </r>
    <r>
      <rPr>
        <sz val="10"/>
        <color theme="1"/>
        <rFont val="Arial"/>
        <family val="2"/>
      </rPr>
      <t>column E</t>
    </r>
    <r>
      <rPr>
        <sz val="10"/>
        <color theme="1"/>
        <rFont val="微軟正黑體"/>
        <family val="2"/>
        <charset val="136"/>
      </rPr>
      <t>、</t>
    </r>
    <r>
      <rPr>
        <sz val="10"/>
        <color theme="1"/>
        <rFont val="Arial"/>
        <family val="2"/>
      </rPr>
      <t>column F</t>
    </r>
    <r>
      <rPr>
        <sz val="10"/>
        <color theme="1"/>
        <rFont val="微軟正黑體"/>
        <family val="2"/>
        <charset val="136"/>
      </rPr>
      <t>、</t>
    </r>
    <r>
      <rPr>
        <sz val="10"/>
        <color theme="1"/>
        <rFont val="Arial"/>
        <family val="2"/>
      </rPr>
      <t>column G</t>
    </r>
    <r>
      <rPr>
        <sz val="10"/>
        <color theme="1"/>
        <rFont val="微軟正黑體"/>
        <family val="2"/>
        <charset val="136"/>
      </rPr>
      <t xml:space="preserve">。
</t>
    </r>
    <r>
      <rPr>
        <sz val="10"/>
        <color theme="1"/>
        <rFont val="Arial"/>
        <family val="2"/>
      </rPr>
      <t xml:space="preserve">7. </t>
    </r>
    <r>
      <rPr>
        <sz val="10"/>
        <color theme="1"/>
        <rFont val="微軟正黑體"/>
        <family val="2"/>
        <charset val="136"/>
      </rPr>
      <t>刪除</t>
    </r>
    <r>
      <rPr>
        <sz val="10"/>
        <color theme="1"/>
        <rFont val="Arial"/>
        <family val="2"/>
      </rPr>
      <t>column E</t>
    </r>
    <r>
      <rPr>
        <sz val="10"/>
        <color theme="1"/>
        <rFont val="微軟正黑體"/>
        <family val="2"/>
        <charset val="136"/>
      </rPr>
      <t>、</t>
    </r>
    <r>
      <rPr>
        <sz val="10"/>
        <color theme="1"/>
        <rFont val="Arial"/>
        <family val="2"/>
      </rPr>
      <t>column F</t>
    </r>
    <r>
      <rPr>
        <sz val="10"/>
        <color theme="1"/>
        <rFont val="微軟正黑體"/>
        <family val="2"/>
        <charset val="136"/>
      </rPr>
      <t>；新增</t>
    </r>
    <r>
      <rPr>
        <sz val="10"/>
        <color theme="1"/>
        <rFont val="Arial"/>
        <family val="2"/>
      </rPr>
      <t>column E</t>
    </r>
    <r>
      <rPr>
        <sz val="10"/>
        <color theme="1"/>
        <rFont val="微軟正黑體"/>
        <family val="2"/>
        <charset val="136"/>
      </rPr>
      <t>、</t>
    </r>
    <r>
      <rPr>
        <sz val="10"/>
        <color theme="1"/>
        <rFont val="Arial"/>
        <family val="2"/>
      </rPr>
      <t>column F</t>
    </r>
    <r>
      <rPr>
        <sz val="10"/>
        <color theme="1"/>
        <rFont val="微軟正黑體"/>
        <family val="2"/>
        <charset val="136"/>
      </rPr>
      <t>、</t>
    </r>
    <r>
      <rPr>
        <sz val="10"/>
        <color theme="1"/>
        <rFont val="Arial"/>
        <family val="2"/>
      </rPr>
      <t>column G</t>
    </r>
    <r>
      <rPr>
        <sz val="10"/>
        <color theme="1"/>
        <rFont val="微軟正黑體"/>
        <family val="2"/>
        <charset val="136"/>
      </rPr>
      <t>。</t>
    </r>
    <phoneticPr fontId="45" type="noConversion"/>
  </si>
  <si>
    <t>BLN</t>
  </si>
  <si>
    <t>Boolean</t>
  </si>
  <si>
    <t>I</t>
    <phoneticPr fontId="45" type="noConversion"/>
  </si>
  <si>
    <t>2023/2/3</t>
    <phoneticPr fontId="45" type="noConversion"/>
  </si>
  <si>
    <t>1. DTCList
2. Snapshot
3. ExtendedData
4. DIDData
5. 2FServices
6. 31Services
7. 23_3DServices
8. 2AServices</t>
    <phoneticPr fontId="45" type="noConversion"/>
  </si>
  <si>
    <r>
      <t xml:space="preserve">1. </t>
    </r>
    <r>
      <rPr>
        <sz val="10"/>
        <color theme="1"/>
        <rFont val="微軟正黑體"/>
        <family val="2"/>
        <charset val="136"/>
      </rPr>
      <t>配合</t>
    </r>
    <r>
      <rPr>
        <sz val="10"/>
        <color theme="1"/>
        <rFont val="Arial"/>
        <family val="2"/>
      </rPr>
      <t>JAMA FRS</t>
    </r>
    <r>
      <rPr>
        <sz val="10"/>
        <color theme="1"/>
        <rFont val="微軟正黑體"/>
        <family val="2"/>
        <charset val="136"/>
      </rPr>
      <t xml:space="preserve">填寫需求，
</t>
    </r>
    <r>
      <rPr>
        <sz val="10"/>
        <color theme="1"/>
        <rFont val="Arial"/>
        <family val="2"/>
      </rPr>
      <t xml:space="preserve">1-1. </t>
    </r>
    <r>
      <rPr>
        <sz val="10"/>
        <color theme="1"/>
        <rFont val="微軟正黑體"/>
        <family val="2"/>
        <charset val="136"/>
      </rPr>
      <t>移動</t>
    </r>
    <r>
      <rPr>
        <sz val="10"/>
        <color theme="1"/>
        <rFont val="Arial"/>
        <family val="2"/>
      </rPr>
      <t>column G</t>
    </r>
    <r>
      <rPr>
        <sz val="10"/>
        <color theme="1"/>
        <rFont val="微軟正黑體"/>
        <family val="2"/>
        <charset val="136"/>
      </rPr>
      <t>、</t>
    </r>
    <r>
      <rPr>
        <sz val="10"/>
        <color theme="1"/>
        <rFont val="Arial"/>
        <family val="2"/>
      </rPr>
      <t xml:space="preserve">column H </t>
    </r>
    <r>
      <rPr>
        <sz val="10"/>
        <color theme="1"/>
        <rFont val="微軟正黑體"/>
        <family val="2"/>
        <charset val="136"/>
      </rPr>
      <t>、</t>
    </r>
    <r>
      <rPr>
        <sz val="10"/>
        <color theme="1"/>
        <rFont val="Arial"/>
        <family val="2"/>
      </rPr>
      <t>column I</t>
    </r>
    <r>
      <rPr>
        <sz val="10"/>
        <color theme="1"/>
        <rFont val="微軟正黑體"/>
        <family val="2"/>
        <charset val="136"/>
      </rPr>
      <t>、</t>
    </r>
    <r>
      <rPr>
        <sz val="10"/>
        <color theme="1"/>
        <rFont val="Arial"/>
        <family val="2"/>
      </rPr>
      <t>column J</t>
    </r>
    <r>
      <rPr>
        <sz val="10"/>
        <color theme="1"/>
        <rFont val="微軟正黑體"/>
        <family val="2"/>
        <charset val="136"/>
      </rPr>
      <t>、</t>
    </r>
    <r>
      <rPr>
        <sz val="10"/>
        <color theme="1"/>
        <rFont val="Arial"/>
        <family val="2"/>
      </rPr>
      <t>column R</t>
    </r>
    <r>
      <rPr>
        <sz val="10"/>
        <color theme="1"/>
        <rFont val="微軟正黑體"/>
        <family val="2"/>
        <charset val="136"/>
      </rPr>
      <t>、</t>
    </r>
    <r>
      <rPr>
        <sz val="10"/>
        <color theme="1"/>
        <rFont val="Arial"/>
        <family val="2"/>
      </rPr>
      <t>column S</t>
    </r>
    <r>
      <rPr>
        <sz val="10"/>
        <color theme="1"/>
        <rFont val="微軟正黑體"/>
        <family val="2"/>
        <charset val="136"/>
      </rPr>
      <t>、</t>
    </r>
    <r>
      <rPr>
        <sz val="10"/>
        <color theme="1"/>
        <rFont val="Arial"/>
        <family val="2"/>
      </rPr>
      <t>column T</t>
    </r>
    <r>
      <rPr>
        <sz val="10"/>
        <color theme="1"/>
        <rFont val="微軟正黑體"/>
        <family val="2"/>
        <charset val="136"/>
      </rPr>
      <t>、</t>
    </r>
    <r>
      <rPr>
        <sz val="10"/>
        <color theme="1"/>
        <rFont val="Arial"/>
        <family val="2"/>
      </rPr>
      <t>column U</t>
    </r>
    <r>
      <rPr>
        <sz val="10"/>
        <color theme="1"/>
        <rFont val="微軟正黑體"/>
        <family val="2"/>
        <charset val="136"/>
      </rPr>
      <t>、</t>
    </r>
    <r>
      <rPr>
        <sz val="10"/>
        <color theme="1"/>
        <rFont val="Arial"/>
        <family val="2"/>
      </rPr>
      <t>column V</t>
    </r>
    <r>
      <rPr>
        <sz val="10"/>
        <color theme="1"/>
        <rFont val="微軟正黑體"/>
        <family val="2"/>
        <charset val="136"/>
      </rPr>
      <t xml:space="preserve">。
</t>
    </r>
    <r>
      <rPr>
        <sz val="10"/>
        <color theme="1"/>
        <rFont val="Arial"/>
        <family val="2"/>
      </rPr>
      <t xml:space="preserve">1-2. </t>
    </r>
    <r>
      <rPr>
        <sz val="10"/>
        <color theme="1"/>
        <rFont val="微軟正黑體"/>
        <family val="2"/>
        <charset val="136"/>
      </rPr>
      <t>刪除</t>
    </r>
    <r>
      <rPr>
        <sz val="10"/>
        <color theme="1"/>
        <rFont val="Arial"/>
        <family val="2"/>
      </rPr>
      <t>column M</t>
    </r>
    <r>
      <rPr>
        <sz val="10"/>
        <color theme="1"/>
        <rFont val="微軟正黑體"/>
        <family val="2"/>
        <charset val="136"/>
      </rPr>
      <t>、</t>
    </r>
    <r>
      <rPr>
        <sz val="10"/>
        <color theme="1"/>
        <rFont val="Arial"/>
        <family val="2"/>
      </rPr>
      <t>column N</t>
    </r>
    <r>
      <rPr>
        <sz val="10"/>
        <color theme="1"/>
        <rFont val="微軟正黑體"/>
        <family val="2"/>
        <charset val="136"/>
      </rPr>
      <t>、</t>
    </r>
    <r>
      <rPr>
        <sz val="10"/>
        <color theme="1"/>
        <rFont val="Arial"/>
        <family val="2"/>
      </rPr>
      <t>column O</t>
    </r>
    <r>
      <rPr>
        <sz val="10"/>
        <color theme="1"/>
        <rFont val="微軟正黑體"/>
        <family val="2"/>
        <charset val="136"/>
      </rPr>
      <t>、</t>
    </r>
    <r>
      <rPr>
        <sz val="10"/>
        <color theme="1"/>
        <rFont val="Arial"/>
        <family val="2"/>
      </rPr>
      <t>column P</t>
    </r>
    <r>
      <rPr>
        <sz val="10"/>
        <color theme="1"/>
        <rFont val="微軟正黑體"/>
        <family val="2"/>
        <charset val="136"/>
      </rPr>
      <t>、</t>
    </r>
    <r>
      <rPr>
        <sz val="10"/>
        <color theme="1"/>
        <rFont val="Arial"/>
        <family val="2"/>
      </rPr>
      <t>column Q</t>
    </r>
    <r>
      <rPr>
        <sz val="10"/>
        <color theme="1"/>
        <rFont val="微軟正黑體"/>
        <family val="2"/>
        <charset val="136"/>
      </rPr>
      <t xml:space="preserve">。
</t>
    </r>
    <r>
      <rPr>
        <sz val="10"/>
        <color theme="1"/>
        <rFont val="Arial"/>
        <family val="2"/>
      </rPr>
      <t xml:space="preserve">1-3. </t>
    </r>
    <r>
      <rPr>
        <sz val="10"/>
        <color theme="1"/>
        <rFont val="微軟正黑體"/>
        <family val="2"/>
        <charset val="136"/>
      </rPr>
      <t>新增</t>
    </r>
    <r>
      <rPr>
        <sz val="10"/>
        <color theme="1"/>
        <rFont val="Arial"/>
        <family val="2"/>
      </rPr>
      <t>column S</t>
    </r>
    <r>
      <rPr>
        <sz val="10"/>
        <color theme="1"/>
        <rFont val="微軟正黑體"/>
        <family val="2"/>
        <charset val="136"/>
      </rPr>
      <t>、</t>
    </r>
    <r>
      <rPr>
        <sz val="10"/>
        <color theme="1"/>
        <rFont val="Arial"/>
        <family val="2"/>
      </rPr>
      <t>column T</t>
    </r>
    <r>
      <rPr>
        <sz val="10"/>
        <color theme="1"/>
        <rFont val="微軟正黑體"/>
        <family val="2"/>
        <charset val="136"/>
      </rPr>
      <t>、</t>
    </r>
    <r>
      <rPr>
        <sz val="10"/>
        <color theme="1"/>
        <rFont val="Arial"/>
        <family val="2"/>
      </rPr>
      <t>column U</t>
    </r>
    <r>
      <rPr>
        <sz val="10"/>
        <color theme="1"/>
        <rFont val="微軟正黑體"/>
        <family val="2"/>
        <charset val="136"/>
      </rPr>
      <t>、</t>
    </r>
    <r>
      <rPr>
        <sz val="10"/>
        <color theme="1"/>
        <rFont val="Arial"/>
        <family val="2"/>
      </rPr>
      <t>column V</t>
    </r>
    <r>
      <rPr>
        <sz val="10"/>
        <color theme="1"/>
        <rFont val="微軟正黑體"/>
        <family val="2"/>
        <charset val="136"/>
      </rPr>
      <t>、</t>
    </r>
    <r>
      <rPr>
        <sz val="10"/>
        <color theme="1"/>
        <rFont val="Arial"/>
        <family val="2"/>
      </rPr>
      <t>column W</t>
    </r>
    <r>
      <rPr>
        <sz val="10"/>
        <color theme="1"/>
        <rFont val="微軟正黑體"/>
        <family val="2"/>
        <charset val="136"/>
      </rPr>
      <t>、</t>
    </r>
    <r>
      <rPr>
        <sz val="10"/>
        <color theme="1"/>
        <rFont val="Arial"/>
        <family val="2"/>
      </rPr>
      <t>column X</t>
    </r>
    <r>
      <rPr>
        <sz val="10"/>
        <color theme="1"/>
        <rFont val="微軟正黑體"/>
        <family val="2"/>
        <charset val="136"/>
      </rPr>
      <t>、</t>
    </r>
    <r>
      <rPr>
        <sz val="10"/>
        <color theme="1"/>
        <rFont val="Arial"/>
        <family val="2"/>
      </rPr>
      <t>column Y</t>
    </r>
    <r>
      <rPr>
        <sz val="10"/>
        <color theme="1"/>
        <rFont val="微軟正黑體"/>
        <family val="2"/>
        <charset val="136"/>
      </rPr>
      <t>、</t>
    </r>
    <r>
      <rPr>
        <sz val="10"/>
        <color theme="1"/>
        <rFont val="Arial"/>
        <family val="2"/>
      </rPr>
      <t>column Z</t>
    </r>
    <r>
      <rPr>
        <sz val="10"/>
        <color theme="1"/>
        <rFont val="微軟正黑體"/>
        <family val="2"/>
        <charset val="136"/>
      </rPr>
      <t>、</t>
    </r>
    <r>
      <rPr>
        <sz val="10"/>
        <color theme="1"/>
        <rFont val="Arial"/>
        <family val="2"/>
      </rPr>
      <t>column AA</t>
    </r>
    <r>
      <rPr>
        <sz val="10"/>
        <color theme="1"/>
        <rFont val="微軟正黑體"/>
        <family val="2"/>
        <charset val="136"/>
      </rPr>
      <t>、</t>
    </r>
    <r>
      <rPr>
        <sz val="10"/>
        <color theme="1"/>
        <rFont val="Arial"/>
        <family val="2"/>
      </rPr>
      <t>column AB</t>
    </r>
    <r>
      <rPr>
        <sz val="10"/>
        <color theme="1"/>
        <rFont val="微軟正黑體"/>
        <family val="2"/>
        <charset val="136"/>
      </rPr>
      <t xml:space="preserve">。
</t>
    </r>
    <r>
      <rPr>
        <sz val="10"/>
        <color theme="1"/>
        <rFont val="Arial"/>
        <family val="2"/>
      </rPr>
      <t xml:space="preserve">2-1. </t>
    </r>
    <r>
      <rPr>
        <sz val="10"/>
        <color theme="1"/>
        <rFont val="微軟正黑體"/>
        <family val="2"/>
        <charset val="136"/>
      </rPr>
      <t>刪除</t>
    </r>
    <r>
      <rPr>
        <sz val="10"/>
        <color theme="1"/>
        <rFont val="Arial"/>
        <family val="2"/>
      </rPr>
      <t>column G(Bit Length)</t>
    </r>
    <r>
      <rPr>
        <sz val="10"/>
        <color theme="1"/>
        <rFont val="微軟正黑體"/>
        <family val="2"/>
        <charset val="136"/>
      </rPr>
      <t>、</t>
    </r>
    <r>
      <rPr>
        <sz val="10"/>
        <color theme="1"/>
        <rFont val="Arial"/>
        <family val="2"/>
      </rPr>
      <t>column H(Start Bit)</t>
    </r>
    <r>
      <rPr>
        <sz val="10"/>
        <color theme="1"/>
        <rFont val="微軟正黑體"/>
        <family val="2"/>
        <charset val="136"/>
      </rPr>
      <t>；新增</t>
    </r>
    <r>
      <rPr>
        <sz val="10"/>
        <color theme="1"/>
        <rFont val="Arial"/>
        <family val="2"/>
      </rPr>
      <t>column G(MSB bit(Motorola))</t>
    </r>
    <r>
      <rPr>
        <sz val="10"/>
        <color theme="1"/>
        <rFont val="微軟正黑體"/>
        <family val="2"/>
        <charset val="136"/>
      </rPr>
      <t>、</t>
    </r>
    <r>
      <rPr>
        <sz val="10"/>
        <color theme="1"/>
        <rFont val="Arial"/>
        <family val="2"/>
      </rPr>
      <t>column H(LSB bit(Motorola))</t>
    </r>
    <r>
      <rPr>
        <sz val="10"/>
        <color theme="1"/>
        <rFont val="微軟正黑體"/>
        <family val="2"/>
        <charset val="136"/>
      </rPr>
      <t xml:space="preserve">。
</t>
    </r>
    <r>
      <rPr>
        <sz val="10"/>
        <color theme="1"/>
        <rFont val="Arial"/>
        <family val="2"/>
      </rPr>
      <t xml:space="preserve">2-2. </t>
    </r>
    <r>
      <rPr>
        <sz val="10"/>
        <color theme="1"/>
        <rFont val="微軟正黑體"/>
        <family val="2"/>
        <charset val="136"/>
      </rPr>
      <t>欄位</t>
    </r>
    <r>
      <rPr>
        <sz val="10"/>
        <color theme="1"/>
        <rFont val="Arial"/>
        <family val="2"/>
      </rPr>
      <t>”J16”</t>
    </r>
    <r>
      <rPr>
        <sz val="10"/>
        <color theme="1"/>
        <rFont val="微軟正黑體"/>
        <family val="2"/>
        <charset val="136"/>
      </rPr>
      <t>從</t>
    </r>
    <r>
      <rPr>
        <sz val="10"/>
        <color theme="1"/>
        <rFont val="Arial"/>
        <family val="2"/>
      </rPr>
      <t>1</t>
    </r>
    <r>
      <rPr>
        <sz val="10"/>
        <color theme="1"/>
        <rFont val="微軟正黑體"/>
        <family val="2"/>
        <charset val="136"/>
      </rPr>
      <t>調整為</t>
    </r>
    <r>
      <rPr>
        <sz val="10"/>
        <color theme="1"/>
        <rFont val="Arial"/>
        <family val="2"/>
      </rPr>
      <t>0</t>
    </r>
    <r>
      <rPr>
        <sz val="10"/>
        <color theme="1"/>
        <rFont val="微軟正黑體"/>
        <family val="2"/>
        <charset val="136"/>
      </rPr>
      <t>、欄位</t>
    </r>
    <r>
      <rPr>
        <sz val="10"/>
        <color theme="1"/>
        <rFont val="Arial"/>
        <family val="2"/>
      </rPr>
      <t>”K16”</t>
    </r>
    <r>
      <rPr>
        <sz val="10"/>
        <color theme="1"/>
        <rFont val="微軟正黑體"/>
        <family val="2"/>
        <charset val="136"/>
      </rPr>
      <t>從</t>
    </r>
    <r>
      <rPr>
        <sz val="10"/>
        <color theme="1"/>
        <rFont val="Arial"/>
        <family val="2"/>
      </rPr>
      <t>24</t>
    </r>
    <r>
      <rPr>
        <sz val="10"/>
        <color theme="1"/>
        <rFont val="微軟正黑體"/>
        <family val="2"/>
        <charset val="136"/>
      </rPr>
      <t>調整為</t>
    </r>
    <r>
      <rPr>
        <sz val="10"/>
        <color theme="1"/>
        <rFont val="Arial"/>
        <family val="2"/>
      </rPr>
      <t>23</t>
    </r>
    <r>
      <rPr>
        <sz val="10"/>
        <color theme="1"/>
        <rFont val="微軟正黑體"/>
        <family val="2"/>
        <charset val="136"/>
      </rPr>
      <t xml:space="preserve">。
</t>
    </r>
    <r>
      <rPr>
        <sz val="10"/>
        <color theme="1"/>
        <rFont val="Arial"/>
        <family val="2"/>
      </rPr>
      <t xml:space="preserve">3. </t>
    </r>
    <r>
      <rPr>
        <sz val="10"/>
        <color theme="1"/>
        <rFont val="微軟正黑體"/>
        <family val="2"/>
        <charset val="136"/>
      </rPr>
      <t>刪除</t>
    </r>
    <r>
      <rPr>
        <sz val="10"/>
        <color theme="1"/>
        <rFont val="Arial"/>
        <family val="2"/>
      </rPr>
      <t>column G(Bit Length)</t>
    </r>
    <r>
      <rPr>
        <sz val="10"/>
        <color theme="1"/>
        <rFont val="微軟正黑體"/>
        <family val="2"/>
        <charset val="136"/>
      </rPr>
      <t>、</t>
    </r>
    <r>
      <rPr>
        <sz val="10"/>
        <color theme="1"/>
        <rFont val="Arial"/>
        <family val="2"/>
      </rPr>
      <t>column H(Start Bit)</t>
    </r>
    <r>
      <rPr>
        <sz val="10"/>
        <color theme="1"/>
        <rFont val="微軟正黑體"/>
        <family val="2"/>
        <charset val="136"/>
      </rPr>
      <t>；新增</t>
    </r>
    <r>
      <rPr>
        <sz val="10"/>
        <color theme="1"/>
        <rFont val="Arial"/>
        <family val="2"/>
      </rPr>
      <t>column G(MSB bit(Motorola))</t>
    </r>
    <r>
      <rPr>
        <sz val="10"/>
        <color theme="1"/>
        <rFont val="微軟正黑體"/>
        <family val="2"/>
        <charset val="136"/>
      </rPr>
      <t>、</t>
    </r>
    <r>
      <rPr>
        <sz val="10"/>
        <color theme="1"/>
        <rFont val="Arial"/>
        <family val="2"/>
      </rPr>
      <t>column H(LSB bit(Motorola))</t>
    </r>
    <r>
      <rPr>
        <sz val="10"/>
        <color theme="1"/>
        <rFont val="微軟正黑體"/>
        <family val="2"/>
        <charset val="136"/>
      </rPr>
      <t xml:space="preserve">。
</t>
    </r>
    <r>
      <rPr>
        <sz val="10"/>
        <color theme="1"/>
        <rFont val="Arial"/>
        <family val="2"/>
      </rPr>
      <t xml:space="preserve">4-1. </t>
    </r>
    <r>
      <rPr>
        <sz val="10"/>
        <color theme="1"/>
        <rFont val="微軟正黑體"/>
        <family val="2"/>
        <charset val="136"/>
      </rPr>
      <t>刪除</t>
    </r>
    <r>
      <rPr>
        <sz val="10"/>
        <color theme="1"/>
        <rFont val="Arial"/>
        <family val="2"/>
      </rPr>
      <t>column F(Bit Length)</t>
    </r>
    <r>
      <rPr>
        <sz val="10"/>
        <color theme="1"/>
        <rFont val="微軟正黑體"/>
        <family val="2"/>
        <charset val="136"/>
      </rPr>
      <t>、</t>
    </r>
    <r>
      <rPr>
        <sz val="10"/>
        <color theme="1"/>
        <rFont val="Arial"/>
        <family val="2"/>
      </rPr>
      <t>column G(Start Bit)</t>
    </r>
    <r>
      <rPr>
        <sz val="10"/>
        <color theme="1"/>
        <rFont val="微軟正黑體"/>
        <family val="2"/>
        <charset val="136"/>
      </rPr>
      <t>；新增</t>
    </r>
    <r>
      <rPr>
        <sz val="10"/>
        <color theme="1"/>
        <rFont val="Arial"/>
        <family val="2"/>
      </rPr>
      <t>column F(MSB bit(Motorola))</t>
    </r>
    <r>
      <rPr>
        <sz val="10"/>
        <color theme="1"/>
        <rFont val="微軟正黑體"/>
        <family val="2"/>
        <charset val="136"/>
      </rPr>
      <t>、</t>
    </r>
    <r>
      <rPr>
        <sz val="10"/>
        <color theme="1"/>
        <rFont val="Arial"/>
        <family val="2"/>
      </rPr>
      <t>column G(LSB bit(Motorola))</t>
    </r>
    <r>
      <rPr>
        <sz val="10"/>
        <color theme="1"/>
        <rFont val="微軟正黑體"/>
        <family val="2"/>
        <charset val="136"/>
      </rPr>
      <t xml:space="preserve">。
</t>
    </r>
    <r>
      <rPr>
        <sz val="10"/>
        <color theme="1"/>
        <rFont val="Arial"/>
        <family val="2"/>
      </rPr>
      <t xml:space="preserve">4-2. </t>
    </r>
    <r>
      <rPr>
        <sz val="10"/>
        <color theme="1"/>
        <rFont val="微軟正黑體"/>
        <family val="2"/>
        <charset val="136"/>
      </rPr>
      <t>欄位</t>
    </r>
    <r>
      <rPr>
        <sz val="10"/>
        <color theme="1"/>
        <rFont val="Arial"/>
        <family val="2"/>
      </rPr>
      <t>”I33”</t>
    </r>
    <r>
      <rPr>
        <sz val="10"/>
        <color theme="1"/>
        <rFont val="微軟正黑體"/>
        <family val="2"/>
        <charset val="136"/>
      </rPr>
      <t>從</t>
    </r>
    <r>
      <rPr>
        <sz val="10"/>
        <color theme="1"/>
        <rFont val="Arial"/>
        <family val="2"/>
      </rPr>
      <t>1</t>
    </r>
    <r>
      <rPr>
        <sz val="10"/>
        <color theme="1"/>
        <rFont val="微軟正黑體"/>
        <family val="2"/>
        <charset val="136"/>
      </rPr>
      <t>調整為</t>
    </r>
    <r>
      <rPr>
        <sz val="10"/>
        <color theme="1"/>
        <rFont val="Arial"/>
        <family val="2"/>
      </rPr>
      <t>0</t>
    </r>
    <r>
      <rPr>
        <sz val="10"/>
        <color theme="1"/>
        <rFont val="微軟正黑體"/>
        <family val="2"/>
        <charset val="136"/>
      </rPr>
      <t>、欄位</t>
    </r>
    <r>
      <rPr>
        <sz val="10"/>
        <color theme="1"/>
        <rFont val="Arial"/>
        <family val="2"/>
      </rPr>
      <t>”J33”</t>
    </r>
    <r>
      <rPr>
        <sz val="10"/>
        <color theme="1"/>
        <rFont val="微軟正黑體"/>
        <family val="2"/>
        <charset val="136"/>
      </rPr>
      <t>從</t>
    </r>
    <r>
      <rPr>
        <sz val="10"/>
        <color theme="1"/>
        <rFont val="Arial"/>
        <family val="2"/>
      </rPr>
      <t>24</t>
    </r>
    <r>
      <rPr>
        <sz val="10"/>
        <color theme="1"/>
        <rFont val="微軟正黑體"/>
        <family val="2"/>
        <charset val="136"/>
      </rPr>
      <t>調整為</t>
    </r>
    <r>
      <rPr>
        <sz val="10"/>
        <color theme="1"/>
        <rFont val="Arial"/>
        <family val="2"/>
      </rPr>
      <t>23</t>
    </r>
    <r>
      <rPr>
        <sz val="10"/>
        <color theme="1"/>
        <rFont val="微軟正黑體"/>
        <family val="2"/>
        <charset val="136"/>
      </rPr>
      <t xml:space="preserve">。
</t>
    </r>
    <r>
      <rPr>
        <sz val="10"/>
        <color theme="1"/>
        <rFont val="Arial"/>
        <family val="2"/>
      </rPr>
      <t xml:space="preserve">4-3. </t>
    </r>
    <r>
      <rPr>
        <sz val="10"/>
        <color theme="1"/>
        <rFont val="微軟正黑體"/>
        <family val="2"/>
        <charset val="136"/>
      </rPr>
      <t>欄位</t>
    </r>
    <r>
      <rPr>
        <sz val="10"/>
        <color theme="1"/>
        <rFont val="Arial"/>
        <family val="2"/>
      </rPr>
      <t>”B8”</t>
    </r>
    <r>
      <rPr>
        <sz val="10"/>
        <color theme="1"/>
        <rFont val="微軟正黑體"/>
        <family val="2"/>
        <charset val="136"/>
      </rPr>
      <t>新增</t>
    </r>
    <r>
      <rPr>
        <sz val="10"/>
        <color theme="1"/>
        <rFont val="Arial"/>
        <family val="2"/>
      </rPr>
      <t>"</t>
    </r>
    <r>
      <rPr>
        <sz val="10"/>
        <color theme="1"/>
        <rFont val="微軟正黑體"/>
        <family val="2"/>
        <charset val="136"/>
      </rPr>
      <t>自定義</t>
    </r>
    <r>
      <rPr>
        <sz val="10"/>
        <color theme="1"/>
        <rFont val="Arial"/>
        <family val="2"/>
      </rPr>
      <t>DID</t>
    </r>
    <r>
      <rPr>
        <sz val="10"/>
        <color theme="1"/>
        <rFont val="微軟正黑體"/>
        <family val="2"/>
        <charset val="136"/>
      </rPr>
      <t>建議範圍</t>
    </r>
    <r>
      <rPr>
        <sz val="10"/>
        <color theme="1"/>
        <rFont val="Arial"/>
        <family val="2"/>
      </rPr>
      <t>"</t>
    </r>
    <r>
      <rPr>
        <sz val="10"/>
        <color theme="1"/>
        <rFont val="微軟正黑體"/>
        <family val="2"/>
        <charset val="136"/>
      </rPr>
      <t xml:space="preserve">。
</t>
    </r>
    <r>
      <rPr>
        <sz val="10"/>
        <color theme="1"/>
        <rFont val="Arial"/>
        <family val="2"/>
      </rPr>
      <t xml:space="preserve">5. </t>
    </r>
    <r>
      <rPr>
        <sz val="10"/>
        <color theme="1"/>
        <rFont val="微軟正黑體"/>
        <family val="2"/>
        <charset val="136"/>
      </rPr>
      <t>刪除</t>
    </r>
    <r>
      <rPr>
        <sz val="10"/>
        <color theme="1"/>
        <rFont val="Arial"/>
        <family val="2"/>
      </rPr>
      <t>column I(Bit Length)</t>
    </r>
    <r>
      <rPr>
        <sz val="10"/>
        <color theme="1"/>
        <rFont val="微軟正黑體"/>
        <family val="2"/>
        <charset val="136"/>
      </rPr>
      <t>、</t>
    </r>
    <r>
      <rPr>
        <sz val="10"/>
        <color theme="1"/>
        <rFont val="Arial"/>
        <family val="2"/>
      </rPr>
      <t>column J(Start Bit)</t>
    </r>
    <r>
      <rPr>
        <sz val="10"/>
        <color theme="1"/>
        <rFont val="微軟正黑體"/>
        <family val="2"/>
        <charset val="136"/>
      </rPr>
      <t>；新增</t>
    </r>
    <r>
      <rPr>
        <sz val="10"/>
        <color theme="1"/>
        <rFont val="Arial"/>
        <family val="2"/>
      </rPr>
      <t>column I(MSB bit(Motorola))</t>
    </r>
    <r>
      <rPr>
        <sz val="10"/>
        <color theme="1"/>
        <rFont val="微軟正黑體"/>
        <family val="2"/>
        <charset val="136"/>
      </rPr>
      <t>、</t>
    </r>
    <r>
      <rPr>
        <sz val="10"/>
        <color theme="1"/>
        <rFont val="Arial"/>
        <family val="2"/>
      </rPr>
      <t>column J(LSB bit(Motorola))</t>
    </r>
    <r>
      <rPr>
        <sz val="10"/>
        <color theme="1"/>
        <rFont val="微軟正黑體"/>
        <family val="2"/>
        <charset val="136"/>
      </rPr>
      <t xml:space="preserve">。
</t>
    </r>
    <r>
      <rPr>
        <sz val="10"/>
        <color theme="1"/>
        <rFont val="Arial"/>
        <family val="2"/>
      </rPr>
      <t xml:space="preserve">6. </t>
    </r>
    <r>
      <rPr>
        <sz val="10"/>
        <color theme="1"/>
        <rFont val="微軟正黑體"/>
        <family val="2"/>
        <charset val="136"/>
      </rPr>
      <t>刪除</t>
    </r>
    <r>
      <rPr>
        <sz val="10"/>
        <color theme="1"/>
        <rFont val="Arial"/>
        <family val="2"/>
      </rPr>
      <t>column H(Bit Length)</t>
    </r>
    <r>
      <rPr>
        <sz val="10"/>
        <color theme="1"/>
        <rFont val="微軟正黑體"/>
        <family val="2"/>
        <charset val="136"/>
      </rPr>
      <t>、</t>
    </r>
    <r>
      <rPr>
        <sz val="10"/>
        <color theme="1"/>
        <rFont val="Arial"/>
        <family val="2"/>
      </rPr>
      <t>column I(Start Bit)</t>
    </r>
    <r>
      <rPr>
        <sz val="10"/>
        <color theme="1"/>
        <rFont val="微軟正黑體"/>
        <family val="2"/>
        <charset val="136"/>
      </rPr>
      <t>；新增</t>
    </r>
    <r>
      <rPr>
        <sz val="10"/>
        <color theme="1"/>
        <rFont val="Arial"/>
        <family val="2"/>
      </rPr>
      <t>column H(MSB bit(Motorola))</t>
    </r>
    <r>
      <rPr>
        <sz val="10"/>
        <color theme="1"/>
        <rFont val="微軟正黑體"/>
        <family val="2"/>
        <charset val="136"/>
      </rPr>
      <t>、</t>
    </r>
    <r>
      <rPr>
        <sz val="10"/>
        <color theme="1"/>
        <rFont val="Arial"/>
        <family val="2"/>
      </rPr>
      <t>column I(LSB bit(Motorola))</t>
    </r>
    <r>
      <rPr>
        <sz val="10"/>
        <color theme="1"/>
        <rFont val="微軟正黑體"/>
        <family val="2"/>
        <charset val="136"/>
      </rPr>
      <t xml:space="preserve">。
</t>
    </r>
    <r>
      <rPr>
        <sz val="10"/>
        <color theme="1"/>
        <rFont val="Arial"/>
        <family val="2"/>
      </rPr>
      <t xml:space="preserve">7. </t>
    </r>
    <r>
      <rPr>
        <sz val="10"/>
        <color theme="1"/>
        <rFont val="微軟正黑體"/>
        <family val="2"/>
        <charset val="136"/>
      </rPr>
      <t>刪除</t>
    </r>
    <r>
      <rPr>
        <sz val="10"/>
        <color theme="1"/>
        <rFont val="Arial"/>
        <family val="2"/>
      </rPr>
      <t>column F(Bit Length)</t>
    </r>
    <r>
      <rPr>
        <sz val="10"/>
        <color theme="1"/>
        <rFont val="微軟正黑體"/>
        <family val="2"/>
        <charset val="136"/>
      </rPr>
      <t>、</t>
    </r>
    <r>
      <rPr>
        <sz val="10"/>
        <color theme="1"/>
        <rFont val="Arial"/>
        <family val="2"/>
      </rPr>
      <t>column G(Start Bit)</t>
    </r>
    <r>
      <rPr>
        <sz val="10"/>
        <color theme="1"/>
        <rFont val="微軟正黑體"/>
        <family val="2"/>
        <charset val="136"/>
      </rPr>
      <t>；新增</t>
    </r>
    <r>
      <rPr>
        <sz val="10"/>
        <color theme="1"/>
        <rFont val="Arial"/>
        <family val="2"/>
      </rPr>
      <t>column F(MSB bit(Motorola))</t>
    </r>
    <r>
      <rPr>
        <sz val="10"/>
        <color theme="1"/>
        <rFont val="微軟正黑體"/>
        <family val="2"/>
        <charset val="136"/>
      </rPr>
      <t>、</t>
    </r>
    <r>
      <rPr>
        <sz val="10"/>
        <color theme="1"/>
        <rFont val="Arial"/>
        <family val="2"/>
      </rPr>
      <t>column G(LSB bit(Motorola))</t>
    </r>
    <r>
      <rPr>
        <sz val="10"/>
        <color theme="1"/>
        <rFont val="微軟正黑體"/>
        <family val="2"/>
        <charset val="136"/>
      </rPr>
      <t xml:space="preserve">。
</t>
    </r>
    <r>
      <rPr>
        <sz val="10"/>
        <color theme="1"/>
        <rFont val="Arial"/>
        <family val="2"/>
      </rPr>
      <t xml:space="preserve">8. </t>
    </r>
    <r>
      <rPr>
        <sz val="10"/>
        <color theme="1"/>
        <rFont val="微軟正黑體"/>
        <family val="2"/>
        <charset val="136"/>
      </rPr>
      <t>刪除</t>
    </r>
    <r>
      <rPr>
        <sz val="10"/>
        <color theme="1"/>
        <rFont val="Arial"/>
        <family val="2"/>
      </rPr>
      <t>column F(Bit Length)</t>
    </r>
    <r>
      <rPr>
        <sz val="10"/>
        <color theme="1"/>
        <rFont val="微軟正黑體"/>
        <family val="2"/>
        <charset val="136"/>
      </rPr>
      <t>、</t>
    </r>
    <r>
      <rPr>
        <sz val="10"/>
        <color theme="1"/>
        <rFont val="Arial"/>
        <family val="2"/>
      </rPr>
      <t>column G(Start Bit)</t>
    </r>
    <r>
      <rPr>
        <sz val="10"/>
        <color theme="1"/>
        <rFont val="微軟正黑體"/>
        <family val="2"/>
        <charset val="136"/>
      </rPr>
      <t>；新增</t>
    </r>
    <r>
      <rPr>
        <sz val="10"/>
        <color theme="1"/>
        <rFont val="Arial"/>
        <family val="2"/>
      </rPr>
      <t>column F(MSB bit(Motorola))</t>
    </r>
    <r>
      <rPr>
        <sz val="10"/>
        <color theme="1"/>
        <rFont val="微軟正黑體"/>
        <family val="2"/>
        <charset val="136"/>
      </rPr>
      <t>、</t>
    </r>
    <r>
      <rPr>
        <sz val="10"/>
        <color theme="1"/>
        <rFont val="Arial"/>
        <family val="2"/>
      </rPr>
      <t>column G(LSB bit(Motorola))</t>
    </r>
    <r>
      <rPr>
        <sz val="10"/>
        <color theme="1"/>
        <rFont val="微軟正黑體"/>
        <family val="2"/>
        <charset val="136"/>
      </rPr>
      <t>。</t>
    </r>
    <phoneticPr fontId="45" type="noConversion"/>
  </si>
  <si>
    <t>DRE</t>
  </si>
  <si>
    <t>Design Release Engineer</t>
  </si>
  <si>
    <t>J</t>
    <phoneticPr fontId="45" type="noConversion"/>
  </si>
  <si>
    <t>2023/7/18</t>
    <phoneticPr fontId="45" type="noConversion"/>
  </si>
  <si>
    <t>1. GeneralInfo
2. Services
3. DTCInfo
4. Snapshot
5. ExtendedData 
6. DIDList
7. DIDData
8. 2FService
9. 31Service
10. Bootloader</t>
    <phoneticPr fontId="45" type="noConversion"/>
  </si>
  <si>
    <r>
      <t xml:space="preserve">1. </t>
    </r>
    <r>
      <rPr>
        <sz val="10"/>
        <color theme="1"/>
        <rFont val="微軟正黑體"/>
        <family val="2"/>
        <charset val="136"/>
      </rPr>
      <t>新增</t>
    </r>
    <r>
      <rPr>
        <sz val="10"/>
        <color theme="1"/>
        <rFont val="Arial"/>
        <family val="2"/>
      </rPr>
      <t>row 32</t>
    </r>
    <r>
      <rPr>
        <sz val="10"/>
        <color theme="1"/>
        <rFont val="微軟正黑體"/>
        <family val="2"/>
        <charset val="136"/>
      </rPr>
      <t>、</t>
    </r>
    <r>
      <rPr>
        <sz val="10"/>
        <color theme="1"/>
        <rFont val="Arial"/>
        <family val="2"/>
      </rPr>
      <t>row 51</t>
    </r>
    <r>
      <rPr>
        <sz val="10"/>
        <color theme="1"/>
        <rFont val="微軟正黑體"/>
        <family val="2"/>
        <charset val="136"/>
      </rPr>
      <t>註記</t>
    </r>
    <r>
      <rPr>
        <sz val="10"/>
        <color theme="1"/>
        <rFont val="Arial"/>
        <family val="2"/>
      </rPr>
      <t>Buffer</t>
    </r>
    <r>
      <rPr>
        <sz val="10"/>
        <color theme="1"/>
        <rFont val="微軟正黑體"/>
        <family val="2"/>
        <charset val="136"/>
      </rPr>
      <t xml:space="preserve">。
</t>
    </r>
    <r>
      <rPr>
        <sz val="10"/>
        <color theme="1"/>
        <rFont val="Arial"/>
        <family val="2"/>
      </rPr>
      <t xml:space="preserve">2. </t>
    </r>
    <r>
      <rPr>
        <sz val="10"/>
        <color theme="1"/>
        <rFont val="微軟正黑體"/>
        <family val="2"/>
        <charset val="136"/>
      </rPr>
      <t>對應新版</t>
    </r>
    <r>
      <rPr>
        <sz val="10"/>
        <color theme="1"/>
        <rFont val="Arial"/>
        <family val="2"/>
      </rPr>
      <t>FSE"FSE-F00005 Requirement Specification Diagnostic Communication revision D_20230612"</t>
    </r>
    <r>
      <rPr>
        <sz val="10"/>
        <color theme="1"/>
        <rFont val="微軟正黑體"/>
        <family val="2"/>
        <charset val="136"/>
      </rPr>
      <t xml:space="preserve">，
</t>
    </r>
    <r>
      <rPr>
        <sz val="10"/>
        <color theme="1"/>
        <rFont val="Arial"/>
        <family val="2"/>
      </rPr>
      <t xml:space="preserve">2-1. </t>
    </r>
    <r>
      <rPr>
        <sz val="10"/>
        <color theme="1"/>
        <rFont val="微軟正黑體"/>
        <family val="2"/>
        <charset val="136"/>
      </rPr>
      <t>欄位</t>
    </r>
    <r>
      <rPr>
        <sz val="10"/>
        <color theme="1"/>
        <rFont val="Arial"/>
        <family val="2"/>
      </rPr>
      <t>N31</t>
    </r>
    <r>
      <rPr>
        <sz val="10"/>
        <color theme="1"/>
        <rFont val="微軟正黑體"/>
        <family val="2"/>
        <charset val="136"/>
      </rPr>
      <t>、</t>
    </r>
    <r>
      <rPr>
        <sz val="10"/>
        <color theme="1"/>
        <rFont val="Arial"/>
        <family val="2"/>
      </rPr>
      <t>N45</t>
    </r>
    <r>
      <rPr>
        <sz val="10"/>
        <color theme="1"/>
        <rFont val="微軟正黑體"/>
        <family val="2"/>
        <charset val="136"/>
      </rPr>
      <t>、</t>
    </r>
    <r>
      <rPr>
        <sz val="10"/>
        <color theme="1"/>
        <rFont val="Arial"/>
        <family val="2"/>
      </rPr>
      <t>N48</t>
    </r>
    <r>
      <rPr>
        <sz val="10"/>
        <color theme="1"/>
        <rFont val="微軟正黑體"/>
        <family val="2"/>
        <charset val="136"/>
      </rPr>
      <t>、</t>
    </r>
    <r>
      <rPr>
        <sz val="10"/>
        <color theme="1"/>
        <rFont val="Arial"/>
        <family val="2"/>
      </rPr>
      <t>N49</t>
    </r>
    <r>
      <rPr>
        <sz val="10"/>
        <color theme="1"/>
        <rFont val="微軟正黑體"/>
        <family val="2"/>
        <charset val="136"/>
      </rPr>
      <t>、</t>
    </r>
    <r>
      <rPr>
        <sz val="10"/>
        <color theme="1"/>
        <rFont val="Arial"/>
        <family val="2"/>
      </rPr>
      <t>N50</t>
    </r>
    <r>
      <rPr>
        <sz val="10"/>
        <color theme="1"/>
        <rFont val="微軟正黑體"/>
        <family val="2"/>
        <charset val="136"/>
      </rPr>
      <t>調整為</t>
    </r>
    <r>
      <rPr>
        <sz val="10"/>
        <color theme="1"/>
        <rFont val="Arial"/>
        <family val="2"/>
      </rPr>
      <t>M</t>
    </r>
    <r>
      <rPr>
        <sz val="10"/>
        <color theme="1"/>
        <rFont val="微軟正黑體"/>
        <family val="2"/>
        <charset val="136"/>
      </rPr>
      <t xml:space="preserve">。
</t>
    </r>
    <r>
      <rPr>
        <sz val="10"/>
        <color theme="1"/>
        <rFont val="Arial"/>
        <family val="2"/>
      </rPr>
      <t xml:space="preserve">2-2. </t>
    </r>
    <r>
      <rPr>
        <sz val="10"/>
        <color theme="1"/>
        <rFont val="微軟正黑體"/>
        <family val="2"/>
        <charset val="136"/>
      </rPr>
      <t>刪除欄位</t>
    </r>
    <r>
      <rPr>
        <sz val="10"/>
        <color theme="1"/>
        <rFont val="Arial"/>
        <family val="2"/>
      </rPr>
      <t>M21</t>
    </r>
    <r>
      <rPr>
        <sz val="10"/>
        <color theme="1"/>
        <rFont val="微軟正黑體"/>
        <family val="2"/>
        <charset val="136"/>
      </rPr>
      <t>、</t>
    </r>
    <r>
      <rPr>
        <sz val="10"/>
        <color theme="1"/>
        <rFont val="Arial"/>
        <family val="2"/>
      </rPr>
      <t>M23</t>
    </r>
    <r>
      <rPr>
        <sz val="10"/>
        <color theme="1"/>
        <rFont val="微軟正黑體"/>
        <family val="2"/>
        <charset val="136"/>
      </rPr>
      <t xml:space="preserve">。
</t>
    </r>
    <r>
      <rPr>
        <sz val="10"/>
        <color theme="1"/>
        <rFont val="Arial"/>
        <family val="2"/>
      </rPr>
      <t xml:space="preserve">2-3. </t>
    </r>
    <r>
      <rPr>
        <sz val="10"/>
        <color theme="1"/>
        <rFont val="微軟正黑體"/>
        <family val="2"/>
        <charset val="136"/>
      </rPr>
      <t>欄位</t>
    </r>
    <r>
      <rPr>
        <sz val="10"/>
        <color theme="1"/>
        <rFont val="Arial"/>
        <family val="2"/>
      </rPr>
      <t>N21</t>
    </r>
    <r>
      <rPr>
        <sz val="10"/>
        <color theme="1"/>
        <rFont val="微軟正黑體"/>
        <family val="2"/>
        <charset val="136"/>
      </rPr>
      <t>調整為</t>
    </r>
    <r>
      <rPr>
        <sz val="10"/>
        <color theme="1"/>
        <rFont val="Arial"/>
        <family val="2"/>
      </rPr>
      <t>U</t>
    </r>
    <r>
      <rPr>
        <sz val="10"/>
        <color theme="1"/>
        <rFont val="微軟正黑體"/>
        <family val="2"/>
        <charset val="136"/>
      </rPr>
      <t xml:space="preserve">。
</t>
    </r>
    <r>
      <rPr>
        <sz val="10"/>
        <color theme="1"/>
        <rFont val="Arial"/>
        <family val="2"/>
      </rPr>
      <t xml:space="preserve">2-4. </t>
    </r>
    <r>
      <rPr>
        <sz val="10"/>
        <color theme="1"/>
        <rFont val="微軟正黑體"/>
        <family val="2"/>
        <charset val="136"/>
      </rPr>
      <t>欄位</t>
    </r>
    <r>
      <rPr>
        <sz val="10"/>
        <color theme="1"/>
        <rFont val="Arial"/>
        <family val="2"/>
      </rPr>
      <t>C32</t>
    </r>
    <r>
      <rPr>
        <sz val="10"/>
        <color theme="1"/>
        <rFont val="微軟正黑體"/>
        <family val="2"/>
        <charset val="136"/>
      </rPr>
      <t>、</t>
    </r>
    <r>
      <rPr>
        <sz val="10"/>
        <color theme="1"/>
        <rFont val="Arial"/>
        <family val="2"/>
      </rPr>
      <t>C33</t>
    </r>
    <r>
      <rPr>
        <sz val="10"/>
        <color theme="1"/>
        <rFont val="微軟正黑體"/>
        <family val="2"/>
        <charset val="136"/>
      </rPr>
      <t>、</t>
    </r>
    <r>
      <rPr>
        <sz val="10"/>
        <color theme="1"/>
        <rFont val="Arial"/>
        <family val="2"/>
      </rPr>
      <t>C34</t>
    </r>
    <r>
      <rPr>
        <sz val="10"/>
        <color theme="1"/>
        <rFont val="微軟正黑體"/>
        <family val="2"/>
        <charset val="136"/>
      </rPr>
      <t>、</t>
    </r>
    <r>
      <rPr>
        <sz val="10"/>
        <color theme="1"/>
        <rFont val="Arial"/>
        <family val="2"/>
      </rPr>
      <t>C44</t>
    </r>
    <r>
      <rPr>
        <sz val="10"/>
        <color theme="1"/>
        <rFont val="微軟正黑體"/>
        <family val="2"/>
        <charset val="136"/>
      </rPr>
      <t>、</t>
    </r>
    <r>
      <rPr>
        <sz val="10"/>
        <color theme="1"/>
        <rFont val="Arial"/>
        <family val="2"/>
      </rPr>
      <t>C51</t>
    </r>
    <r>
      <rPr>
        <sz val="10"/>
        <color theme="1"/>
        <rFont val="微軟正黑體"/>
        <family val="2"/>
        <charset val="136"/>
      </rPr>
      <t>、</t>
    </r>
    <r>
      <rPr>
        <sz val="10"/>
        <color theme="1"/>
        <rFont val="Arial"/>
        <family val="2"/>
      </rPr>
      <t>E21</t>
    </r>
    <r>
      <rPr>
        <sz val="10"/>
        <color theme="1"/>
        <rFont val="微軟正黑體"/>
        <family val="2"/>
        <charset val="136"/>
      </rPr>
      <t>、</t>
    </r>
    <r>
      <rPr>
        <sz val="10"/>
        <color theme="1"/>
        <rFont val="Arial"/>
        <family val="2"/>
      </rPr>
      <t>E22</t>
    </r>
    <r>
      <rPr>
        <sz val="10"/>
        <color theme="1"/>
        <rFont val="微軟正黑體"/>
        <family val="2"/>
        <charset val="136"/>
      </rPr>
      <t>、</t>
    </r>
    <r>
      <rPr>
        <sz val="10"/>
        <color theme="1"/>
        <rFont val="Arial"/>
        <family val="2"/>
      </rPr>
      <t>E25</t>
    </r>
    <r>
      <rPr>
        <sz val="10"/>
        <color theme="1"/>
        <rFont val="微軟正黑體"/>
        <family val="2"/>
        <charset val="136"/>
      </rPr>
      <t>、</t>
    </r>
    <r>
      <rPr>
        <sz val="10"/>
        <color theme="1"/>
        <rFont val="Arial"/>
        <family val="2"/>
      </rPr>
      <t>E26</t>
    </r>
    <r>
      <rPr>
        <sz val="10"/>
        <color theme="1"/>
        <rFont val="微軟正黑體"/>
        <family val="2"/>
        <charset val="136"/>
      </rPr>
      <t>、</t>
    </r>
    <r>
      <rPr>
        <sz val="10"/>
        <color theme="1"/>
        <rFont val="Arial"/>
        <family val="2"/>
      </rPr>
      <t>E39</t>
    </r>
    <r>
      <rPr>
        <sz val="10"/>
        <color theme="1"/>
        <rFont val="微軟正黑體"/>
        <family val="2"/>
        <charset val="136"/>
      </rPr>
      <t>、</t>
    </r>
    <r>
      <rPr>
        <sz val="10"/>
        <color theme="1"/>
        <rFont val="Arial"/>
        <family val="2"/>
      </rPr>
      <t>E46</t>
    </r>
    <r>
      <rPr>
        <sz val="10"/>
        <color theme="1"/>
        <rFont val="微軟正黑體"/>
        <family val="2"/>
        <charset val="136"/>
      </rPr>
      <t>、</t>
    </r>
    <r>
      <rPr>
        <sz val="10"/>
        <color theme="1"/>
        <rFont val="Arial"/>
        <family val="2"/>
      </rPr>
      <t>E47</t>
    </r>
    <r>
      <rPr>
        <sz val="10"/>
        <color theme="1"/>
        <rFont val="微軟正黑體"/>
        <family val="2"/>
        <charset val="136"/>
      </rPr>
      <t>、</t>
    </r>
    <r>
      <rPr>
        <sz val="10"/>
        <color theme="1"/>
        <rFont val="Arial"/>
        <family val="2"/>
      </rPr>
      <t>G32</t>
    </r>
    <r>
      <rPr>
        <sz val="10"/>
        <color theme="1"/>
        <rFont val="微軟正黑體"/>
        <family val="2"/>
        <charset val="136"/>
      </rPr>
      <t>、</t>
    </r>
    <r>
      <rPr>
        <sz val="10"/>
        <color theme="1"/>
        <rFont val="Arial"/>
        <family val="2"/>
      </rPr>
      <t>I32</t>
    </r>
    <r>
      <rPr>
        <sz val="10"/>
        <color theme="1"/>
        <rFont val="微軟正黑體"/>
        <family val="2"/>
        <charset val="136"/>
      </rPr>
      <t>、</t>
    </r>
    <r>
      <rPr>
        <sz val="10"/>
        <color theme="1"/>
        <rFont val="Arial"/>
        <family val="2"/>
      </rPr>
      <t>J32</t>
    </r>
    <r>
      <rPr>
        <sz val="10"/>
        <color theme="1"/>
        <rFont val="微軟正黑體"/>
        <family val="2"/>
        <charset val="136"/>
      </rPr>
      <t>、</t>
    </r>
    <r>
      <rPr>
        <sz val="10"/>
        <color theme="1"/>
        <rFont val="Arial"/>
        <family val="2"/>
      </rPr>
      <t>J51</t>
    </r>
    <r>
      <rPr>
        <sz val="10"/>
        <color theme="1"/>
        <rFont val="微軟正黑體"/>
        <family val="2"/>
        <charset val="136"/>
      </rPr>
      <t>、</t>
    </r>
    <r>
      <rPr>
        <sz val="10"/>
        <color theme="1"/>
        <rFont val="Arial"/>
        <family val="2"/>
      </rPr>
      <t>K32</t>
    </r>
    <r>
      <rPr>
        <sz val="10"/>
        <color theme="1"/>
        <rFont val="微軟正黑體"/>
        <family val="2"/>
        <charset val="136"/>
      </rPr>
      <t>、</t>
    </r>
    <r>
      <rPr>
        <sz val="10"/>
        <color theme="1"/>
        <rFont val="Arial"/>
        <family val="2"/>
      </rPr>
      <t>K51</t>
    </r>
    <r>
      <rPr>
        <sz val="10"/>
        <color theme="1"/>
        <rFont val="微軟正黑體"/>
        <family val="2"/>
        <charset val="136"/>
      </rPr>
      <t xml:space="preserve">調整為空白。
</t>
    </r>
    <r>
      <rPr>
        <sz val="10"/>
        <color theme="1"/>
        <rFont val="Arial"/>
        <family val="2"/>
      </rPr>
      <t xml:space="preserve">3. </t>
    </r>
    <r>
      <rPr>
        <sz val="10"/>
        <color theme="1"/>
        <rFont val="微軟正黑體"/>
        <family val="2"/>
        <charset val="136"/>
      </rPr>
      <t>欄位</t>
    </r>
    <r>
      <rPr>
        <sz val="10"/>
        <color theme="1"/>
        <rFont val="Arial"/>
        <family val="2"/>
      </rPr>
      <t>D7</t>
    </r>
    <r>
      <rPr>
        <sz val="10"/>
        <color theme="1"/>
        <rFont val="微軟正黑體"/>
        <family val="2"/>
        <charset val="136"/>
      </rPr>
      <t>、</t>
    </r>
    <r>
      <rPr>
        <sz val="10"/>
        <color theme="1"/>
        <rFont val="Arial"/>
        <family val="2"/>
      </rPr>
      <t>D8</t>
    </r>
    <r>
      <rPr>
        <sz val="10"/>
        <color theme="1"/>
        <rFont val="微軟正黑體"/>
        <family val="2"/>
        <charset val="136"/>
      </rPr>
      <t>、</t>
    </r>
    <r>
      <rPr>
        <sz val="10"/>
        <color theme="1"/>
        <rFont val="Arial"/>
        <family val="2"/>
      </rPr>
      <t>D9</t>
    </r>
    <r>
      <rPr>
        <sz val="10"/>
        <color theme="1"/>
        <rFont val="微軟正黑體"/>
        <family val="2"/>
        <charset val="136"/>
      </rPr>
      <t>、</t>
    </r>
    <r>
      <rPr>
        <sz val="10"/>
        <color theme="1"/>
        <rFont val="Arial"/>
        <family val="2"/>
      </rPr>
      <t>D10</t>
    </r>
    <r>
      <rPr>
        <sz val="10"/>
        <color theme="1"/>
        <rFont val="微軟正黑體"/>
        <family val="2"/>
        <charset val="136"/>
      </rPr>
      <t>、</t>
    </r>
    <r>
      <rPr>
        <sz val="10"/>
        <color theme="1"/>
        <rFont val="Arial"/>
        <family val="2"/>
      </rPr>
      <t>D11</t>
    </r>
    <r>
      <rPr>
        <sz val="10"/>
        <color theme="1"/>
        <rFont val="微軟正黑體"/>
        <family val="2"/>
        <charset val="136"/>
      </rPr>
      <t>、</t>
    </r>
    <r>
      <rPr>
        <sz val="10"/>
        <color theme="1"/>
        <rFont val="Arial"/>
        <family val="2"/>
      </rPr>
      <t>D19</t>
    </r>
    <r>
      <rPr>
        <sz val="10"/>
        <color theme="1"/>
        <rFont val="微軟正黑體"/>
        <family val="2"/>
        <charset val="136"/>
      </rPr>
      <t>、</t>
    </r>
    <r>
      <rPr>
        <sz val="10"/>
        <color theme="1"/>
        <rFont val="Arial"/>
        <family val="2"/>
      </rPr>
      <t>D22</t>
    </r>
    <r>
      <rPr>
        <sz val="10"/>
        <color theme="1"/>
        <rFont val="微軟正黑體"/>
        <family val="2"/>
        <charset val="136"/>
      </rPr>
      <t>、</t>
    </r>
    <r>
      <rPr>
        <sz val="10"/>
        <color theme="1"/>
        <rFont val="Arial"/>
        <family val="2"/>
      </rPr>
      <t>D23</t>
    </r>
    <r>
      <rPr>
        <sz val="10"/>
        <color theme="1"/>
        <rFont val="微軟正黑體"/>
        <family val="2"/>
        <charset val="136"/>
      </rPr>
      <t>、</t>
    </r>
    <r>
      <rPr>
        <sz val="10"/>
        <color theme="1"/>
        <rFont val="Arial"/>
        <family val="2"/>
      </rPr>
      <t>D24</t>
    </r>
    <r>
      <rPr>
        <sz val="10"/>
        <color theme="1"/>
        <rFont val="微軟正黑體"/>
        <family val="2"/>
        <charset val="136"/>
      </rPr>
      <t>、</t>
    </r>
    <r>
      <rPr>
        <sz val="10"/>
        <color theme="1"/>
        <rFont val="Arial"/>
        <family val="2"/>
      </rPr>
      <t>D25</t>
    </r>
    <r>
      <rPr>
        <sz val="10"/>
        <color theme="1"/>
        <rFont val="微軟正黑體"/>
        <family val="2"/>
        <charset val="136"/>
      </rPr>
      <t xml:space="preserve">調整為空白。
</t>
    </r>
    <r>
      <rPr>
        <sz val="10"/>
        <color theme="1"/>
        <rFont val="Arial"/>
        <family val="2"/>
      </rPr>
      <t xml:space="preserve">4-1. </t>
    </r>
    <r>
      <rPr>
        <sz val="10"/>
        <color theme="1"/>
        <rFont val="微軟正黑體"/>
        <family val="2"/>
        <charset val="136"/>
      </rPr>
      <t xml:space="preserve">誤記更正
</t>
    </r>
    <r>
      <rPr>
        <sz val="10"/>
        <color theme="1"/>
        <rFont val="Arial"/>
        <family val="2"/>
      </rPr>
      <t xml:space="preserve">4-1-1. </t>
    </r>
    <r>
      <rPr>
        <sz val="10"/>
        <color theme="1"/>
        <rFont val="微軟正黑體"/>
        <family val="2"/>
        <charset val="136"/>
      </rPr>
      <t>欄位</t>
    </r>
    <r>
      <rPr>
        <sz val="10"/>
        <color theme="1"/>
        <rFont val="Arial"/>
        <family val="2"/>
      </rPr>
      <t>G10</t>
    </r>
    <r>
      <rPr>
        <sz val="10"/>
        <color theme="1"/>
        <rFont val="微軟正黑體"/>
        <family val="2"/>
        <charset val="136"/>
      </rPr>
      <t>、</t>
    </r>
    <r>
      <rPr>
        <sz val="10"/>
        <color theme="1"/>
        <rFont val="Arial"/>
        <family val="2"/>
      </rPr>
      <t>G12</t>
    </r>
    <r>
      <rPr>
        <sz val="10"/>
        <color theme="1"/>
        <rFont val="微軟正黑體"/>
        <family val="2"/>
        <charset val="136"/>
      </rPr>
      <t>調整為</t>
    </r>
    <r>
      <rPr>
        <sz val="10"/>
        <color theme="1"/>
        <rFont val="Arial"/>
        <family val="2"/>
      </rPr>
      <t>7</t>
    </r>
    <r>
      <rPr>
        <sz val="10"/>
        <color theme="1"/>
        <rFont val="微軟正黑體"/>
        <family val="2"/>
        <charset val="136"/>
      </rPr>
      <t xml:space="preserve">。
</t>
    </r>
    <r>
      <rPr>
        <sz val="10"/>
        <color theme="1"/>
        <rFont val="Arial"/>
        <family val="2"/>
      </rPr>
      <t xml:space="preserve">4-1-2. </t>
    </r>
    <r>
      <rPr>
        <sz val="10"/>
        <color theme="1"/>
        <rFont val="微軟正黑體"/>
        <family val="2"/>
        <charset val="136"/>
      </rPr>
      <t>欄位</t>
    </r>
    <r>
      <rPr>
        <sz val="10"/>
        <color theme="1"/>
        <rFont val="Arial"/>
        <family val="2"/>
      </rPr>
      <t>H12</t>
    </r>
    <r>
      <rPr>
        <sz val="10"/>
        <color theme="1"/>
        <rFont val="微軟正黑體"/>
        <family val="2"/>
        <charset val="136"/>
      </rPr>
      <t>調整為</t>
    </r>
    <r>
      <rPr>
        <sz val="10"/>
        <color theme="1"/>
        <rFont val="Arial"/>
        <family val="2"/>
      </rPr>
      <t>8</t>
    </r>
    <r>
      <rPr>
        <sz val="10"/>
        <color theme="1"/>
        <rFont val="微軟正黑體"/>
        <family val="2"/>
        <charset val="136"/>
      </rPr>
      <t xml:space="preserve">。
</t>
    </r>
    <r>
      <rPr>
        <sz val="10"/>
        <color theme="1"/>
        <rFont val="Arial"/>
        <family val="2"/>
      </rPr>
      <t xml:space="preserve">4-2. </t>
    </r>
    <r>
      <rPr>
        <sz val="10"/>
        <color theme="1"/>
        <rFont val="微軟正黑體"/>
        <family val="2"/>
        <charset val="136"/>
      </rPr>
      <t>補充欄位</t>
    </r>
    <r>
      <rPr>
        <sz val="10"/>
        <color theme="1"/>
        <rFont val="Arial"/>
        <family val="2"/>
      </rPr>
      <t>N10</t>
    </r>
    <r>
      <rPr>
        <sz val="10"/>
        <color theme="1"/>
        <rFont val="微軟正黑體"/>
        <family val="2"/>
        <charset val="136"/>
      </rPr>
      <t>、</t>
    </r>
    <r>
      <rPr>
        <sz val="10"/>
        <color theme="1"/>
        <rFont val="Arial"/>
        <family val="2"/>
      </rPr>
      <t>N12</t>
    </r>
    <r>
      <rPr>
        <sz val="10"/>
        <color theme="1"/>
        <rFont val="微軟正黑體"/>
        <family val="2"/>
        <charset val="136"/>
      </rPr>
      <t xml:space="preserve">內容。
</t>
    </r>
    <r>
      <rPr>
        <sz val="10"/>
        <color theme="1"/>
        <rFont val="Arial"/>
        <family val="2"/>
      </rPr>
      <t xml:space="preserve">5. </t>
    </r>
    <r>
      <rPr>
        <sz val="10"/>
        <color theme="1"/>
        <rFont val="微軟正黑體"/>
        <family val="2"/>
        <charset val="136"/>
      </rPr>
      <t>補充欄位</t>
    </r>
    <r>
      <rPr>
        <sz val="10"/>
        <color theme="1"/>
        <rFont val="Arial"/>
        <family val="2"/>
      </rPr>
      <t>N10</t>
    </r>
    <r>
      <rPr>
        <sz val="10"/>
        <color theme="1"/>
        <rFont val="微軟正黑體"/>
        <family val="2"/>
        <charset val="136"/>
      </rPr>
      <t>、</t>
    </r>
    <r>
      <rPr>
        <sz val="10"/>
        <color theme="1"/>
        <rFont val="Arial"/>
        <family val="2"/>
      </rPr>
      <t>N12</t>
    </r>
    <r>
      <rPr>
        <sz val="10"/>
        <color theme="1"/>
        <rFont val="微軟正黑體"/>
        <family val="2"/>
        <charset val="136"/>
      </rPr>
      <t xml:space="preserve">內容。
</t>
    </r>
    <r>
      <rPr>
        <sz val="10"/>
        <color theme="1"/>
        <rFont val="Arial"/>
        <family val="2"/>
      </rPr>
      <t xml:space="preserve">6. </t>
    </r>
    <r>
      <rPr>
        <sz val="10"/>
        <color theme="1"/>
        <rFont val="微軟正黑體"/>
        <family val="2"/>
        <charset val="136"/>
      </rPr>
      <t>對應新版</t>
    </r>
    <r>
      <rPr>
        <sz val="10"/>
        <color theme="1"/>
        <rFont val="Arial"/>
        <family val="2"/>
      </rPr>
      <t>FSE"FSE-F00005 Requirement Specification Diagnostic Communication revision D_20230612"</t>
    </r>
    <r>
      <rPr>
        <sz val="10"/>
        <color theme="1"/>
        <rFont val="微軟正黑體"/>
        <family val="2"/>
        <charset val="136"/>
      </rPr>
      <t xml:space="preserve">，
</t>
    </r>
    <r>
      <rPr>
        <sz val="10"/>
        <color theme="1"/>
        <rFont val="Arial"/>
        <family val="2"/>
      </rPr>
      <t xml:space="preserve">6-1. </t>
    </r>
    <r>
      <rPr>
        <sz val="10"/>
        <color theme="1"/>
        <rFont val="微軟正黑體"/>
        <family val="2"/>
        <charset val="136"/>
      </rPr>
      <t>欄位</t>
    </r>
    <r>
      <rPr>
        <sz val="10"/>
        <color theme="1"/>
        <rFont val="Arial"/>
        <family val="2"/>
      </rPr>
      <t>H10</t>
    </r>
    <r>
      <rPr>
        <sz val="10"/>
        <color theme="1"/>
        <rFont val="微軟正黑體"/>
        <family val="2"/>
        <charset val="136"/>
      </rPr>
      <t>調整為</t>
    </r>
    <r>
      <rPr>
        <sz val="10"/>
        <color theme="1"/>
        <rFont val="Arial"/>
        <family val="2"/>
      </rPr>
      <t>M</t>
    </r>
    <r>
      <rPr>
        <sz val="10"/>
        <color theme="1"/>
        <rFont val="微軟正黑體"/>
        <family val="2"/>
        <charset val="136"/>
      </rPr>
      <t xml:space="preserve">。
</t>
    </r>
    <r>
      <rPr>
        <sz val="10"/>
        <color theme="1"/>
        <rFont val="Arial"/>
        <family val="2"/>
      </rPr>
      <t xml:space="preserve">6-2. </t>
    </r>
    <r>
      <rPr>
        <sz val="10"/>
        <color theme="1"/>
        <rFont val="微軟正黑體"/>
        <family val="2"/>
        <charset val="136"/>
      </rPr>
      <t>新增</t>
    </r>
    <r>
      <rPr>
        <sz val="10"/>
        <color theme="1"/>
        <rFont val="Arial"/>
        <family val="2"/>
      </rPr>
      <t>row 22</t>
    </r>
    <r>
      <rPr>
        <sz val="10"/>
        <color theme="1"/>
        <rFont val="微軟正黑體"/>
        <family val="2"/>
        <charset val="136"/>
      </rPr>
      <t>、</t>
    </r>
    <r>
      <rPr>
        <sz val="10"/>
        <color theme="1"/>
        <rFont val="Arial"/>
        <family val="2"/>
      </rPr>
      <t>23</t>
    </r>
    <r>
      <rPr>
        <sz val="10"/>
        <color theme="1"/>
        <rFont val="微軟正黑體"/>
        <family val="2"/>
        <charset val="136"/>
      </rPr>
      <t xml:space="preserve">。
</t>
    </r>
    <r>
      <rPr>
        <sz val="10"/>
        <color theme="1"/>
        <rFont val="Arial"/>
        <family val="2"/>
      </rPr>
      <t xml:space="preserve">6-3. </t>
    </r>
    <r>
      <rPr>
        <sz val="10"/>
        <color theme="1"/>
        <rFont val="微軟正黑體"/>
        <family val="2"/>
        <charset val="136"/>
      </rPr>
      <t>欄位</t>
    </r>
    <r>
      <rPr>
        <sz val="10"/>
        <color theme="1"/>
        <rFont val="Arial"/>
        <family val="2"/>
      </rPr>
      <t>C11</t>
    </r>
    <r>
      <rPr>
        <sz val="10"/>
        <color theme="1"/>
        <rFont val="微軟正黑體"/>
        <family val="2"/>
        <charset val="136"/>
      </rPr>
      <t>、</t>
    </r>
    <r>
      <rPr>
        <sz val="10"/>
        <color theme="1"/>
        <rFont val="Arial"/>
        <family val="2"/>
      </rPr>
      <t>G11</t>
    </r>
    <r>
      <rPr>
        <sz val="10"/>
        <color theme="1"/>
        <rFont val="微軟正黑體"/>
        <family val="2"/>
        <charset val="136"/>
      </rPr>
      <t>、</t>
    </r>
    <r>
      <rPr>
        <sz val="10"/>
        <color theme="1"/>
        <rFont val="Arial"/>
        <family val="2"/>
      </rPr>
      <t>C13</t>
    </r>
    <r>
      <rPr>
        <sz val="10"/>
        <color theme="1"/>
        <rFont val="微軟正黑體"/>
        <family val="2"/>
        <charset val="136"/>
      </rPr>
      <t>、</t>
    </r>
    <r>
      <rPr>
        <sz val="10"/>
        <color theme="1"/>
        <rFont val="Arial"/>
        <family val="2"/>
      </rPr>
      <t>G13</t>
    </r>
    <r>
      <rPr>
        <sz val="10"/>
        <color theme="1"/>
        <rFont val="微軟正黑體"/>
        <family val="2"/>
        <charset val="136"/>
      </rPr>
      <t xml:space="preserve">調整為空白。
</t>
    </r>
    <r>
      <rPr>
        <sz val="10"/>
        <color theme="1"/>
        <rFont val="Arial"/>
        <family val="2"/>
      </rPr>
      <t xml:space="preserve">7-1. </t>
    </r>
    <r>
      <rPr>
        <sz val="10"/>
        <color theme="1"/>
        <rFont val="微軟正黑體"/>
        <family val="2"/>
        <charset val="136"/>
      </rPr>
      <t>誤記更正、對應新版</t>
    </r>
    <r>
      <rPr>
        <sz val="10"/>
        <color theme="1"/>
        <rFont val="Arial"/>
        <family val="2"/>
      </rPr>
      <t>FSE"FSE-F00005 Requirement Specification Diagnostic Communication revision D_20230612"</t>
    </r>
    <r>
      <rPr>
        <sz val="10"/>
        <color theme="1"/>
        <rFont val="微軟正黑體"/>
        <family val="2"/>
        <charset val="136"/>
      </rPr>
      <t xml:space="preserve">，
</t>
    </r>
    <r>
      <rPr>
        <sz val="10"/>
        <color theme="1"/>
        <rFont val="Arial"/>
        <family val="2"/>
      </rPr>
      <t xml:space="preserve">7-1-1. </t>
    </r>
    <r>
      <rPr>
        <sz val="10"/>
        <color theme="1"/>
        <rFont val="微軟正黑體"/>
        <family val="2"/>
        <charset val="136"/>
      </rPr>
      <t>刪除欄位</t>
    </r>
    <r>
      <rPr>
        <sz val="10"/>
        <color theme="1"/>
        <rFont val="Arial"/>
        <family val="2"/>
      </rPr>
      <t>V20</t>
    </r>
    <r>
      <rPr>
        <sz val="10"/>
        <color theme="1"/>
        <rFont val="微軟正黑體"/>
        <family val="2"/>
        <charset val="136"/>
      </rPr>
      <t>、</t>
    </r>
    <r>
      <rPr>
        <sz val="10"/>
        <color theme="1"/>
        <rFont val="Arial"/>
        <family val="2"/>
      </rPr>
      <t>V22</t>
    </r>
    <r>
      <rPr>
        <sz val="10"/>
        <color theme="1"/>
        <rFont val="微軟正黑體"/>
        <family val="2"/>
        <charset val="136"/>
      </rPr>
      <t>；欄位</t>
    </r>
    <r>
      <rPr>
        <sz val="10"/>
        <color theme="1"/>
        <rFont val="Arial"/>
        <family val="2"/>
      </rPr>
      <t>W20</t>
    </r>
    <r>
      <rPr>
        <sz val="10"/>
        <color theme="1"/>
        <rFont val="微軟正黑體"/>
        <family val="2"/>
        <charset val="136"/>
      </rPr>
      <t>、</t>
    </r>
    <r>
      <rPr>
        <sz val="10"/>
        <color theme="1"/>
        <rFont val="Arial"/>
        <family val="2"/>
      </rPr>
      <t>W22</t>
    </r>
    <r>
      <rPr>
        <sz val="10"/>
        <color theme="1"/>
        <rFont val="微軟正黑體"/>
        <family val="2"/>
        <charset val="136"/>
      </rPr>
      <t>調整為</t>
    </r>
    <r>
      <rPr>
        <sz val="10"/>
        <color theme="1"/>
        <rFont val="Arial"/>
        <family val="2"/>
      </rPr>
      <t>01</t>
    </r>
    <r>
      <rPr>
        <sz val="10"/>
        <color theme="1"/>
        <rFont val="微軟正黑體"/>
        <family val="2"/>
        <charset val="136"/>
      </rPr>
      <t xml:space="preserve">。
</t>
    </r>
    <r>
      <rPr>
        <sz val="10"/>
        <color theme="1"/>
        <rFont val="Arial"/>
        <family val="2"/>
      </rPr>
      <t xml:space="preserve">7-1-2. </t>
    </r>
    <r>
      <rPr>
        <sz val="10"/>
        <color theme="1"/>
        <rFont val="微軟正黑體"/>
        <family val="2"/>
        <charset val="136"/>
      </rPr>
      <t>欄位</t>
    </r>
    <r>
      <rPr>
        <sz val="10"/>
        <color theme="1"/>
        <rFont val="Arial"/>
        <family val="2"/>
      </rPr>
      <t>N27</t>
    </r>
    <r>
      <rPr>
        <sz val="10"/>
        <color theme="1"/>
        <rFont val="微軟正黑體"/>
        <family val="2"/>
        <charset val="136"/>
      </rPr>
      <t xml:space="preserve">調整為
</t>
    </r>
    <r>
      <rPr>
        <sz val="10"/>
        <color theme="1"/>
        <rFont val="Arial"/>
        <family val="2"/>
      </rPr>
      <t>0x0</t>
    </r>
    <r>
      <rPr>
        <sz val="10"/>
        <color theme="1"/>
        <rFont val="微軟正黑體"/>
        <family val="2"/>
        <charset val="136"/>
      </rPr>
      <t>：</t>
    </r>
    <r>
      <rPr>
        <sz val="10"/>
        <color theme="1"/>
        <rFont val="Arial"/>
        <family val="2"/>
      </rPr>
      <t>OFF
0x1</t>
    </r>
    <r>
      <rPr>
        <sz val="10"/>
        <color theme="1"/>
        <rFont val="微軟正黑體"/>
        <family val="2"/>
        <charset val="136"/>
      </rPr>
      <t>：</t>
    </r>
    <r>
      <rPr>
        <sz val="10"/>
        <color theme="1"/>
        <rFont val="Arial"/>
        <family val="2"/>
      </rPr>
      <t>OFF-Charging
0x2</t>
    </r>
    <r>
      <rPr>
        <sz val="10"/>
        <color theme="1"/>
        <rFont val="微軟正黑體"/>
        <family val="2"/>
        <charset val="136"/>
      </rPr>
      <t>：</t>
    </r>
    <r>
      <rPr>
        <sz val="10"/>
        <color theme="1"/>
        <rFont val="Arial"/>
        <family val="2"/>
      </rPr>
      <t>OFF-After-Run
0x3</t>
    </r>
    <r>
      <rPr>
        <sz val="10"/>
        <color theme="1"/>
        <rFont val="微軟正黑體"/>
        <family val="2"/>
        <charset val="136"/>
      </rPr>
      <t>：</t>
    </r>
    <r>
      <rPr>
        <sz val="10"/>
        <color theme="1"/>
        <rFont val="Arial"/>
        <family val="2"/>
      </rPr>
      <t>STANDBY
0x4</t>
    </r>
    <r>
      <rPr>
        <sz val="10"/>
        <color theme="1"/>
        <rFont val="微軟正黑體"/>
        <family val="2"/>
        <charset val="136"/>
      </rPr>
      <t>：</t>
    </r>
    <r>
      <rPr>
        <sz val="10"/>
        <color theme="1"/>
        <rFont val="Arial"/>
        <family val="2"/>
      </rPr>
      <t>ON
0x5</t>
    </r>
    <r>
      <rPr>
        <sz val="10"/>
        <color theme="1"/>
        <rFont val="微軟正黑體"/>
        <family val="2"/>
        <charset val="136"/>
      </rPr>
      <t>：</t>
    </r>
    <r>
      <rPr>
        <sz val="10"/>
        <color theme="1"/>
        <rFont val="Arial"/>
        <family val="2"/>
      </rPr>
      <t xml:space="preserve">READY
7-1-3. </t>
    </r>
    <r>
      <rPr>
        <sz val="10"/>
        <color theme="1"/>
        <rFont val="微軟正黑體"/>
        <family val="2"/>
        <charset val="136"/>
      </rPr>
      <t>欄位</t>
    </r>
    <r>
      <rPr>
        <sz val="10"/>
        <color theme="1"/>
        <rFont val="Arial"/>
        <family val="2"/>
      </rPr>
      <t>T36</t>
    </r>
    <r>
      <rPr>
        <sz val="10"/>
        <color theme="1"/>
        <rFont val="微軟正黑體"/>
        <family val="2"/>
        <charset val="136"/>
      </rPr>
      <t>、</t>
    </r>
    <r>
      <rPr>
        <sz val="10"/>
        <color theme="1"/>
        <rFont val="Arial"/>
        <family val="2"/>
      </rPr>
      <t>D10</t>
    </r>
    <r>
      <rPr>
        <sz val="10"/>
        <color theme="1"/>
        <rFont val="微軟正黑體"/>
        <family val="2"/>
        <charset val="136"/>
      </rPr>
      <t>、</t>
    </r>
    <r>
      <rPr>
        <sz val="10"/>
        <color theme="1"/>
        <rFont val="Arial"/>
        <family val="2"/>
      </rPr>
      <t>E11</t>
    </r>
    <r>
      <rPr>
        <sz val="10"/>
        <color theme="1"/>
        <rFont val="微軟正黑體"/>
        <family val="2"/>
        <charset val="136"/>
      </rPr>
      <t>、</t>
    </r>
    <r>
      <rPr>
        <sz val="10"/>
        <color theme="1"/>
        <rFont val="Arial"/>
        <family val="2"/>
      </rPr>
      <t>F11</t>
    </r>
    <r>
      <rPr>
        <sz val="10"/>
        <color theme="1"/>
        <rFont val="微軟正黑體"/>
        <family val="2"/>
        <charset val="136"/>
      </rPr>
      <t>、</t>
    </r>
    <r>
      <rPr>
        <sz val="10"/>
        <color theme="1"/>
        <rFont val="Arial"/>
        <family val="2"/>
      </rPr>
      <t>G11</t>
    </r>
    <r>
      <rPr>
        <sz val="10"/>
        <color theme="1"/>
        <rFont val="微軟正黑體"/>
        <family val="2"/>
        <charset val="136"/>
      </rPr>
      <t>、</t>
    </r>
    <r>
      <rPr>
        <sz val="10"/>
        <color theme="1"/>
        <rFont val="Arial"/>
        <family val="2"/>
      </rPr>
      <t>D16</t>
    </r>
    <r>
      <rPr>
        <sz val="10"/>
        <color theme="1"/>
        <rFont val="微軟正黑體"/>
        <family val="2"/>
        <charset val="136"/>
      </rPr>
      <t>、</t>
    </r>
    <r>
      <rPr>
        <sz val="10"/>
        <color theme="1"/>
        <rFont val="Arial"/>
        <family val="2"/>
      </rPr>
      <t>E17</t>
    </r>
    <r>
      <rPr>
        <sz val="10"/>
        <color theme="1"/>
        <rFont val="微軟正黑體"/>
        <family val="2"/>
        <charset val="136"/>
      </rPr>
      <t>、</t>
    </r>
    <r>
      <rPr>
        <sz val="10"/>
        <color theme="1"/>
        <rFont val="Arial"/>
        <family val="2"/>
      </rPr>
      <t>F17</t>
    </r>
    <r>
      <rPr>
        <sz val="10"/>
        <color theme="1"/>
        <rFont val="微軟正黑體"/>
        <family val="2"/>
        <charset val="136"/>
      </rPr>
      <t>、</t>
    </r>
    <r>
      <rPr>
        <sz val="10"/>
        <color theme="1"/>
        <rFont val="Arial"/>
        <family val="2"/>
      </rPr>
      <t>G17</t>
    </r>
    <r>
      <rPr>
        <sz val="10"/>
        <color theme="1"/>
        <rFont val="微軟正黑體"/>
        <family val="2"/>
        <charset val="136"/>
      </rPr>
      <t>、</t>
    </r>
    <r>
      <rPr>
        <sz val="10"/>
        <color theme="1"/>
        <rFont val="Arial"/>
        <family val="2"/>
      </rPr>
      <t>D18</t>
    </r>
    <r>
      <rPr>
        <sz val="10"/>
        <color theme="1"/>
        <rFont val="微軟正黑體"/>
        <family val="2"/>
        <charset val="136"/>
      </rPr>
      <t>、</t>
    </r>
    <r>
      <rPr>
        <sz val="10"/>
        <color theme="1"/>
        <rFont val="Arial"/>
        <family val="2"/>
      </rPr>
      <t>E19</t>
    </r>
    <r>
      <rPr>
        <sz val="10"/>
        <color theme="1"/>
        <rFont val="微軟正黑體"/>
        <family val="2"/>
        <charset val="136"/>
      </rPr>
      <t>、</t>
    </r>
    <r>
      <rPr>
        <sz val="10"/>
        <color theme="1"/>
        <rFont val="Arial"/>
        <family val="2"/>
      </rPr>
      <t>F19</t>
    </r>
    <r>
      <rPr>
        <sz val="10"/>
        <color theme="1"/>
        <rFont val="微軟正黑體"/>
        <family val="2"/>
        <charset val="136"/>
      </rPr>
      <t>、</t>
    </r>
    <r>
      <rPr>
        <sz val="10"/>
        <color theme="1"/>
        <rFont val="Arial"/>
        <family val="2"/>
      </rPr>
      <t>G19</t>
    </r>
    <r>
      <rPr>
        <sz val="10"/>
        <color theme="1"/>
        <rFont val="微軟正黑體"/>
        <family val="2"/>
        <charset val="136"/>
      </rPr>
      <t>、</t>
    </r>
    <r>
      <rPr>
        <sz val="10"/>
        <color theme="1"/>
        <rFont val="Arial"/>
        <family val="2"/>
      </rPr>
      <t>D24</t>
    </r>
    <r>
      <rPr>
        <sz val="10"/>
        <color theme="1"/>
        <rFont val="微軟正黑體"/>
        <family val="2"/>
        <charset val="136"/>
      </rPr>
      <t>、</t>
    </r>
    <r>
      <rPr>
        <sz val="10"/>
        <color theme="1"/>
        <rFont val="Arial"/>
        <family val="2"/>
      </rPr>
      <t>E25</t>
    </r>
    <r>
      <rPr>
        <sz val="10"/>
        <color theme="1"/>
        <rFont val="微軟正黑體"/>
        <family val="2"/>
        <charset val="136"/>
      </rPr>
      <t>、</t>
    </r>
    <r>
      <rPr>
        <sz val="10"/>
        <color theme="1"/>
        <rFont val="Arial"/>
        <family val="2"/>
      </rPr>
      <t>F25</t>
    </r>
    <r>
      <rPr>
        <sz val="10"/>
        <color theme="1"/>
        <rFont val="微軟正黑體"/>
        <family val="2"/>
        <charset val="136"/>
      </rPr>
      <t>、</t>
    </r>
    <r>
      <rPr>
        <sz val="10"/>
        <color theme="1"/>
        <rFont val="Arial"/>
        <family val="2"/>
      </rPr>
      <t>G25</t>
    </r>
    <r>
      <rPr>
        <sz val="10"/>
        <color theme="1"/>
        <rFont val="微軟正黑體"/>
        <family val="2"/>
        <charset val="136"/>
      </rPr>
      <t>、</t>
    </r>
    <r>
      <rPr>
        <sz val="10"/>
        <color theme="1"/>
        <rFont val="Arial"/>
        <family val="2"/>
      </rPr>
      <t>D36</t>
    </r>
    <r>
      <rPr>
        <sz val="10"/>
        <color theme="1"/>
        <rFont val="微軟正黑體"/>
        <family val="2"/>
        <charset val="136"/>
      </rPr>
      <t>、</t>
    </r>
    <r>
      <rPr>
        <sz val="10"/>
        <color theme="1"/>
        <rFont val="Arial"/>
        <family val="2"/>
      </rPr>
      <t>E37</t>
    </r>
    <r>
      <rPr>
        <sz val="10"/>
        <color theme="1"/>
        <rFont val="微軟正黑體"/>
        <family val="2"/>
        <charset val="136"/>
      </rPr>
      <t>、</t>
    </r>
    <r>
      <rPr>
        <sz val="10"/>
        <color theme="1"/>
        <rFont val="Arial"/>
        <family val="2"/>
      </rPr>
      <t>F37</t>
    </r>
    <r>
      <rPr>
        <sz val="10"/>
        <color theme="1"/>
        <rFont val="微軟正黑體"/>
        <family val="2"/>
        <charset val="136"/>
      </rPr>
      <t>、</t>
    </r>
    <r>
      <rPr>
        <sz val="10"/>
        <color theme="1"/>
        <rFont val="Arial"/>
        <family val="2"/>
      </rPr>
      <t>G37</t>
    </r>
    <r>
      <rPr>
        <sz val="10"/>
        <color theme="1"/>
        <rFont val="微軟正黑體"/>
        <family val="2"/>
        <charset val="136"/>
      </rPr>
      <t>、</t>
    </r>
    <r>
      <rPr>
        <sz val="10"/>
        <color theme="1"/>
        <rFont val="Arial"/>
        <family val="2"/>
      </rPr>
      <t>D38</t>
    </r>
    <r>
      <rPr>
        <sz val="10"/>
        <color theme="1"/>
        <rFont val="微軟正黑體"/>
        <family val="2"/>
        <charset val="136"/>
      </rPr>
      <t>、</t>
    </r>
    <r>
      <rPr>
        <sz val="10"/>
        <color theme="1"/>
        <rFont val="Arial"/>
        <family val="2"/>
      </rPr>
      <t>E39</t>
    </r>
    <r>
      <rPr>
        <sz val="10"/>
        <color theme="1"/>
        <rFont val="微軟正黑體"/>
        <family val="2"/>
        <charset val="136"/>
      </rPr>
      <t>、</t>
    </r>
    <r>
      <rPr>
        <sz val="10"/>
        <color theme="1"/>
        <rFont val="Arial"/>
        <family val="2"/>
      </rPr>
      <t>F39</t>
    </r>
    <r>
      <rPr>
        <sz val="10"/>
        <color theme="1"/>
        <rFont val="微軟正黑體"/>
        <family val="2"/>
        <charset val="136"/>
      </rPr>
      <t>、</t>
    </r>
    <r>
      <rPr>
        <sz val="10"/>
        <color theme="1"/>
        <rFont val="Arial"/>
        <family val="2"/>
      </rPr>
      <t>G39</t>
    </r>
    <r>
      <rPr>
        <sz val="10"/>
        <color theme="1"/>
        <rFont val="微軟正黑體"/>
        <family val="2"/>
        <charset val="136"/>
      </rPr>
      <t>、</t>
    </r>
    <r>
      <rPr>
        <sz val="10"/>
        <color theme="1"/>
        <rFont val="Arial"/>
        <family val="2"/>
      </rPr>
      <t>S36</t>
    </r>
    <r>
      <rPr>
        <sz val="10"/>
        <color theme="1"/>
        <rFont val="微軟正黑體"/>
        <family val="2"/>
        <charset val="136"/>
      </rPr>
      <t xml:space="preserve">調整為空白。
</t>
    </r>
    <r>
      <rPr>
        <sz val="10"/>
        <color theme="1"/>
        <rFont val="Arial"/>
        <family val="2"/>
      </rPr>
      <t xml:space="preserve">7-1-4. </t>
    </r>
    <r>
      <rPr>
        <sz val="10"/>
        <color theme="1"/>
        <rFont val="微軟正黑體"/>
        <family val="2"/>
        <charset val="136"/>
      </rPr>
      <t>新增</t>
    </r>
    <r>
      <rPr>
        <sz val="10"/>
        <color theme="1"/>
        <rFont val="Arial"/>
        <family val="2"/>
      </rPr>
      <t>row 38~43</t>
    </r>
    <r>
      <rPr>
        <sz val="10"/>
        <color theme="1"/>
        <rFont val="微軟正黑體"/>
        <family val="2"/>
        <charset val="136"/>
      </rPr>
      <t xml:space="preserve">。
</t>
    </r>
    <r>
      <rPr>
        <sz val="10"/>
        <color theme="1"/>
        <rFont val="Arial"/>
        <family val="2"/>
      </rPr>
      <t xml:space="preserve">7-1-5. </t>
    </r>
    <r>
      <rPr>
        <sz val="10"/>
        <color theme="1"/>
        <rFont val="微軟正黑體"/>
        <family val="2"/>
        <charset val="136"/>
      </rPr>
      <t>欄位</t>
    </r>
    <r>
      <rPr>
        <sz val="10"/>
        <color theme="1"/>
        <rFont val="Arial"/>
        <family val="2"/>
      </rPr>
      <t>D14</t>
    </r>
    <r>
      <rPr>
        <sz val="10"/>
        <color theme="1"/>
        <rFont val="微軟正黑體"/>
        <family val="2"/>
        <charset val="136"/>
      </rPr>
      <t>調整為</t>
    </r>
    <r>
      <rPr>
        <strike/>
        <sz val="10"/>
        <color rgb="FFFF0000"/>
        <rFont val="Arial"/>
        <family val="2"/>
      </rPr>
      <t>14</t>
    </r>
    <r>
      <rPr>
        <sz val="10"/>
        <color theme="1"/>
        <rFont val="Arial"/>
        <family val="2"/>
      </rPr>
      <t>6</t>
    </r>
    <r>
      <rPr>
        <sz val="10"/>
        <color theme="1"/>
        <rFont val="微軟正黑體"/>
        <family val="2"/>
        <charset val="136"/>
      </rPr>
      <t>、</t>
    </r>
    <r>
      <rPr>
        <sz val="10"/>
        <color theme="1"/>
        <rFont val="Arial"/>
        <family val="2"/>
      </rPr>
      <t>G15</t>
    </r>
    <r>
      <rPr>
        <sz val="10"/>
        <color theme="1"/>
        <rFont val="微軟正黑體"/>
        <family val="2"/>
        <charset val="136"/>
      </rPr>
      <t>調整為</t>
    </r>
    <r>
      <rPr>
        <sz val="10"/>
        <color theme="1"/>
        <rFont val="Arial"/>
        <family val="2"/>
      </rPr>
      <t>40</t>
    </r>
    <r>
      <rPr>
        <sz val="10"/>
        <color theme="1"/>
        <rFont val="微軟正黑體"/>
        <family val="2"/>
        <charset val="136"/>
      </rPr>
      <t xml:space="preserve">。
</t>
    </r>
    <r>
      <rPr>
        <sz val="10"/>
        <color theme="1"/>
        <rFont val="Arial"/>
        <family val="2"/>
      </rPr>
      <t xml:space="preserve">7-1-6. </t>
    </r>
    <r>
      <rPr>
        <sz val="10"/>
        <color theme="1"/>
        <rFont val="微軟正黑體"/>
        <family val="2"/>
        <charset val="136"/>
      </rPr>
      <t>欄位</t>
    </r>
    <r>
      <rPr>
        <sz val="10"/>
        <color theme="1"/>
        <rFont val="Arial"/>
        <family val="2"/>
      </rPr>
      <t>R10</t>
    </r>
    <r>
      <rPr>
        <sz val="10"/>
        <color theme="1"/>
        <rFont val="微軟正黑體"/>
        <family val="2"/>
        <charset val="136"/>
      </rPr>
      <t>、</t>
    </r>
    <r>
      <rPr>
        <sz val="10"/>
        <color theme="1"/>
        <rFont val="Arial"/>
        <family val="2"/>
      </rPr>
      <t>R36</t>
    </r>
    <r>
      <rPr>
        <sz val="10"/>
        <color theme="1"/>
        <rFont val="微軟正黑體"/>
        <family val="2"/>
        <charset val="136"/>
      </rPr>
      <t>調整為</t>
    </r>
    <r>
      <rPr>
        <sz val="10"/>
        <color theme="1"/>
        <rFont val="Arial"/>
        <family val="2"/>
      </rPr>
      <t>01/03</t>
    </r>
    <r>
      <rPr>
        <sz val="10"/>
        <color theme="1"/>
        <rFont val="微軟正黑體"/>
        <family val="2"/>
        <charset val="136"/>
      </rPr>
      <t xml:space="preserve">。
</t>
    </r>
    <r>
      <rPr>
        <sz val="10"/>
        <color theme="1"/>
        <rFont val="Arial"/>
        <family val="2"/>
      </rPr>
      <t xml:space="preserve">7-1-7. </t>
    </r>
    <r>
      <rPr>
        <sz val="10"/>
        <color theme="1"/>
        <rFont val="微軟正黑體"/>
        <family val="2"/>
        <charset val="136"/>
      </rPr>
      <t>欄位</t>
    </r>
    <r>
      <rPr>
        <sz val="10"/>
        <color theme="1"/>
        <rFont val="Arial"/>
        <family val="2"/>
      </rPr>
      <t>S12</t>
    </r>
    <r>
      <rPr>
        <sz val="10"/>
        <color theme="1"/>
        <rFont val="微軟正黑體"/>
        <family val="2"/>
        <charset val="136"/>
      </rPr>
      <t>、</t>
    </r>
    <r>
      <rPr>
        <sz val="10"/>
        <color theme="1"/>
        <rFont val="Arial"/>
        <family val="2"/>
      </rPr>
      <t>S38</t>
    </r>
    <r>
      <rPr>
        <sz val="10"/>
        <color theme="1"/>
        <rFont val="微軟正黑體"/>
        <family val="2"/>
        <charset val="136"/>
      </rPr>
      <t>、</t>
    </r>
    <r>
      <rPr>
        <sz val="10"/>
        <color theme="1"/>
        <rFont val="Arial"/>
        <family val="2"/>
      </rPr>
      <t>S40</t>
    </r>
    <r>
      <rPr>
        <sz val="10"/>
        <color theme="1"/>
        <rFont val="微軟正黑體"/>
        <family val="2"/>
        <charset val="136"/>
      </rPr>
      <t>、</t>
    </r>
    <r>
      <rPr>
        <sz val="10"/>
        <color theme="1"/>
        <rFont val="Arial"/>
        <family val="2"/>
      </rPr>
      <t>S42</t>
    </r>
    <r>
      <rPr>
        <sz val="10"/>
        <color theme="1"/>
        <rFont val="微軟正黑體"/>
        <family val="2"/>
        <charset val="136"/>
      </rPr>
      <t>調整為</t>
    </r>
    <r>
      <rPr>
        <sz val="10"/>
        <color theme="1"/>
        <rFont val="Arial"/>
        <family val="2"/>
      </rPr>
      <t>02</t>
    </r>
    <r>
      <rPr>
        <sz val="10"/>
        <color theme="1"/>
        <rFont val="微軟正黑體"/>
        <family val="2"/>
        <charset val="136"/>
      </rPr>
      <t xml:space="preserve">。
</t>
    </r>
    <r>
      <rPr>
        <sz val="10"/>
        <color theme="1"/>
        <rFont val="Arial"/>
        <family val="2"/>
      </rPr>
      <t xml:space="preserve">7-2. </t>
    </r>
    <r>
      <rPr>
        <sz val="10"/>
        <color theme="1"/>
        <rFont val="微軟正黑體"/>
        <family val="2"/>
        <charset val="136"/>
      </rPr>
      <t>補充欄位</t>
    </r>
    <r>
      <rPr>
        <sz val="10"/>
        <color theme="1"/>
        <rFont val="Arial"/>
        <family val="2"/>
      </rPr>
      <t>M11</t>
    </r>
    <r>
      <rPr>
        <sz val="10"/>
        <color theme="1"/>
        <rFont val="微軟正黑體"/>
        <family val="2"/>
        <charset val="136"/>
      </rPr>
      <t>、</t>
    </r>
    <r>
      <rPr>
        <sz val="10"/>
        <color theme="1"/>
        <rFont val="Arial"/>
        <family val="2"/>
      </rPr>
      <t>M13</t>
    </r>
    <r>
      <rPr>
        <sz val="10"/>
        <color theme="1"/>
        <rFont val="微軟正黑體"/>
        <family val="2"/>
        <charset val="136"/>
      </rPr>
      <t>、</t>
    </r>
    <r>
      <rPr>
        <sz val="10"/>
        <color theme="1"/>
        <rFont val="Arial"/>
        <family val="2"/>
      </rPr>
      <t>M15</t>
    </r>
    <r>
      <rPr>
        <sz val="10"/>
        <color theme="1"/>
        <rFont val="微軟正黑體"/>
        <family val="2"/>
        <charset val="136"/>
      </rPr>
      <t>、</t>
    </r>
    <r>
      <rPr>
        <sz val="10"/>
        <color theme="1"/>
        <rFont val="Arial"/>
        <family val="2"/>
      </rPr>
      <t>M17</t>
    </r>
    <r>
      <rPr>
        <sz val="10"/>
        <color theme="1"/>
        <rFont val="微軟正黑體"/>
        <family val="2"/>
        <charset val="136"/>
      </rPr>
      <t>、</t>
    </r>
    <r>
      <rPr>
        <sz val="10"/>
        <color theme="1"/>
        <rFont val="Arial"/>
        <family val="2"/>
      </rPr>
      <t>M19</t>
    </r>
    <r>
      <rPr>
        <sz val="10"/>
        <color theme="1"/>
        <rFont val="微軟正黑體"/>
        <family val="2"/>
        <charset val="136"/>
      </rPr>
      <t>、</t>
    </r>
    <r>
      <rPr>
        <sz val="10"/>
        <color theme="1"/>
        <rFont val="Arial"/>
        <family val="2"/>
      </rPr>
      <t>M21</t>
    </r>
    <r>
      <rPr>
        <sz val="10"/>
        <color theme="1"/>
        <rFont val="微軟正黑體"/>
        <family val="2"/>
        <charset val="136"/>
      </rPr>
      <t>、</t>
    </r>
    <r>
      <rPr>
        <sz val="10"/>
        <color theme="1"/>
        <rFont val="Arial"/>
        <family val="2"/>
      </rPr>
      <t>M23</t>
    </r>
    <r>
      <rPr>
        <sz val="10"/>
        <color theme="1"/>
        <rFont val="微軟正黑體"/>
        <family val="2"/>
        <charset val="136"/>
      </rPr>
      <t>、</t>
    </r>
    <r>
      <rPr>
        <sz val="10"/>
        <color theme="1"/>
        <rFont val="Arial"/>
        <family val="2"/>
      </rPr>
      <t>M25</t>
    </r>
    <r>
      <rPr>
        <sz val="10"/>
        <color theme="1"/>
        <rFont val="微軟正黑體"/>
        <family val="2"/>
        <charset val="136"/>
      </rPr>
      <t>、</t>
    </r>
    <r>
      <rPr>
        <sz val="10"/>
        <color theme="1"/>
        <rFont val="Arial"/>
        <family val="2"/>
      </rPr>
      <t>M27</t>
    </r>
    <r>
      <rPr>
        <sz val="10"/>
        <color theme="1"/>
        <rFont val="微軟正黑體"/>
        <family val="2"/>
        <charset val="136"/>
      </rPr>
      <t>、</t>
    </r>
    <r>
      <rPr>
        <sz val="10"/>
        <color theme="1"/>
        <rFont val="Arial"/>
        <family val="2"/>
      </rPr>
      <t>M29</t>
    </r>
    <r>
      <rPr>
        <sz val="10"/>
        <color theme="1"/>
        <rFont val="微軟正黑體"/>
        <family val="2"/>
        <charset val="136"/>
      </rPr>
      <t xml:space="preserve">內容。
</t>
    </r>
    <r>
      <rPr>
        <sz val="10"/>
        <color theme="1"/>
        <rFont val="Arial"/>
        <family val="2"/>
      </rPr>
      <t xml:space="preserve">8. </t>
    </r>
    <r>
      <rPr>
        <sz val="10"/>
        <color theme="1"/>
        <rFont val="微軟正黑體"/>
        <family val="2"/>
        <charset val="136"/>
      </rPr>
      <t>補充欄位</t>
    </r>
    <r>
      <rPr>
        <sz val="10"/>
        <color theme="1"/>
        <rFont val="Arial"/>
        <family val="2"/>
      </rPr>
      <t>P15</t>
    </r>
    <r>
      <rPr>
        <sz val="10"/>
        <color theme="1"/>
        <rFont val="微軟正黑體"/>
        <family val="2"/>
        <charset val="136"/>
      </rPr>
      <t>、</t>
    </r>
    <r>
      <rPr>
        <sz val="10"/>
        <color theme="1"/>
        <rFont val="Arial"/>
        <family val="2"/>
      </rPr>
      <t>P16</t>
    </r>
    <r>
      <rPr>
        <sz val="10"/>
        <color theme="1"/>
        <rFont val="微軟正黑體"/>
        <family val="2"/>
        <charset val="136"/>
      </rPr>
      <t>、</t>
    </r>
    <r>
      <rPr>
        <sz val="10"/>
        <color theme="1"/>
        <rFont val="Arial"/>
        <family val="2"/>
      </rPr>
      <t>P17</t>
    </r>
    <r>
      <rPr>
        <sz val="10"/>
        <color theme="1"/>
        <rFont val="微軟正黑體"/>
        <family val="2"/>
        <charset val="136"/>
      </rPr>
      <t>、</t>
    </r>
    <r>
      <rPr>
        <sz val="10"/>
        <color theme="1"/>
        <rFont val="Arial"/>
        <family val="2"/>
      </rPr>
      <t>P19</t>
    </r>
    <r>
      <rPr>
        <sz val="10"/>
        <color theme="1"/>
        <rFont val="微軟正黑體"/>
        <family val="2"/>
        <charset val="136"/>
      </rPr>
      <t xml:space="preserve">內容。
</t>
    </r>
    <r>
      <rPr>
        <sz val="10"/>
        <color theme="1"/>
        <rFont val="Arial"/>
        <family val="2"/>
      </rPr>
      <t xml:space="preserve">9-1. </t>
    </r>
    <r>
      <rPr>
        <sz val="10"/>
        <color theme="1"/>
        <rFont val="微軟正黑體"/>
        <family val="2"/>
        <charset val="136"/>
      </rPr>
      <t>對應新版</t>
    </r>
    <r>
      <rPr>
        <sz val="10"/>
        <color theme="1"/>
        <rFont val="Arial"/>
        <family val="2"/>
      </rPr>
      <t>FSE"FSE-F00005 Requirement Specification Diagnostic Communication revision D_20230612"</t>
    </r>
    <r>
      <rPr>
        <sz val="10"/>
        <color theme="1"/>
        <rFont val="微軟正黑體"/>
        <family val="2"/>
        <charset val="136"/>
      </rPr>
      <t xml:space="preserve">，
</t>
    </r>
    <r>
      <rPr>
        <sz val="10"/>
        <color theme="1"/>
        <rFont val="Arial"/>
        <family val="2"/>
      </rPr>
      <t xml:space="preserve">9-1-1. </t>
    </r>
    <r>
      <rPr>
        <sz val="10"/>
        <color theme="1"/>
        <rFont val="微軟正黑體"/>
        <family val="2"/>
        <charset val="136"/>
      </rPr>
      <t>移除</t>
    </r>
    <r>
      <rPr>
        <sz val="10"/>
        <color theme="1"/>
        <rFont val="Arial"/>
        <family val="2"/>
      </rPr>
      <t>0x2203</t>
    </r>
    <r>
      <rPr>
        <sz val="10"/>
        <color theme="1"/>
        <rFont val="微軟正黑體"/>
        <family val="2"/>
        <charset val="136"/>
      </rPr>
      <t>，刪除</t>
    </r>
    <r>
      <rPr>
        <sz val="10"/>
        <color theme="1"/>
        <rFont val="Arial"/>
        <family val="2"/>
      </rPr>
      <t>row 18~row 21</t>
    </r>
    <r>
      <rPr>
        <sz val="10"/>
        <color theme="1"/>
        <rFont val="微軟正黑體"/>
        <family val="2"/>
        <charset val="136"/>
      </rPr>
      <t xml:space="preserve">。
</t>
    </r>
    <r>
      <rPr>
        <sz val="10"/>
        <color theme="1"/>
        <rFont val="Arial"/>
        <family val="2"/>
      </rPr>
      <t xml:space="preserve">9-1-2. </t>
    </r>
    <r>
      <rPr>
        <sz val="10"/>
        <color theme="1"/>
        <rFont val="微軟正黑體"/>
        <family val="2"/>
        <charset val="136"/>
      </rPr>
      <t>欄位</t>
    </r>
    <r>
      <rPr>
        <sz val="10"/>
        <color theme="1"/>
        <rFont val="Arial"/>
        <family val="2"/>
      </rPr>
      <t>P14</t>
    </r>
    <r>
      <rPr>
        <sz val="10"/>
        <color theme="1"/>
        <rFont val="微軟正黑體"/>
        <family val="2"/>
        <charset val="136"/>
      </rPr>
      <t xml:space="preserve">內容調整為
</t>
    </r>
    <r>
      <rPr>
        <sz val="10"/>
        <color theme="1"/>
        <rFont val="Arial"/>
        <family val="2"/>
      </rPr>
      <t xml:space="preserve">0x01: erase correctly.
0x00: erase incorrectly.
9-1-3. </t>
    </r>
    <r>
      <rPr>
        <sz val="10"/>
        <color theme="1"/>
        <rFont val="微軟正黑體"/>
        <family val="2"/>
        <charset val="136"/>
      </rPr>
      <t>欄位</t>
    </r>
    <r>
      <rPr>
        <sz val="10"/>
        <color theme="1"/>
        <rFont val="Arial"/>
        <family val="2"/>
      </rPr>
      <t>P17</t>
    </r>
    <r>
      <rPr>
        <sz val="10"/>
        <color theme="1"/>
        <rFont val="微軟正黑體"/>
        <family val="2"/>
        <charset val="136"/>
      </rPr>
      <t xml:space="preserve">內容調整為
</t>
    </r>
    <r>
      <rPr>
        <sz val="10"/>
        <color theme="1"/>
        <rFont val="Arial"/>
        <family val="2"/>
      </rPr>
      <t xml:space="preserve">0x01: CRC check correctly.
0x00: CRC check incorrectly.
9-2. </t>
    </r>
    <r>
      <rPr>
        <sz val="10"/>
        <color theme="1"/>
        <rFont val="微軟正黑體"/>
        <family val="2"/>
        <charset val="136"/>
      </rPr>
      <t>補充欄位</t>
    </r>
    <r>
      <rPr>
        <sz val="10"/>
        <color theme="1"/>
        <rFont val="Arial"/>
        <family val="2"/>
      </rPr>
      <t>O11</t>
    </r>
    <r>
      <rPr>
        <sz val="10"/>
        <color theme="1"/>
        <rFont val="微軟正黑體"/>
        <family val="2"/>
        <charset val="136"/>
      </rPr>
      <t>、</t>
    </r>
    <r>
      <rPr>
        <sz val="10"/>
        <color theme="1"/>
        <rFont val="Arial"/>
        <family val="2"/>
      </rPr>
      <t>O12</t>
    </r>
    <r>
      <rPr>
        <sz val="10"/>
        <color theme="1"/>
        <rFont val="微軟正黑體"/>
        <family val="2"/>
        <charset val="136"/>
      </rPr>
      <t>、</t>
    </r>
    <r>
      <rPr>
        <sz val="10"/>
        <color theme="1"/>
        <rFont val="Arial"/>
        <family val="2"/>
      </rPr>
      <t>O14</t>
    </r>
    <r>
      <rPr>
        <sz val="10"/>
        <color theme="1"/>
        <rFont val="微軟正黑體"/>
        <family val="2"/>
        <charset val="136"/>
      </rPr>
      <t>、</t>
    </r>
    <r>
      <rPr>
        <sz val="10"/>
        <color theme="1"/>
        <rFont val="Arial"/>
        <family val="2"/>
      </rPr>
      <t>O17</t>
    </r>
    <r>
      <rPr>
        <sz val="10"/>
        <color theme="1"/>
        <rFont val="微軟正黑體"/>
        <family val="2"/>
        <charset val="136"/>
      </rPr>
      <t>、</t>
    </r>
    <r>
      <rPr>
        <strike/>
        <sz val="10"/>
        <color rgb="FFFF0000"/>
        <rFont val="Arial"/>
        <family val="2"/>
      </rPr>
      <t>O19</t>
    </r>
    <r>
      <rPr>
        <strike/>
        <sz val="10"/>
        <color rgb="FFFF0000"/>
        <rFont val="微軟正黑體"/>
        <family val="2"/>
        <charset val="136"/>
      </rPr>
      <t>、</t>
    </r>
    <r>
      <rPr>
        <strike/>
        <sz val="10"/>
        <color rgb="FFFF0000"/>
        <rFont val="Arial"/>
        <family val="2"/>
      </rPr>
      <t>O21</t>
    </r>
    <r>
      <rPr>
        <sz val="10"/>
        <color theme="1"/>
        <rFont val="微軟正黑體"/>
        <family val="2"/>
        <charset val="136"/>
      </rPr>
      <t xml:space="preserve">內容。
</t>
    </r>
    <r>
      <rPr>
        <sz val="10"/>
        <color theme="1"/>
        <rFont val="Arial"/>
        <family val="2"/>
      </rPr>
      <t xml:space="preserve">10. </t>
    </r>
    <r>
      <rPr>
        <sz val="10"/>
        <color theme="1"/>
        <rFont val="微軟正黑體"/>
        <family val="2"/>
        <charset val="136"/>
      </rPr>
      <t>對應新版</t>
    </r>
    <r>
      <rPr>
        <sz val="10"/>
        <color theme="1"/>
        <rFont val="Arial"/>
        <family val="2"/>
      </rPr>
      <t>FSE"FSE-F00005 Requirement Specification Diagnostic Communication revision D_20230612"</t>
    </r>
    <r>
      <rPr>
        <sz val="10"/>
        <color theme="1"/>
        <rFont val="微軟正黑體"/>
        <family val="2"/>
        <charset val="136"/>
      </rPr>
      <t>，更新</t>
    </r>
    <r>
      <rPr>
        <sz val="10"/>
        <color theme="1"/>
        <rFont val="Arial"/>
        <family val="2"/>
      </rPr>
      <t>Bootloader</t>
    </r>
    <r>
      <rPr>
        <sz val="10"/>
        <color theme="1"/>
        <rFont val="微軟正黑體"/>
        <family val="2"/>
        <charset val="136"/>
      </rPr>
      <t>流程圖。</t>
    </r>
    <phoneticPr fontId="45" type="noConversion"/>
  </si>
  <si>
    <t>DTC</t>
  </si>
  <si>
    <t>Diagnostic Trouble Code</t>
  </si>
  <si>
    <t>K</t>
    <phoneticPr fontId="45" type="noConversion"/>
  </si>
  <si>
    <t>2023/8/24</t>
    <phoneticPr fontId="45" type="noConversion"/>
  </si>
  <si>
    <t>1. Cover
2. Introduction
3. GeneralInfo
4. Services
5. 28Service
6. DTCList
7. Snapshot
8. ExtendedData
9. DIDList
10. DIDData
11. 2FService
12. 31Service
13. 23_3DService
14. 2AService</t>
    <phoneticPr fontId="45" type="noConversion"/>
  </si>
  <si>
    <r>
      <t xml:space="preserve">1-1. </t>
    </r>
    <r>
      <rPr>
        <sz val="10"/>
        <color theme="1"/>
        <rFont val="微軟正黑體"/>
        <family val="2"/>
        <charset val="136"/>
      </rPr>
      <t>欄位</t>
    </r>
    <r>
      <rPr>
        <sz val="10"/>
        <color theme="1"/>
        <rFont val="Arial"/>
        <family val="2"/>
      </rPr>
      <t>J6</t>
    </r>
    <r>
      <rPr>
        <sz val="10"/>
        <color theme="1"/>
        <rFont val="微軟正黑體"/>
        <family val="2"/>
        <charset val="136"/>
      </rPr>
      <t xml:space="preserve">調整為空白。
</t>
    </r>
    <r>
      <rPr>
        <sz val="10"/>
        <color theme="1"/>
        <rFont val="Arial"/>
        <family val="2"/>
      </rPr>
      <t xml:space="preserve">1-2. </t>
    </r>
    <r>
      <rPr>
        <sz val="10"/>
        <color theme="1"/>
        <rFont val="微軟正黑體"/>
        <family val="2"/>
        <charset val="136"/>
      </rPr>
      <t>調整欄位</t>
    </r>
    <r>
      <rPr>
        <sz val="10"/>
        <color theme="1"/>
        <rFont val="Arial"/>
        <family val="2"/>
      </rPr>
      <t>A14</t>
    </r>
    <r>
      <rPr>
        <sz val="10"/>
        <color theme="1"/>
        <rFont val="微軟正黑體"/>
        <family val="2"/>
        <charset val="136"/>
      </rPr>
      <t xml:space="preserve">內容。
</t>
    </r>
    <r>
      <rPr>
        <sz val="10"/>
        <color theme="1"/>
        <rFont val="Arial"/>
        <family val="2"/>
      </rPr>
      <t xml:space="preserve">1-3. </t>
    </r>
    <r>
      <rPr>
        <sz val="10"/>
        <color theme="1"/>
        <rFont val="微軟正黑體"/>
        <family val="2"/>
        <charset val="136"/>
      </rPr>
      <t>欄位</t>
    </r>
    <r>
      <rPr>
        <sz val="10"/>
        <color theme="1"/>
        <rFont val="Arial"/>
        <family val="2"/>
      </rPr>
      <t>E14</t>
    </r>
    <r>
      <rPr>
        <sz val="10"/>
        <color theme="1"/>
        <rFont val="微軟正黑體"/>
        <family val="2"/>
        <charset val="136"/>
      </rPr>
      <t>、</t>
    </r>
    <r>
      <rPr>
        <sz val="10"/>
        <color theme="1"/>
        <rFont val="Arial"/>
        <family val="2"/>
      </rPr>
      <t>E15</t>
    </r>
    <r>
      <rPr>
        <sz val="10"/>
        <color theme="1"/>
        <rFont val="微軟正黑體"/>
        <family val="2"/>
        <charset val="136"/>
      </rPr>
      <t>、</t>
    </r>
    <r>
      <rPr>
        <sz val="10"/>
        <color theme="1"/>
        <rFont val="Arial"/>
        <family val="2"/>
      </rPr>
      <t>E16</t>
    </r>
    <r>
      <rPr>
        <sz val="10"/>
        <color theme="1"/>
        <rFont val="微軟正黑體"/>
        <family val="2"/>
        <charset val="136"/>
      </rPr>
      <t xml:space="preserve">調整為空白。
</t>
    </r>
    <r>
      <rPr>
        <sz val="10"/>
        <color theme="1"/>
        <rFont val="Arial"/>
        <family val="2"/>
      </rPr>
      <t xml:space="preserve">1-4. </t>
    </r>
    <r>
      <rPr>
        <sz val="10"/>
        <color theme="1"/>
        <rFont val="微軟正黑體"/>
        <family val="2"/>
        <charset val="136"/>
      </rPr>
      <t>欄位</t>
    </r>
    <r>
      <rPr>
        <sz val="10"/>
        <color theme="1"/>
        <rFont val="Arial"/>
        <family val="2"/>
      </rPr>
      <t>G15</t>
    </r>
    <r>
      <rPr>
        <sz val="10"/>
        <color theme="1"/>
        <rFont val="微軟正黑體"/>
        <family val="2"/>
        <charset val="136"/>
      </rPr>
      <t>、</t>
    </r>
    <r>
      <rPr>
        <sz val="10"/>
        <color theme="1"/>
        <rFont val="Arial"/>
        <family val="2"/>
      </rPr>
      <t>H15</t>
    </r>
    <r>
      <rPr>
        <sz val="10"/>
        <color theme="1"/>
        <rFont val="微軟正黑體"/>
        <family val="2"/>
        <charset val="136"/>
      </rPr>
      <t>、</t>
    </r>
    <r>
      <rPr>
        <sz val="10"/>
        <color theme="1"/>
        <rFont val="Arial"/>
        <family val="2"/>
      </rPr>
      <t>I15</t>
    </r>
    <r>
      <rPr>
        <sz val="10"/>
        <color theme="1"/>
        <rFont val="微軟正黑體"/>
        <family val="2"/>
        <charset val="136"/>
      </rPr>
      <t>、</t>
    </r>
    <r>
      <rPr>
        <sz val="10"/>
        <color theme="1"/>
        <rFont val="Arial"/>
        <family val="2"/>
      </rPr>
      <t>J15</t>
    </r>
    <r>
      <rPr>
        <sz val="10"/>
        <color theme="1"/>
        <rFont val="微軟正黑體"/>
        <family val="2"/>
        <charset val="136"/>
      </rPr>
      <t xml:space="preserve">調整為空白。
</t>
    </r>
    <r>
      <rPr>
        <sz val="10"/>
        <color theme="1"/>
        <rFont val="Arial"/>
        <family val="2"/>
      </rPr>
      <t xml:space="preserve">2. </t>
    </r>
    <r>
      <rPr>
        <sz val="10"/>
        <color theme="1"/>
        <rFont val="微軟正黑體"/>
        <family val="2"/>
        <charset val="136"/>
      </rPr>
      <t>欄位</t>
    </r>
    <r>
      <rPr>
        <sz val="10"/>
        <color theme="1"/>
        <rFont val="Arial"/>
        <family val="2"/>
      </rPr>
      <t>G14</t>
    </r>
    <r>
      <rPr>
        <sz val="10"/>
        <color theme="1"/>
        <rFont val="微軟正黑體"/>
        <family val="2"/>
        <charset val="136"/>
      </rPr>
      <t>誤記更正</t>
    </r>
    <r>
      <rPr>
        <sz val="10"/>
        <color theme="1"/>
        <rFont val="Arial"/>
        <family val="2"/>
      </rPr>
      <t xml:space="preserve">(7-1-5. </t>
    </r>
    <r>
      <rPr>
        <sz val="10"/>
        <color theme="1"/>
        <rFont val="微軟正黑體"/>
        <family val="2"/>
        <charset val="136"/>
      </rPr>
      <t>、</t>
    </r>
    <r>
      <rPr>
        <sz val="10"/>
        <color theme="1"/>
        <rFont val="Arial"/>
        <family val="2"/>
      </rPr>
      <t>9-2)</t>
    </r>
    <r>
      <rPr>
        <sz val="10"/>
        <color theme="1"/>
        <rFont val="微軟正黑體"/>
        <family val="2"/>
        <charset val="136"/>
      </rPr>
      <t xml:space="preserve">。
</t>
    </r>
    <r>
      <rPr>
        <sz val="10"/>
        <color theme="1"/>
        <rFont val="Arial"/>
        <family val="2"/>
      </rPr>
      <t xml:space="preserve">3-1. </t>
    </r>
    <r>
      <rPr>
        <sz val="10"/>
        <color theme="1"/>
        <rFont val="微軟正黑體"/>
        <family val="2"/>
        <charset val="136"/>
      </rPr>
      <t>新增</t>
    </r>
    <r>
      <rPr>
        <sz val="10"/>
        <color theme="1"/>
        <rFont val="Arial"/>
        <family val="2"/>
      </rPr>
      <t>A6</t>
    </r>
    <r>
      <rPr>
        <sz val="10"/>
        <color theme="1"/>
        <rFont val="微軟正黑體"/>
        <family val="2"/>
        <charset val="136"/>
      </rPr>
      <t>、</t>
    </r>
    <r>
      <rPr>
        <sz val="10"/>
        <color theme="1"/>
        <rFont val="Arial"/>
        <family val="2"/>
      </rPr>
      <t>A7</t>
    </r>
    <r>
      <rPr>
        <sz val="10"/>
        <color theme="1"/>
        <rFont val="微軟正黑體"/>
        <family val="2"/>
        <charset val="136"/>
      </rPr>
      <t>、</t>
    </r>
    <r>
      <rPr>
        <sz val="10"/>
        <color theme="1"/>
        <rFont val="Arial"/>
        <family val="2"/>
      </rPr>
      <t>A8</t>
    </r>
    <r>
      <rPr>
        <sz val="10"/>
        <color theme="1"/>
        <rFont val="微軟正黑體"/>
        <family val="2"/>
        <charset val="136"/>
      </rPr>
      <t xml:space="preserve">。
</t>
    </r>
    <r>
      <rPr>
        <sz val="10"/>
        <color theme="1"/>
        <rFont val="Arial"/>
        <family val="2"/>
      </rPr>
      <t xml:space="preserve">3-2. </t>
    </r>
    <r>
      <rPr>
        <sz val="10"/>
        <color theme="1"/>
        <rFont val="微軟正黑體"/>
        <family val="2"/>
        <charset val="136"/>
      </rPr>
      <t>調整欄位</t>
    </r>
    <r>
      <rPr>
        <sz val="10"/>
        <color theme="1"/>
        <rFont val="Arial"/>
        <family val="2"/>
      </rPr>
      <t>B8</t>
    </r>
    <r>
      <rPr>
        <sz val="10"/>
        <color theme="1"/>
        <rFont val="微軟正黑體"/>
        <family val="2"/>
        <charset val="136"/>
      </rPr>
      <t>、</t>
    </r>
    <r>
      <rPr>
        <sz val="10"/>
        <color theme="1"/>
        <rFont val="Arial"/>
        <family val="2"/>
      </rPr>
      <t>E33</t>
    </r>
    <r>
      <rPr>
        <sz val="10"/>
        <color theme="1"/>
        <rFont val="微軟正黑體"/>
        <family val="2"/>
        <charset val="136"/>
      </rPr>
      <t>內容。</t>
    </r>
    <r>
      <rPr>
        <sz val="10"/>
        <color theme="1"/>
        <rFont val="Arial"/>
        <family val="2"/>
      </rPr>
      <t xml:space="preserve"> 
4. </t>
    </r>
    <r>
      <rPr>
        <sz val="10"/>
        <color theme="1"/>
        <rFont val="微軟正黑體"/>
        <family val="2"/>
        <charset val="136"/>
      </rPr>
      <t>欄位</t>
    </r>
    <r>
      <rPr>
        <sz val="10"/>
        <color theme="1"/>
        <rFont val="Arial"/>
        <family val="2"/>
      </rPr>
      <t>H8</t>
    </r>
    <r>
      <rPr>
        <sz val="10"/>
        <color theme="1"/>
        <rFont val="微軟正黑體"/>
        <family val="2"/>
        <charset val="136"/>
      </rPr>
      <t>、</t>
    </r>
    <r>
      <rPr>
        <sz val="10"/>
        <color theme="1"/>
        <rFont val="Arial"/>
        <family val="2"/>
      </rPr>
      <t>H10</t>
    </r>
    <r>
      <rPr>
        <sz val="10"/>
        <color theme="1"/>
        <rFont val="微軟正黑體"/>
        <family val="2"/>
        <charset val="136"/>
      </rPr>
      <t xml:space="preserve">調整為空白。
</t>
    </r>
    <r>
      <rPr>
        <sz val="10"/>
        <color theme="1"/>
        <rFont val="Arial"/>
        <family val="2"/>
      </rPr>
      <t xml:space="preserve">5. </t>
    </r>
    <r>
      <rPr>
        <sz val="10"/>
        <color theme="1"/>
        <rFont val="微軟正黑體"/>
        <family val="2"/>
        <charset val="136"/>
      </rPr>
      <t>欄位</t>
    </r>
    <r>
      <rPr>
        <sz val="10"/>
        <color theme="1"/>
        <rFont val="Arial"/>
        <family val="2"/>
      </rPr>
      <t>E7</t>
    </r>
    <r>
      <rPr>
        <sz val="10"/>
        <color theme="1"/>
        <rFont val="微軟正黑體"/>
        <family val="2"/>
        <charset val="136"/>
      </rPr>
      <t>、</t>
    </r>
    <r>
      <rPr>
        <sz val="10"/>
        <color theme="1"/>
        <rFont val="Arial"/>
        <family val="2"/>
      </rPr>
      <t>F7</t>
    </r>
    <r>
      <rPr>
        <sz val="10"/>
        <color theme="1"/>
        <rFont val="微軟正黑體"/>
        <family val="2"/>
        <charset val="136"/>
      </rPr>
      <t>、</t>
    </r>
    <r>
      <rPr>
        <sz val="10"/>
        <color theme="1"/>
        <rFont val="Arial"/>
        <family val="2"/>
      </rPr>
      <t>D8</t>
    </r>
    <r>
      <rPr>
        <sz val="10"/>
        <color theme="1"/>
        <rFont val="微軟正黑體"/>
        <family val="2"/>
        <charset val="136"/>
      </rPr>
      <t>、</t>
    </r>
    <r>
      <rPr>
        <sz val="10"/>
        <color theme="1"/>
        <rFont val="Arial"/>
        <family val="2"/>
      </rPr>
      <t>E8</t>
    </r>
    <r>
      <rPr>
        <sz val="10"/>
        <color theme="1"/>
        <rFont val="微軟正黑體"/>
        <family val="2"/>
        <charset val="136"/>
      </rPr>
      <t>、</t>
    </r>
    <r>
      <rPr>
        <sz val="10"/>
        <color theme="1"/>
        <rFont val="Arial"/>
        <family val="2"/>
      </rPr>
      <t>F8</t>
    </r>
    <r>
      <rPr>
        <sz val="10"/>
        <color theme="1"/>
        <rFont val="微軟正黑體"/>
        <family val="2"/>
        <charset val="136"/>
      </rPr>
      <t>、</t>
    </r>
    <r>
      <rPr>
        <sz val="10"/>
        <color theme="1"/>
        <rFont val="Arial"/>
        <family val="2"/>
      </rPr>
      <t>D9</t>
    </r>
    <r>
      <rPr>
        <sz val="10"/>
        <color theme="1"/>
        <rFont val="微軟正黑體"/>
        <family val="2"/>
        <charset val="136"/>
      </rPr>
      <t>、</t>
    </r>
    <r>
      <rPr>
        <sz val="10"/>
        <color theme="1"/>
        <rFont val="Arial"/>
        <family val="2"/>
      </rPr>
      <t>E9</t>
    </r>
    <r>
      <rPr>
        <sz val="10"/>
        <color theme="1"/>
        <rFont val="微軟正黑體"/>
        <family val="2"/>
        <charset val="136"/>
      </rPr>
      <t>、</t>
    </r>
    <r>
      <rPr>
        <sz val="10"/>
        <color theme="1"/>
        <rFont val="Arial"/>
        <family val="2"/>
      </rPr>
      <t>F9</t>
    </r>
    <r>
      <rPr>
        <sz val="10"/>
        <color theme="1"/>
        <rFont val="微軟正黑體"/>
        <family val="2"/>
        <charset val="136"/>
      </rPr>
      <t>、</t>
    </r>
    <r>
      <rPr>
        <sz val="10"/>
        <color theme="1"/>
        <rFont val="Arial"/>
        <family val="2"/>
      </rPr>
      <t>E10</t>
    </r>
    <r>
      <rPr>
        <sz val="10"/>
        <color theme="1"/>
        <rFont val="微軟正黑體"/>
        <family val="2"/>
        <charset val="136"/>
      </rPr>
      <t>、</t>
    </r>
    <r>
      <rPr>
        <sz val="10"/>
        <color theme="1"/>
        <rFont val="Arial"/>
        <family val="2"/>
      </rPr>
      <t>F10</t>
    </r>
    <r>
      <rPr>
        <sz val="10"/>
        <color theme="1"/>
        <rFont val="微軟正黑體"/>
        <family val="2"/>
        <charset val="136"/>
      </rPr>
      <t xml:space="preserve">調整為空白。
</t>
    </r>
    <r>
      <rPr>
        <sz val="10"/>
        <color theme="1"/>
        <rFont val="Arial"/>
        <family val="2"/>
      </rPr>
      <t xml:space="preserve">6. </t>
    </r>
    <r>
      <rPr>
        <sz val="10"/>
        <color theme="1"/>
        <rFont val="微軟正黑體"/>
        <family val="2"/>
        <charset val="136"/>
      </rPr>
      <t>欄位</t>
    </r>
    <r>
      <rPr>
        <sz val="10"/>
        <color theme="1"/>
        <rFont val="Arial"/>
        <family val="2"/>
      </rPr>
      <t>X8</t>
    </r>
    <r>
      <rPr>
        <sz val="10"/>
        <color theme="1"/>
        <rFont val="微軟正黑體"/>
        <family val="2"/>
        <charset val="136"/>
      </rPr>
      <t>調整為</t>
    </r>
    <r>
      <rPr>
        <sz val="10"/>
        <color theme="1"/>
        <rFont val="Arial"/>
        <family val="2"/>
      </rPr>
      <t>"Same as DTC enable criteria."</t>
    </r>
    <r>
      <rPr>
        <sz val="10"/>
        <color theme="1"/>
        <rFont val="微軟正黑體"/>
        <family val="2"/>
        <charset val="136"/>
      </rPr>
      <t xml:space="preserve">。
</t>
    </r>
    <r>
      <rPr>
        <sz val="10"/>
        <color theme="1"/>
        <rFont val="Arial"/>
        <family val="2"/>
      </rPr>
      <t xml:space="preserve">7-1. </t>
    </r>
    <r>
      <rPr>
        <sz val="10"/>
        <color theme="1"/>
        <rFont val="微軟正黑體"/>
        <family val="2"/>
        <charset val="136"/>
      </rPr>
      <t>刪除</t>
    </r>
    <r>
      <rPr>
        <sz val="10"/>
        <color theme="1"/>
        <rFont val="Arial"/>
        <family val="2"/>
      </rPr>
      <t>column N"Display Radix"</t>
    </r>
    <r>
      <rPr>
        <sz val="10"/>
        <color theme="1"/>
        <rFont val="微軟正黑體"/>
        <family val="2"/>
        <charset val="136"/>
      </rPr>
      <t xml:space="preserve">。
</t>
    </r>
    <r>
      <rPr>
        <sz val="10"/>
        <color theme="1"/>
        <rFont val="Arial"/>
        <family val="2"/>
      </rPr>
      <t>7-2. column M"Data Type"</t>
    </r>
    <r>
      <rPr>
        <sz val="10"/>
        <color theme="1"/>
        <rFont val="微軟正黑體"/>
        <family val="2"/>
        <charset val="136"/>
      </rPr>
      <t>下拉選項調整為</t>
    </r>
    <r>
      <rPr>
        <sz val="10"/>
        <color theme="1"/>
        <rFont val="Arial"/>
        <family val="2"/>
      </rPr>
      <t>Unsigned</t>
    </r>
    <r>
      <rPr>
        <sz val="10"/>
        <color theme="1"/>
        <rFont val="微軟正黑體"/>
        <family val="2"/>
        <charset val="136"/>
      </rPr>
      <t>、</t>
    </r>
    <r>
      <rPr>
        <sz val="10"/>
        <color theme="1"/>
        <rFont val="Arial"/>
        <family val="2"/>
      </rPr>
      <t>Signed</t>
    </r>
    <r>
      <rPr>
        <sz val="10"/>
        <color theme="1"/>
        <rFont val="微軟正黑體"/>
        <family val="2"/>
        <charset val="136"/>
      </rPr>
      <t>、</t>
    </r>
    <r>
      <rPr>
        <sz val="10"/>
        <color theme="1"/>
        <rFont val="Arial"/>
        <family val="2"/>
      </rPr>
      <t>Hex</t>
    </r>
    <r>
      <rPr>
        <sz val="10"/>
        <color theme="1"/>
        <rFont val="微軟正黑體"/>
        <family val="2"/>
        <charset val="136"/>
      </rPr>
      <t>、</t>
    </r>
    <r>
      <rPr>
        <sz val="10"/>
        <color theme="1"/>
        <rFont val="Arial"/>
        <family val="2"/>
      </rPr>
      <t>BCD</t>
    </r>
    <r>
      <rPr>
        <sz val="10"/>
        <color theme="1"/>
        <rFont val="微軟正黑體"/>
        <family val="2"/>
        <charset val="136"/>
      </rPr>
      <t>、</t>
    </r>
    <r>
      <rPr>
        <sz val="10"/>
        <color theme="1"/>
        <rFont val="Arial"/>
        <family val="2"/>
      </rPr>
      <t>ASCII</t>
    </r>
    <r>
      <rPr>
        <sz val="10"/>
        <color theme="1"/>
        <rFont val="微軟正黑體"/>
        <family val="2"/>
        <charset val="136"/>
      </rPr>
      <t xml:space="preserve">。
</t>
    </r>
    <r>
      <rPr>
        <sz val="10"/>
        <color theme="1"/>
        <rFont val="Arial"/>
        <family val="2"/>
      </rPr>
      <t xml:space="preserve">7-3. </t>
    </r>
    <r>
      <rPr>
        <sz val="10"/>
        <color theme="1"/>
        <rFont val="微軟正黑體"/>
        <family val="2"/>
        <charset val="136"/>
      </rPr>
      <t>新增</t>
    </r>
    <r>
      <rPr>
        <sz val="10"/>
        <color theme="1"/>
        <rFont val="Arial"/>
        <family val="2"/>
      </rPr>
      <t>column O</t>
    </r>
    <r>
      <rPr>
        <sz val="10"/>
        <color theme="1"/>
        <rFont val="微軟正黑體"/>
        <family val="2"/>
        <charset val="136"/>
      </rPr>
      <t>、</t>
    </r>
    <r>
      <rPr>
        <sz val="10"/>
        <color theme="1"/>
        <rFont val="Arial"/>
        <family val="2"/>
      </rPr>
      <t>P</t>
    </r>
    <r>
      <rPr>
        <sz val="10"/>
        <color theme="1"/>
        <rFont val="微軟正黑體"/>
        <family val="2"/>
        <charset val="136"/>
      </rPr>
      <t xml:space="preserve">內容。
</t>
    </r>
    <r>
      <rPr>
        <sz val="10"/>
        <color theme="1"/>
        <rFont val="Arial"/>
        <family val="2"/>
      </rPr>
      <t xml:space="preserve">7-4. </t>
    </r>
    <r>
      <rPr>
        <sz val="10"/>
        <color theme="1"/>
        <rFont val="微軟正黑體"/>
        <family val="2"/>
        <charset val="136"/>
      </rPr>
      <t>調整</t>
    </r>
    <r>
      <rPr>
        <sz val="10"/>
        <color theme="1"/>
        <rFont val="Arial"/>
        <family val="2"/>
      </rPr>
      <t>row10</t>
    </r>
    <r>
      <rPr>
        <sz val="10"/>
        <color theme="1"/>
        <rFont val="微軟正黑體"/>
        <family val="2"/>
        <charset val="136"/>
      </rPr>
      <t>、</t>
    </r>
    <r>
      <rPr>
        <sz val="10"/>
        <color theme="1"/>
        <rFont val="Arial"/>
        <family val="2"/>
      </rPr>
      <t>12</t>
    </r>
    <r>
      <rPr>
        <sz val="10"/>
        <color theme="1"/>
        <rFont val="微軟正黑體"/>
        <family val="2"/>
        <charset val="136"/>
      </rPr>
      <t xml:space="preserve">內容，依各車型資訊進行填寫。
</t>
    </r>
    <r>
      <rPr>
        <sz val="10"/>
        <color theme="1"/>
        <rFont val="Arial"/>
        <family val="2"/>
      </rPr>
      <t xml:space="preserve">7-5. </t>
    </r>
    <r>
      <rPr>
        <sz val="10"/>
        <color theme="1"/>
        <rFont val="微軟正黑體"/>
        <family val="2"/>
        <charset val="136"/>
      </rPr>
      <t>欄位</t>
    </r>
    <r>
      <rPr>
        <sz val="10"/>
        <color theme="1"/>
        <rFont val="Arial"/>
        <family val="2"/>
      </rPr>
      <t>Q9</t>
    </r>
    <r>
      <rPr>
        <sz val="10"/>
        <color theme="1"/>
        <rFont val="微軟正黑體"/>
        <family val="2"/>
        <charset val="136"/>
      </rPr>
      <t>、</t>
    </r>
    <r>
      <rPr>
        <sz val="10"/>
        <color theme="1"/>
        <rFont val="Arial"/>
        <family val="2"/>
      </rPr>
      <t>Q12</t>
    </r>
    <r>
      <rPr>
        <sz val="10"/>
        <color theme="1"/>
        <rFont val="微軟正黑體"/>
        <family val="2"/>
        <charset val="136"/>
      </rPr>
      <t>、</t>
    </r>
    <r>
      <rPr>
        <sz val="10"/>
        <color theme="1"/>
        <rFont val="Arial"/>
        <family val="2"/>
      </rPr>
      <t>Q14</t>
    </r>
    <r>
      <rPr>
        <sz val="10"/>
        <color theme="1"/>
        <rFont val="微軟正黑體"/>
        <family val="2"/>
        <charset val="136"/>
      </rPr>
      <t>調整為</t>
    </r>
    <r>
      <rPr>
        <sz val="10"/>
        <color theme="1"/>
        <rFont val="Arial"/>
        <family val="2"/>
      </rPr>
      <t>M(Signal data refer to message matrix.)</t>
    </r>
    <r>
      <rPr>
        <sz val="10"/>
        <color theme="1"/>
        <rFont val="微軟正黑體"/>
        <family val="2"/>
        <charset val="136"/>
      </rPr>
      <t xml:space="preserve">。
</t>
    </r>
    <r>
      <rPr>
        <sz val="10"/>
        <color theme="1"/>
        <rFont val="Arial"/>
        <family val="2"/>
      </rPr>
      <t xml:space="preserve">8-1. </t>
    </r>
    <r>
      <rPr>
        <sz val="10"/>
        <color theme="1"/>
        <rFont val="微軟正黑體"/>
        <family val="2"/>
        <charset val="136"/>
      </rPr>
      <t>刪除</t>
    </r>
    <r>
      <rPr>
        <sz val="10"/>
        <color theme="1"/>
        <rFont val="Arial"/>
        <family val="2"/>
      </rPr>
      <t>column N"Display Radix"</t>
    </r>
    <r>
      <rPr>
        <sz val="10"/>
        <color theme="1"/>
        <rFont val="微軟正黑體"/>
        <family val="2"/>
        <charset val="136"/>
      </rPr>
      <t xml:space="preserve">。
</t>
    </r>
    <r>
      <rPr>
        <sz val="10"/>
        <color theme="1"/>
        <rFont val="Arial"/>
        <family val="2"/>
      </rPr>
      <t>8-2. column M"Data Type"</t>
    </r>
    <r>
      <rPr>
        <sz val="10"/>
        <color theme="1"/>
        <rFont val="微軟正黑體"/>
        <family val="2"/>
        <charset val="136"/>
      </rPr>
      <t>下拉選項調整為</t>
    </r>
    <r>
      <rPr>
        <sz val="10"/>
        <color theme="1"/>
        <rFont val="Arial"/>
        <family val="2"/>
      </rPr>
      <t>Unsigned</t>
    </r>
    <r>
      <rPr>
        <sz val="10"/>
        <color theme="1"/>
        <rFont val="微軟正黑體"/>
        <family val="2"/>
        <charset val="136"/>
      </rPr>
      <t>、</t>
    </r>
    <r>
      <rPr>
        <sz val="10"/>
        <color theme="1"/>
        <rFont val="Arial"/>
        <family val="2"/>
      </rPr>
      <t>Signed</t>
    </r>
    <r>
      <rPr>
        <sz val="10"/>
        <color theme="1"/>
        <rFont val="微軟正黑體"/>
        <family val="2"/>
        <charset val="136"/>
      </rPr>
      <t>、</t>
    </r>
    <r>
      <rPr>
        <sz val="10"/>
        <color theme="1"/>
        <rFont val="Arial"/>
        <family val="2"/>
      </rPr>
      <t>Hex</t>
    </r>
    <r>
      <rPr>
        <sz val="10"/>
        <color theme="1"/>
        <rFont val="微軟正黑體"/>
        <family val="2"/>
        <charset val="136"/>
      </rPr>
      <t>、</t>
    </r>
    <r>
      <rPr>
        <sz val="10"/>
        <color theme="1"/>
        <rFont val="Arial"/>
        <family val="2"/>
      </rPr>
      <t>BCD</t>
    </r>
    <r>
      <rPr>
        <sz val="10"/>
        <color theme="1"/>
        <rFont val="微軟正黑體"/>
        <family val="2"/>
        <charset val="136"/>
      </rPr>
      <t>、</t>
    </r>
    <r>
      <rPr>
        <sz val="10"/>
        <color theme="1"/>
        <rFont val="Arial"/>
        <family val="2"/>
      </rPr>
      <t>ASCII</t>
    </r>
    <r>
      <rPr>
        <sz val="10"/>
        <color theme="1"/>
        <rFont val="微軟正黑體"/>
        <family val="2"/>
        <charset val="136"/>
      </rPr>
      <t xml:space="preserve">。
</t>
    </r>
    <r>
      <rPr>
        <sz val="10"/>
        <color theme="1"/>
        <rFont val="Arial"/>
        <family val="2"/>
      </rPr>
      <t xml:space="preserve">8-3. </t>
    </r>
    <r>
      <rPr>
        <sz val="10"/>
        <color theme="1"/>
        <rFont val="微軟正黑體"/>
        <family val="2"/>
        <charset val="136"/>
      </rPr>
      <t>欄位</t>
    </r>
    <r>
      <rPr>
        <sz val="10"/>
        <color theme="1"/>
        <rFont val="Arial"/>
        <family val="2"/>
      </rPr>
      <t>O10</t>
    </r>
    <r>
      <rPr>
        <sz val="10"/>
        <color theme="1"/>
        <rFont val="微軟正黑體"/>
        <family val="2"/>
        <charset val="136"/>
      </rPr>
      <t>、</t>
    </r>
    <r>
      <rPr>
        <sz val="10"/>
        <color theme="1"/>
        <rFont val="Arial"/>
        <family val="2"/>
      </rPr>
      <t>012</t>
    </r>
    <r>
      <rPr>
        <sz val="10"/>
        <color theme="1"/>
        <rFont val="微軟正黑體"/>
        <family val="2"/>
        <charset val="136"/>
      </rPr>
      <t>調整為</t>
    </r>
    <r>
      <rPr>
        <sz val="10"/>
        <color theme="1"/>
        <rFont val="Arial"/>
        <family val="2"/>
      </rPr>
      <t>1</t>
    </r>
    <r>
      <rPr>
        <sz val="10"/>
        <color theme="1"/>
        <rFont val="微軟正黑體"/>
        <family val="2"/>
        <charset val="136"/>
      </rPr>
      <t xml:space="preserve">。
</t>
    </r>
    <r>
      <rPr>
        <sz val="10"/>
        <color theme="1"/>
        <rFont val="Arial"/>
        <family val="2"/>
      </rPr>
      <t xml:space="preserve">8-4. </t>
    </r>
    <r>
      <rPr>
        <sz val="10"/>
        <color theme="1"/>
        <rFont val="微軟正黑體"/>
        <family val="2"/>
        <charset val="136"/>
      </rPr>
      <t>欄位</t>
    </r>
    <r>
      <rPr>
        <sz val="10"/>
        <color theme="1"/>
        <rFont val="Arial"/>
        <family val="2"/>
      </rPr>
      <t>D11</t>
    </r>
    <r>
      <rPr>
        <sz val="10"/>
        <color theme="1"/>
        <rFont val="微軟正黑體"/>
        <family val="2"/>
        <charset val="136"/>
      </rPr>
      <t>調整為</t>
    </r>
    <r>
      <rPr>
        <sz val="10"/>
        <color theme="1"/>
        <rFont val="Arial"/>
        <family val="2"/>
      </rPr>
      <t>"Report number of aging counter"</t>
    </r>
    <r>
      <rPr>
        <sz val="10"/>
        <color theme="1"/>
        <rFont val="微軟正黑體"/>
        <family val="2"/>
        <charset val="136"/>
      </rPr>
      <t xml:space="preserve">。
</t>
    </r>
    <r>
      <rPr>
        <sz val="10"/>
        <color theme="1"/>
        <rFont val="Arial"/>
        <family val="2"/>
      </rPr>
      <t xml:space="preserve">8-5. </t>
    </r>
    <r>
      <rPr>
        <sz val="10"/>
        <color theme="1"/>
        <rFont val="微軟正黑體"/>
        <family val="2"/>
        <charset val="136"/>
      </rPr>
      <t>欄位</t>
    </r>
    <r>
      <rPr>
        <sz val="10"/>
        <color theme="1"/>
        <rFont val="Arial"/>
        <family val="2"/>
      </rPr>
      <t>I12</t>
    </r>
    <r>
      <rPr>
        <sz val="10"/>
        <color theme="1"/>
        <rFont val="微軟正黑體"/>
        <family val="2"/>
        <charset val="136"/>
      </rPr>
      <t>調整為</t>
    </r>
    <r>
      <rPr>
        <sz val="10"/>
        <color theme="1"/>
        <rFont val="Arial"/>
        <family val="2"/>
      </rPr>
      <t>"Aging Counter"</t>
    </r>
    <r>
      <rPr>
        <sz val="10"/>
        <color theme="1"/>
        <rFont val="微軟正黑體"/>
        <family val="2"/>
        <charset val="136"/>
      </rPr>
      <t xml:space="preserve">。
</t>
    </r>
    <r>
      <rPr>
        <sz val="10"/>
        <color theme="1"/>
        <rFont val="Arial"/>
        <family val="2"/>
      </rPr>
      <t>8-6. "DTC Identifier"</t>
    </r>
    <r>
      <rPr>
        <sz val="10"/>
        <color theme="1"/>
        <rFont val="微軟正黑體"/>
        <family val="2"/>
        <charset val="136"/>
      </rPr>
      <t>調整至</t>
    </r>
    <r>
      <rPr>
        <sz val="10"/>
        <color theme="1"/>
        <rFont val="Arial"/>
        <family val="2"/>
      </rPr>
      <t>column P</t>
    </r>
    <r>
      <rPr>
        <sz val="10"/>
        <color theme="1"/>
        <rFont val="微軟正黑體"/>
        <family val="2"/>
        <charset val="136"/>
      </rPr>
      <t xml:space="preserve">。
</t>
    </r>
    <r>
      <rPr>
        <sz val="10"/>
        <color theme="1"/>
        <rFont val="Arial"/>
        <family val="2"/>
      </rPr>
      <t xml:space="preserve">9. </t>
    </r>
    <r>
      <rPr>
        <sz val="10"/>
        <color theme="1"/>
        <rFont val="微軟正黑體"/>
        <family val="2"/>
        <charset val="136"/>
      </rPr>
      <t>調整欄位</t>
    </r>
    <r>
      <rPr>
        <sz val="10"/>
        <color theme="1"/>
        <rFont val="Arial"/>
        <family val="2"/>
      </rPr>
      <t>G6</t>
    </r>
    <r>
      <rPr>
        <sz val="10"/>
        <color theme="1"/>
        <rFont val="微軟正黑體"/>
        <family val="2"/>
        <charset val="136"/>
      </rPr>
      <t xml:space="preserve">內容。
</t>
    </r>
    <r>
      <rPr>
        <sz val="10"/>
        <color theme="1"/>
        <rFont val="Arial"/>
        <family val="2"/>
      </rPr>
      <t xml:space="preserve">10-1. </t>
    </r>
    <r>
      <rPr>
        <sz val="10"/>
        <color theme="1"/>
        <rFont val="微軟正黑體"/>
        <family val="2"/>
        <charset val="136"/>
      </rPr>
      <t>刪除</t>
    </r>
    <r>
      <rPr>
        <sz val="10"/>
        <color theme="1"/>
        <rFont val="Arial"/>
        <family val="2"/>
      </rPr>
      <t>column M"Display Radix"</t>
    </r>
    <r>
      <rPr>
        <sz val="10"/>
        <color theme="1"/>
        <rFont val="微軟正黑體"/>
        <family val="2"/>
        <charset val="136"/>
      </rPr>
      <t xml:space="preserve">。
</t>
    </r>
    <r>
      <rPr>
        <sz val="10"/>
        <color theme="1"/>
        <rFont val="Arial"/>
        <family val="2"/>
      </rPr>
      <t>10-2. column L"Data Type"</t>
    </r>
    <r>
      <rPr>
        <sz val="10"/>
        <color theme="1"/>
        <rFont val="微軟正黑體"/>
        <family val="2"/>
        <charset val="136"/>
      </rPr>
      <t>下拉選項調整為</t>
    </r>
    <r>
      <rPr>
        <sz val="10"/>
        <color theme="1"/>
        <rFont val="Arial"/>
        <family val="2"/>
      </rPr>
      <t>Unsigned</t>
    </r>
    <r>
      <rPr>
        <sz val="10"/>
        <color theme="1"/>
        <rFont val="微軟正黑體"/>
        <family val="2"/>
        <charset val="136"/>
      </rPr>
      <t>、</t>
    </r>
    <r>
      <rPr>
        <sz val="10"/>
        <color theme="1"/>
        <rFont val="Arial"/>
        <family val="2"/>
      </rPr>
      <t>Signed</t>
    </r>
    <r>
      <rPr>
        <sz val="10"/>
        <color theme="1"/>
        <rFont val="微軟正黑體"/>
        <family val="2"/>
        <charset val="136"/>
      </rPr>
      <t>、</t>
    </r>
    <r>
      <rPr>
        <sz val="10"/>
        <color theme="1"/>
        <rFont val="Arial"/>
        <family val="2"/>
      </rPr>
      <t>Hex</t>
    </r>
    <r>
      <rPr>
        <sz val="10"/>
        <color theme="1"/>
        <rFont val="微軟正黑體"/>
        <family val="2"/>
        <charset val="136"/>
      </rPr>
      <t>、</t>
    </r>
    <r>
      <rPr>
        <sz val="10"/>
        <color theme="1"/>
        <rFont val="Arial"/>
        <family val="2"/>
      </rPr>
      <t>BCD</t>
    </r>
    <r>
      <rPr>
        <sz val="10"/>
        <color theme="1"/>
        <rFont val="微軟正黑體"/>
        <family val="2"/>
        <charset val="136"/>
      </rPr>
      <t>、</t>
    </r>
    <r>
      <rPr>
        <sz val="10"/>
        <color theme="1"/>
        <rFont val="Arial"/>
        <family val="2"/>
      </rPr>
      <t>ASCII</t>
    </r>
    <r>
      <rPr>
        <sz val="10"/>
        <color theme="1"/>
        <rFont val="微軟正黑體"/>
        <family val="2"/>
        <charset val="136"/>
      </rPr>
      <t xml:space="preserve">。
</t>
    </r>
    <r>
      <rPr>
        <sz val="10"/>
        <color theme="1"/>
        <rFont val="Arial"/>
        <family val="2"/>
      </rPr>
      <t xml:space="preserve">10-3. </t>
    </r>
    <r>
      <rPr>
        <sz val="10"/>
        <color theme="1"/>
        <rFont val="微軟正黑體"/>
        <family val="2"/>
        <charset val="136"/>
      </rPr>
      <t>新增</t>
    </r>
    <r>
      <rPr>
        <sz val="10"/>
        <color theme="1"/>
        <rFont val="Arial"/>
        <family val="2"/>
      </rPr>
      <t>column N</t>
    </r>
    <r>
      <rPr>
        <sz val="10"/>
        <color theme="1"/>
        <rFont val="微軟正黑體"/>
        <family val="2"/>
        <charset val="136"/>
      </rPr>
      <t>、</t>
    </r>
    <r>
      <rPr>
        <sz val="10"/>
        <color theme="1"/>
        <rFont val="Arial"/>
        <family val="2"/>
      </rPr>
      <t>O</t>
    </r>
    <r>
      <rPr>
        <sz val="10"/>
        <color theme="1"/>
        <rFont val="微軟正黑體"/>
        <family val="2"/>
        <charset val="136"/>
      </rPr>
      <t xml:space="preserve">內容。
</t>
    </r>
    <r>
      <rPr>
        <sz val="10"/>
        <color theme="1"/>
        <rFont val="Arial"/>
        <family val="2"/>
      </rPr>
      <t xml:space="preserve">10-4. </t>
    </r>
    <r>
      <rPr>
        <sz val="10"/>
        <color theme="1"/>
        <rFont val="微軟正黑體"/>
        <family val="2"/>
        <charset val="136"/>
      </rPr>
      <t>調整</t>
    </r>
    <r>
      <rPr>
        <sz val="10"/>
        <color theme="1"/>
        <rFont val="Arial"/>
        <family val="2"/>
      </rPr>
      <t>row27</t>
    </r>
    <r>
      <rPr>
        <sz val="10"/>
        <color theme="1"/>
        <rFont val="微軟正黑體"/>
        <family val="2"/>
        <charset val="136"/>
      </rPr>
      <t>、</t>
    </r>
    <r>
      <rPr>
        <sz val="10"/>
        <color theme="1"/>
        <rFont val="Arial"/>
        <family val="2"/>
      </rPr>
      <t>row29</t>
    </r>
    <r>
      <rPr>
        <sz val="10"/>
        <color theme="1"/>
        <rFont val="微軟正黑體"/>
        <family val="2"/>
        <charset val="136"/>
      </rPr>
      <t xml:space="preserve">內容，依各車型資訊進行填寫。
</t>
    </r>
    <r>
      <rPr>
        <sz val="10"/>
        <color theme="1"/>
        <rFont val="Arial"/>
        <family val="2"/>
      </rPr>
      <t xml:space="preserve">11-1. </t>
    </r>
    <r>
      <rPr>
        <sz val="10"/>
        <color theme="1"/>
        <rFont val="微軟正黑體"/>
        <family val="2"/>
        <charset val="136"/>
      </rPr>
      <t>刪除</t>
    </r>
    <r>
      <rPr>
        <sz val="10"/>
        <color theme="1"/>
        <rFont val="Arial"/>
        <family val="2"/>
      </rPr>
      <t>column F"Request and Reponse"</t>
    </r>
    <r>
      <rPr>
        <sz val="10"/>
        <color theme="1"/>
        <rFont val="微軟正黑體"/>
        <family val="2"/>
        <charset val="136"/>
      </rPr>
      <t xml:space="preserve">。
</t>
    </r>
    <r>
      <rPr>
        <sz val="10"/>
        <color theme="1"/>
        <rFont val="Arial"/>
        <family val="2"/>
      </rPr>
      <t xml:space="preserve">11-2. </t>
    </r>
    <r>
      <rPr>
        <sz val="10"/>
        <color theme="1"/>
        <rFont val="微軟正黑體"/>
        <family val="2"/>
        <charset val="136"/>
      </rPr>
      <t>刪除</t>
    </r>
    <r>
      <rPr>
        <sz val="10"/>
        <color theme="1"/>
        <rFont val="Arial"/>
        <family val="2"/>
      </rPr>
      <t>column P"Display Radix"</t>
    </r>
    <r>
      <rPr>
        <sz val="10"/>
        <color theme="1"/>
        <rFont val="微軟正黑體"/>
        <family val="2"/>
        <charset val="136"/>
      </rPr>
      <t xml:space="preserve">。
</t>
    </r>
    <r>
      <rPr>
        <sz val="10"/>
        <color theme="1"/>
        <rFont val="Arial"/>
        <family val="2"/>
      </rPr>
      <t>11-3. column N"Data Type"</t>
    </r>
    <r>
      <rPr>
        <sz val="10"/>
        <color theme="1"/>
        <rFont val="微軟正黑體"/>
        <family val="2"/>
        <charset val="136"/>
      </rPr>
      <t>下拉選項調整為</t>
    </r>
    <r>
      <rPr>
        <sz val="10"/>
        <color theme="1"/>
        <rFont val="Arial"/>
        <family val="2"/>
      </rPr>
      <t>Unsigned</t>
    </r>
    <r>
      <rPr>
        <sz val="10"/>
        <color theme="1"/>
        <rFont val="微軟正黑體"/>
        <family val="2"/>
        <charset val="136"/>
      </rPr>
      <t>、</t>
    </r>
    <r>
      <rPr>
        <sz val="10"/>
        <color theme="1"/>
        <rFont val="Arial"/>
        <family val="2"/>
      </rPr>
      <t>Signed</t>
    </r>
    <r>
      <rPr>
        <sz val="10"/>
        <color theme="1"/>
        <rFont val="微軟正黑體"/>
        <family val="2"/>
        <charset val="136"/>
      </rPr>
      <t>、</t>
    </r>
    <r>
      <rPr>
        <sz val="10"/>
        <color theme="1"/>
        <rFont val="Arial"/>
        <family val="2"/>
      </rPr>
      <t>Hex</t>
    </r>
    <r>
      <rPr>
        <sz val="10"/>
        <color theme="1"/>
        <rFont val="微軟正黑體"/>
        <family val="2"/>
        <charset val="136"/>
      </rPr>
      <t>、</t>
    </r>
    <r>
      <rPr>
        <sz val="10"/>
        <color theme="1"/>
        <rFont val="Arial"/>
        <family val="2"/>
      </rPr>
      <t>BCD</t>
    </r>
    <r>
      <rPr>
        <sz val="10"/>
        <color theme="1"/>
        <rFont val="微軟正黑體"/>
        <family val="2"/>
        <charset val="136"/>
      </rPr>
      <t>、</t>
    </r>
    <r>
      <rPr>
        <sz val="10"/>
        <color theme="1"/>
        <rFont val="Arial"/>
        <family val="2"/>
      </rPr>
      <t>ASCII</t>
    </r>
    <r>
      <rPr>
        <sz val="10"/>
        <color theme="1"/>
        <rFont val="微軟正黑體"/>
        <family val="2"/>
        <charset val="136"/>
      </rPr>
      <t xml:space="preserve">。
</t>
    </r>
    <r>
      <rPr>
        <sz val="10"/>
        <color theme="1"/>
        <rFont val="Arial"/>
        <family val="2"/>
      </rPr>
      <t xml:space="preserve">11-4. </t>
    </r>
    <r>
      <rPr>
        <sz val="10"/>
        <color theme="1"/>
        <rFont val="微軟正黑體"/>
        <family val="2"/>
        <charset val="136"/>
      </rPr>
      <t>新增</t>
    </r>
    <r>
      <rPr>
        <sz val="10"/>
        <color theme="1"/>
        <rFont val="Arial"/>
        <family val="2"/>
      </rPr>
      <t>column P</t>
    </r>
    <r>
      <rPr>
        <sz val="10"/>
        <color theme="1"/>
        <rFont val="微軟正黑體"/>
        <family val="2"/>
        <charset val="136"/>
      </rPr>
      <t>、</t>
    </r>
    <r>
      <rPr>
        <sz val="10"/>
        <color theme="1"/>
        <rFont val="Arial"/>
        <family val="2"/>
      </rPr>
      <t>Q</t>
    </r>
    <r>
      <rPr>
        <sz val="10"/>
        <color theme="1"/>
        <rFont val="微軟正黑體"/>
        <family val="2"/>
        <charset val="136"/>
      </rPr>
      <t xml:space="preserve">內容。
</t>
    </r>
    <r>
      <rPr>
        <sz val="10"/>
        <color theme="1"/>
        <rFont val="Arial"/>
        <family val="2"/>
      </rPr>
      <t xml:space="preserve">11-5. </t>
    </r>
    <r>
      <rPr>
        <sz val="10"/>
        <color theme="1"/>
        <rFont val="微軟正黑體"/>
        <family val="2"/>
        <charset val="136"/>
      </rPr>
      <t>調整</t>
    </r>
    <r>
      <rPr>
        <sz val="10"/>
        <color theme="1"/>
        <rFont val="Arial"/>
        <family val="2"/>
      </rPr>
      <t>InputOutputControlParameter</t>
    </r>
    <r>
      <rPr>
        <sz val="10"/>
        <color theme="1"/>
        <rFont val="微軟正黑體"/>
        <family val="2"/>
        <charset val="136"/>
      </rPr>
      <t xml:space="preserve">呈現方式。
</t>
    </r>
    <r>
      <rPr>
        <sz val="10"/>
        <color theme="1"/>
        <rFont val="Arial"/>
        <family val="2"/>
      </rPr>
      <t xml:space="preserve">11-6. </t>
    </r>
    <r>
      <rPr>
        <sz val="10"/>
        <color theme="1"/>
        <rFont val="微軟正黑體"/>
        <family val="2"/>
        <charset val="136"/>
      </rPr>
      <t>欄位</t>
    </r>
    <r>
      <rPr>
        <sz val="10"/>
        <color theme="1"/>
        <rFont val="Arial"/>
        <family val="2"/>
      </rPr>
      <t>N18</t>
    </r>
    <r>
      <rPr>
        <sz val="10"/>
        <color theme="1"/>
        <rFont val="微軟正黑體"/>
        <family val="2"/>
        <charset val="136"/>
      </rPr>
      <t>調整為</t>
    </r>
    <r>
      <rPr>
        <sz val="10"/>
        <color theme="1"/>
        <rFont val="Arial"/>
        <family val="2"/>
      </rPr>
      <t>Hex</t>
    </r>
    <r>
      <rPr>
        <sz val="10"/>
        <color theme="1"/>
        <rFont val="微軟正黑體"/>
        <family val="2"/>
        <charset val="136"/>
      </rPr>
      <t xml:space="preserve">。
</t>
    </r>
    <r>
      <rPr>
        <sz val="10"/>
        <color theme="1"/>
        <rFont val="Arial"/>
        <family val="2"/>
      </rPr>
      <t xml:space="preserve">11-7. </t>
    </r>
    <r>
      <rPr>
        <sz val="10"/>
        <color theme="1"/>
        <rFont val="微軟正黑體"/>
        <family val="2"/>
        <charset val="136"/>
      </rPr>
      <t>欄位</t>
    </r>
    <r>
      <rPr>
        <sz val="10"/>
        <color theme="1"/>
        <rFont val="Arial"/>
        <family val="2"/>
      </rPr>
      <t>N19</t>
    </r>
    <r>
      <rPr>
        <sz val="10"/>
        <color theme="1"/>
        <rFont val="微軟正黑體"/>
        <family val="2"/>
        <charset val="136"/>
      </rPr>
      <t>、</t>
    </r>
    <r>
      <rPr>
        <sz val="10"/>
        <color theme="1"/>
        <rFont val="Arial"/>
        <family val="2"/>
      </rPr>
      <t>20</t>
    </r>
    <r>
      <rPr>
        <sz val="10"/>
        <color theme="1"/>
        <rFont val="微軟正黑體"/>
        <family val="2"/>
        <charset val="136"/>
      </rPr>
      <t>、</t>
    </r>
    <r>
      <rPr>
        <sz val="10"/>
        <color theme="1"/>
        <rFont val="Arial"/>
        <family val="2"/>
      </rPr>
      <t>21</t>
    </r>
    <r>
      <rPr>
        <sz val="10"/>
        <color theme="1"/>
        <rFont val="微軟正黑體"/>
        <family val="2"/>
        <charset val="136"/>
      </rPr>
      <t>、</t>
    </r>
    <r>
      <rPr>
        <sz val="10"/>
        <color theme="1"/>
        <rFont val="Arial"/>
        <family val="2"/>
      </rPr>
      <t>22</t>
    </r>
    <r>
      <rPr>
        <sz val="10"/>
        <color theme="1"/>
        <rFont val="微軟正黑體"/>
        <family val="2"/>
        <charset val="136"/>
      </rPr>
      <t>調整為</t>
    </r>
    <r>
      <rPr>
        <sz val="10"/>
        <color theme="1"/>
        <rFont val="Arial"/>
        <family val="2"/>
      </rPr>
      <t>Unsigned</t>
    </r>
    <r>
      <rPr>
        <sz val="10"/>
        <color theme="1"/>
        <rFont val="微軟正黑體"/>
        <family val="2"/>
        <charset val="136"/>
      </rPr>
      <t xml:space="preserve">。
</t>
    </r>
    <r>
      <rPr>
        <sz val="10"/>
        <color theme="1"/>
        <rFont val="Arial"/>
        <family val="2"/>
      </rPr>
      <t xml:space="preserve">11-8. </t>
    </r>
    <r>
      <rPr>
        <sz val="10"/>
        <color theme="1"/>
        <rFont val="微軟正黑體"/>
        <family val="2"/>
        <charset val="136"/>
      </rPr>
      <t>欄位</t>
    </r>
    <r>
      <rPr>
        <sz val="10"/>
        <color theme="1"/>
        <rFont val="Arial"/>
        <family val="2"/>
      </rPr>
      <t>P22</t>
    </r>
    <r>
      <rPr>
        <sz val="10"/>
        <color theme="1"/>
        <rFont val="微軟正黑體"/>
        <family val="2"/>
        <charset val="136"/>
      </rPr>
      <t>調整為</t>
    </r>
    <r>
      <rPr>
        <sz val="10"/>
        <color theme="1"/>
        <rFont val="Arial"/>
        <family val="2"/>
      </rPr>
      <t>1</t>
    </r>
    <r>
      <rPr>
        <sz val="10"/>
        <color theme="1"/>
        <rFont val="微軟正黑體"/>
        <family val="2"/>
        <charset val="136"/>
      </rPr>
      <t xml:space="preserve">。
</t>
    </r>
    <r>
      <rPr>
        <sz val="10"/>
        <color theme="1"/>
        <rFont val="Arial"/>
        <family val="2"/>
      </rPr>
      <t xml:space="preserve">12-1. </t>
    </r>
    <r>
      <rPr>
        <sz val="10"/>
        <color theme="1"/>
        <rFont val="微軟正黑體"/>
        <family val="2"/>
        <charset val="136"/>
      </rPr>
      <t>刪除</t>
    </r>
    <r>
      <rPr>
        <sz val="10"/>
        <color theme="1"/>
        <rFont val="Arial"/>
        <family val="2"/>
      </rPr>
      <t>column O"Display Radix"</t>
    </r>
    <r>
      <rPr>
        <sz val="10"/>
        <color theme="1"/>
        <rFont val="微軟正黑體"/>
        <family val="2"/>
        <charset val="136"/>
      </rPr>
      <t xml:space="preserve">。
</t>
    </r>
    <r>
      <rPr>
        <sz val="10"/>
        <color theme="1"/>
        <rFont val="Arial"/>
        <family val="2"/>
      </rPr>
      <t>12-2. column N"Data Type"</t>
    </r>
    <r>
      <rPr>
        <sz val="10"/>
        <color theme="1"/>
        <rFont val="微軟正黑體"/>
        <family val="2"/>
        <charset val="136"/>
      </rPr>
      <t>下拉選項調整為</t>
    </r>
    <r>
      <rPr>
        <sz val="10"/>
        <color theme="1"/>
        <rFont val="Arial"/>
        <family val="2"/>
      </rPr>
      <t>Unsigned</t>
    </r>
    <r>
      <rPr>
        <sz val="10"/>
        <color theme="1"/>
        <rFont val="微軟正黑體"/>
        <family val="2"/>
        <charset val="136"/>
      </rPr>
      <t>、</t>
    </r>
    <r>
      <rPr>
        <sz val="10"/>
        <color theme="1"/>
        <rFont val="Arial"/>
        <family val="2"/>
      </rPr>
      <t>Signed</t>
    </r>
    <r>
      <rPr>
        <sz val="10"/>
        <color theme="1"/>
        <rFont val="微軟正黑體"/>
        <family val="2"/>
        <charset val="136"/>
      </rPr>
      <t>、</t>
    </r>
    <r>
      <rPr>
        <sz val="10"/>
        <color theme="1"/>
        <rFont val="Arial"/>
        <family val="2"/>
      </rPr>
      <t>Hex</t>
    </r>
    <r>
      <rPr>
        <sz val="10"/>
        <color theme="1"/>
        <rFont val="微軟正黑體"/>
        <family val="2"/>
        <charset val="136"/>
      </rPr>
      <t>、</t>
    </r>
    <r>
      <rPr>
        <sz val="10"/>
        <color theme="1"/>
        <rFont val="Arial"/>
        <family val="2"/>
      </rPr>
      <t>BCD</t>
    </r>
    <r>
      <rPr>
        <sz val="10"/>
        <color theme="1"/>
        <rFont val="微軟正黑體"/>
        <family val="2"/>
        <charset val="136"/>
      </rPr>
      <t>、</t>
    </r>
    <r>
      <rPr>
        <sz val="10"/>
        <color theme="1"/>
        <rFont val="Arial"/>
        <family val="2"/>
      </rPr>
      <t>ASCII</t>
    </r>
    <r>
      <rPr>
        <sz val="10"/>
        <color theme="1"/>
        <rFont val="微軟正黑體"/>
        <family val="2"/>
        <charset val="136"/>
      </rPr>
      <t xml:space="preserve">。
</t>
    </r>
    <r>
      <rPr>
        <sz val="10"/>
        <color theme="1"/>
        <rFont val="Arial"/>
        <family val="2"/>
      </rPr>
      <t xml:space="preserve">12-3. </t>
    </r>
    <r>
      <rPr>
        <sz val="10"/>
        <color theme="1"/>
        <rFont val="微軟正黑體"/>
        <family val="2"/>
        <charset val="136"/>
      </rPr>
      <t>新增</t>
    </r>
    <r>
      <rPr>
        <sz val="10"/>
        <color theme="1"/>
        <rFont val="Arial"/>
        <family val="2"/>
      </rPr>
      <t>column P</t>
    </r>
    <r>
      <rPr>
        <sz val="10"/>
        <color theme="1"/>
        <rFont val="微軟正黑體"/>
        <family val="2"/>
        <charset val="136"/>
      </rPr>
      <t>、</t>
    </r>
    <r>
      <rPr>
        <sz val="10"/>
        <color theme="1"/>
        <rFont val="Arial"/>
        <family val="2"/>
      </rPr>
      <t>Q</t>
    </r>
    <r>
      <rPr>
        <sz val="10"/>
        <color theme="1"/>
        <rFont val="微軟正黑體"/>
        <family val="2"/>
        <charset val="136"/>
      </rPr>
      <t xml:space="preserve">內容。
</t>
    </r>
    <r>
      <rPr>
        <sz val="10"/>
        <color theme="1"/>
        <rFont val="Arial"/>
        <family val="2"/>
      </rPr>
      <t xml:space="preserve">12-4. </t>
    </r>
    <r>
      <rPr>
        <sz val="10"/>
        <color theme="1"/>
        <rFont val="微軟正黑體"/>
        <family val="2"/>
        <charset val="136"/>
      </rPr>
      <t>新增</t>
    </r>
    <r>
      <rPr>
        <sz val="10"/>
        <color theme="1"/>
        <rFont val="Arial"/>
        <family val="2"/>
      </rPr>
      <t>B13</t>
    </r>
    <r>
      <rPr>
        <sz val="10"/>
        <color theme="1"/>
        <rFont val="微軟正黑體"/>
        <family val="2"/>
        <charset val="136"/>
      </rPr>
      <t>、</t>
    </r>
    <r>
      <rPr>
        <sz val="10"/>
        <color theme="1"/>
        <rFont val="Arial"/>
        <family val="2"/>
      </rPr>
      <t>C13</t>
    </r>
    <r>
      <rPr>
        <sz val="10"/>
        <color theme="1"/>
        <rFont val="微軟正黑體"/>
        <family val="2"/>
        <charset val="136"/>
      </rPr>
      <t>、</t>
    </r>
    <r>
      <rPr>
        <sz val="10"/>
        <color theme="1"/>
        <rFont val="Arial"/>
        <family val="2"/>
      </rPr>
      <t>D13</t>
    </r>
    <r>
      <rPr>
        <sz val="10"/>
        <color theme="1"/>
        <rFont val="微軟正黑體"/>
        <family val="2"/>
        <charset val="136"/>
      </rPr>
      <t>、</t>
    </r>
    <r>
      <rPr>
        <sz val="10"/>
        <color theme="1"/>
        <rFont val="Arial"/>
        <family val="2"/>
      </rPr>
      <t>B16</t>
    </r>
    <r>
      <rPr>
        <sz val="10"/>
        <color theme="1"/>
        <rFont val="微軟正黑體"/>
        <family val="2"/>
        <charset val="136"/>
      </rPr>
      <t>、</t>
    </r>
    <r>
      <rPr>
        <sz val="10"/>
        <color theme="1"/>
        <rFont val="Arial"/>
        <family val="2"/>
      </rPr>
      <t>C16</t>
    </r>
    <r>
      <rPr>
        <sz val="10"/>
        <color theme="1"/>
        <rFont val="微軟正黑體"/>
        <family val="2"/>
        <charset val="136"/>
      </rPr>
      <t>、</t>
    </r>
    <r>
      <rPr>
        <sz val="10"/>
        <color theme="1"/>
        <rFont val="Arial"/>
        <family val="2"/>
      </rPr>
      <t>D16</t>
    </r>
    <r>
      <rPr>
        <sz val="10"/>
        <color theme="1"/>
        <rFont val="微軟正黑體"/>
        <family val="2"/>
        <charset val="136"/>
      </rPr>
      <t xml:space="preserve">。
</t>
    </r>
    <r>
      <rPr>
        <sz val="10"/>
        <color theme="1"/>
        <rFont val="Arial"/>
        <family val="2"/>
      </rPr>
      <t xml:space="preserve">12-5. </t>
    </r>
    <r>
      <rPr>
        <sz val="10"/>
        <color theme="1"/>
        <rFont val="微軟正黑體"/>
        <family val="2"/>
        <charset val="136"/>
      </rPr>
      <t>調整欄位</t>
    </r>
    <r>
      <rPr>
        <sz val="10"/>
        <color theme="1"/>
        <rFont val="Arial"/>
        <family val="2"/>
      </rPr>
      <t>U10</t>
    </r>
    <r>
      <rPr>
        <sz val="10"/>
        <color theme="1"/>
        <rFont val="微軟正黑體"/>
        <family val="2"/>
        <charset val="136"/>
      </rPr>
      <t>、</t>
    </r>
    <r>
      <rPr>
        <sz val="10"/>
        <color theme="1"/>
        <rFont val="Arial"/>
        <family val="2"/>
      </rPr>
      <t>U15</t>
    </r>
    <r>
      <rPr>
        <sz val="10"/>
        <color theme="1"/>
        <rFont val="微軟正黑體"/>
        <family val="2"/>
        <charset val="136"/>
      </rPr>
      <t xml:space="preserve">內容。
</t>
    </r>
    <r>
      <rPr>
        <sz val="10"/>
        <color theme="1"/>
        <rFont val="Arial"/>
        <family val="2"/>
      </rPr>
      <t xml:space="preserve">13-1. </t>
    </r>
    <r>
      <rPr>
        <sz val="10"/>
        <color theme="1"/>
        <rFont val="微軟正黑體"/>
        <family val="2"/>
        <charset val="136"/>
      </rPr>
      <t>刪除</t>
    </r>
    <r>
      <rPr>
        <sz val="10"/>
        <color theme="1"/>
        <rFont val="Arial"/>
        <family val="2"/>
      </rPr>
      <t>column M"Display Radix"</t>
    </r>
    <r>
      <rPr>
        <sz val="10"/>
        <color theme="1"/>
        <rFont val="微軟正黑體"/>
        <family val="2"/>
        <charset val="136"/>
      </rPr>
      <t xml:space="preserve">。
</t>
    </r>
    <r>
      <rPr>
        <sz val="10"/>
        <color theme="1"/>
        <rFont val="Arial"/>
        <family val="2"/>
      </rPr>
      <t>13-2. column L"Data Type"</t>
    </r>
    <r>
      <rPr>
        <sz val="10"/>
        <color theme="1"/>
        <rFont val="微軟正黑體"/>
        <family val="2"/>
        <charset val="136"/>
      </rPr>
      <t>下拉選項調整為</t>
    </r>
    <r>
      <rPr>
        <sz val="10"/>
        <color theme="1"/>
        <rFont val="Arial"/>
        <family val="2"/>
      </rPr>
      <t>Unsigned</t>
    </r>
    <r>
      <rPr>
        <sz val="10"/>
        <color theme="1"/>
        <rFont val="微軟正黑體"/>
        <family val="2"/>
        <charset val="136"/>
      </rPr>
      <t>、</t>
    </r>
    <r>
      <rPr>
        <sz val="10"/>
        <color theme="1"/>
        <rFont val="Arial"/>
        <family val="2"/>
      </rPr>
      <t>Signed</t>
    </r>
    <r>
      <rPr>
        <sz val="10"/>
        <color theme="1"/>
        <rFont val="微軟正黑體"/>
        <family val="2"/>
        <charset val="136"/>
      </rPr>
      <t>、</t>
    </r>
    <r>
      <rPr>
        <sz val="10"/>
        <color theme="1"/>
        <rFont val="Arial"/>
        <family val="2"/>
      </rPr>
      <t>Hex</t>
    </r>
    <r>
      <rPr>
        <sz val="10"/>
        <color theme="1"/>
        <rFont val="微軟正黑體"/>
        <family val="2"/>
        <charset val="136"/>
      </rPr>
      <t>、</t>
    </r>
    <r>
      <rPr>
        <sz val="10"/>
        <color theme="1"/>
        <rFont val="Arial"/>
        <family val="2"/>
      </rPr>
      <t>BCD</t>
    </r>
    <r>
      <rPr>
        <sz val="10"/>
        <color theme="1"/>
        <rFont val="微軟正黑體"/>
        <family val="2"/>
        <charset val="136"/>
      </rPr>
      <t>、</t>
    </r>
    <r>
      <rPr>
        <sz val="10"/>
        <color theme="1"/>
        <rFont val="Arial"/>
        <family val="2"/>
      </rPr>
      <t>ASCII</t>
    </r>
    <r>
      <rPr>
        <sz val="10"/>
        <color theme="1"/>
        <rFont val="微軟正黑體"/>
        <family val="2"/>
        <charset val="136"/>
      </rPr>
      <t xml:space="preserve">。
</t>
    </r>
    <r>
      <rPr>
        <sz val="10"/>
        <color theme="1"/>
        <rFont val="Arial"/>
        <family val="2"/>
      </rPr>
      <t xml:space="preserve">13-3. </t>
    </r>
    <r>
      <rPr>
        <sz val="10"/>
        <color theme="1"/>
        <rFont val="微軟正黑體"/>
        <family val="2"/>
        <charset val="136"/>
      </rPr>
      <t>新增</t>
    </r>
    <r>
      <rPr>
        <sz val="10"/>
        <color theme="1"/>
        <rFont val="Arial"/>
        <family val="2"/>
      </rPr>
      <t>column N</t>
    </r>
    <r>
      <rPr>
        <sz val="10"/>
        <color theme="1"/>
        <rFont val="微軟正黑體"/>
        <family val="2"/>
        <charset val="136"/>
      </rPr>
      <t>、</t>
    </r>
    <r>
      <rPr>
        <sz val="10"/>
        <color theme="1"/>
        <rFont val="Arial"/>
        <family val="2"/>
      </rPr>
      <t>O</t>
    </r>
    <r>
      <rPr>
        <sz val="10"/>
        <color theme="1"/>
        <rFont val="微軟正黑體"/>
        <family val="2"/>
        <charset val="136"/>
      </rPr>
      <t xml:space="preserve">內容。
</t>
    </r>
    <r>
      <rPr>
        <sz val="10"/>
        <color theme="1"/>
        <rFont val="Arial"/>
        <family val="2"/>
      </rPr>
      <t xml:space="preserve">14-1. </t>
    </r>
    <r>
      <rPr>
        <sz val="10"/>
        <color theme="1"/>
        <rFont val="微軟正黑體"/>
        <family val="2"/>
        <charset val="136"/>
      </rPr>
      <t>刪除</t>
    </r>
    <r>
      <rPr>
        <sz val="10"/>
        <color theme="1"/>
        <rFont val="Arial"/>
        <family val="2"/>
      </rPr>
      <t>column M"Display Radix"</t>
    </r>
    <r>
      <rPr>
        <sz val="10"/>
        <color theme="1"/>
        <rFont val="微軟正黑體"/>
        <family val="2"/>
        <charset val="136"/>
      </rPr>
      <t xml:space="preserve">。
</t>
    </r>
    <r>
      <rPr>
        <sz val="10"/>
        <color theme="1"/>
        <rFont val="Arial"/>
        <family val="2"/>
      </rPr>
      <t>14-2. column L"Data Type"</t>
    </r>
    <r>
      <rPr>
        <sz val="10"/>
        <color theme="1"/>
        <rFont val="微軟正黑體"/>
        <family val="2"/>
        <charset val="136"/>
      </rPr>
      <t>下拉選項調整為</t>
    </r>
    <r>
      <rPr>
        <sz val="10"/>
        <color theme="1"/>
        <rFont val="Arial"/>
        <family val="2"/>
      </rPr>
      <t>Unsigned</t>
    </r>
    <r>
      <rPr>
        <sz val="10"/>
        <color theme="1"/>
        <rFont val="微軟正黑體"/>
        <family val="2"/>
        <charset val="136"/>
      </rPr>
      <t>、</t>
    </r>
    <r>
      <rPr>
        <sz val="10"/>
        <color theme="1"/>
        <rFont val="Arial"/>
        <family val="2"/>
      </rPr>
      <t>Signed</t>
    </r>
    <r>
      <rPr>
        <sz val="10"/>
        <color theme="1"/>
        <rFont val="微軟正黑體"/>
        <family val="2"/>
        <charset val="136"/>
      </rPr>
      <t>、</t>
    </r>
    <r>
      <rPr>
        <sz val="10"/>
        <color theme="1"/>
        <rFont val="Arial"/>
        <family val="2"/>
      </rPr>
      <t>Hex</t>
    </r>
    <r>
      <rPr>
        <sz val="10"/>
        <color theme="1"/>
        <rFont val="微軟正黑體"/>
        <family val="2"/>
        <charset val="136"/>
      </rPr>
      <t>、</t>
    </r>
    <r>
      <rPr>
        <sz val="10"/>
        <color theme="1"/>
        <rFont val="Arial"/>
        <family val="2"/>
      </rPr>
      <t>BCD</t>
    </r>
    <r>
      <rPr>
        <sz val="10"/>
        <color theme="1"/>
        <rFont val="微軟正黑體"/>
        <family val="2"/>
        <charset val="136"/>
      </rPr>
      <t>、</t>
    </r>
    <r>
      <rPr>
        <sz val="10"/>
        <color theme="1"/>
        <rFont val="Arial"/>
        <family val="2"/>
      </rPr>
      <t>ASCII</t>
    </r>
    <r>
      <rPr>
        <sz val="10"/>
        <color theme="1"/>
        <rFont val="微軟正黑體"/>
        <family val="2"/>
        <charset val="136"/>
      </rPr>
      <t xml:space="preserve">。
</t>
    </r>
    <r>
      <rPr>
        <sz val="10"/>
        <color theme="1"/>
        <rFont val="Arial"/>
        <family val="2"/>
      </rPr>
      <t xml:space="preserve">14-3. </t>
    </r>
    <r>
      <rPr>
        <sz val="10"/>
        <color theme="1"/>
        <rFont val="微軟正黑體"/>
        <family val="2"/>
        <charset val="136"/>
      </rPr>
      <t>新增</t>
    </r>
    <r>
      <rPr>
        <sz val="10"/>
        <color theme="1"/>
        <rFont val="Arial"/>
        <family val="2"/>
      </rPr>
      <t>column N</t>
    </r>
    <r>
      <rPr>
        <sz val="10"/>
        <color theme="1"/>
        <rFont val="微軟正黑體"/>
        <family val="2"/>
        <charset val="136"/>
      </rPr>
      <t>、</t>
    </r>
    <r>
      <rPr>
        <sz val="10"/>
        <color theme="1"/>
        <rFont val="Arial"/>
        <family val="2"/>
      </rPr>
      <t>O</t>
    </r>
    <r>
      <rPr>
        <sz val="10"/>
        <color theme="1"/>
        <rFont val="微軟正黑體"/>
        <family val="2"/>
        <charset val="136"/>
      </rPr>
      <t>內容。</t>
    </r>
    <phoneticPr fontId="45" type="noConversion"/>
  </si>
  <si>
    <t>L</t>
    <phoneticPr fontId="45" type="noConversion"/>
  </si>
  <si>
    <t>2024/5/16</t>
    <phoneticPr fontId="45" type="noConversion"/>
  </si>
  <si>
    <t>1. Cover
2. Revision
3. GeneralInfo
4. Services
5. 27Service
6. 28Service
7. DTCInfo
8. DTCList
9. DTCData
10. Snapshot
11. ExtendedData
12. DIDList
13. DIDData
14. 2FService
15. 31Service
16. 23_3DService
17. 2AService
18. Bootloader
19. EOL
20. Calibration
21. NRC
22. OIL</t>
    <phoneticPr fontId="45" type="noConversion"/>
  </si>
  <si>
    <r>
      <t xml:space="preserve">1. </t>
    </r>
    <r>
      <rPr>
        <sz val="10"/>
        <color theme="1"/>
        <rFont val="細明體"/>
        <family val="2"/>
        <charset val="136"/>
      </rPr>
      <t>移除</t>
    </r>
    <r>
      <rPr>
        <sz val="10"/>
        <color theme="1"/>
        <rFont val="Arial"/>
        <family val="2"/>
      </rPr>
      <t>column G~J</t>
    </r>
    <r>
      <rPr>
        <sz val="10"/>
        <color theme="1"/>
        <rFont val="細明體"/>
        <family val="2"/>
        <charset val="136"/>
      </rPr>
      <t>。</t>
    </r>
    <r>
      <rPr>
        <sz val="10"/>
        <color theme="1"/>
        <rFont val="Arial"/>
        <family val="2"/>
      </rPr>
      <t xml:space="preserve">
2. </t>
    </r>
    <r>
      <rPr>
        <sz val="10"/>
        <color theme="1"/>
        <rFont val="細明體"/>
        <family val="2"/>
        <charset val="136"/>
      </rPr>
      <t>移除中文字體。</t>
    </r>
    <r>
      <rPr>
        <sz val="10"/>
        <color theme="1"/>
        <rFont val="Arial"/>
        <family val="2"/>
      </rPr>
      <t xml:space="preserve">
3-1. </t>
    </r>
    <r>
      <rPr>
        <sz val="10"/>
        <color theme="1"/>
        <rFont val="細明體"/>
        <family val="2"/>
        <charset val="136"/>
      </rPr>
      <t>移除中文字體。</t>
    </r>
    <r>
      <rPr>
        <sz val="10"/>
        <color theme="1"/>
        <rFont val="Arial"/>
        <family val="2"/>
      </rPr>
      <t xml:space="preserve">
3-2. </t>
    </r>
    <r>
      <rPr>
        <sz val="10"/>
        <color theme="1"/>
        <rFont val="細明體"/>
        <family val="2"/>
        <charset val="136"/>
      </rPr>
      <t>參考</t>
    </r>
    <r>
      <rPr>
        <sz val="10"/>
        <color theme="1"/>
        <rFont val="Arial"/>
        <family val="2"/>
      </rPr>
      <t>"FSE-F00005 Requirement Specification - Diagnostic Communication revision E_20240516.docx"</t>
    </r>
    <r>
      <rPr>
        <sz val="10"/>
        <color theme="1"/>
        <rFont val="細明體"/>
        <family val="2"/>
        <charset val="136"/>
      </rPr>
      <t>，欄位</t>
    </r>
    <r>
      <rPr>
        <sz val="10"/>
        <color theme="1"/>
        <rFont val="Arial"/>
        <family val="2"/>
      </rPr>
      <t>E30</t>
    </r>
    <r>
      <rPr>
        <sz val="10"/>
        <color theme="1"/>
        <rFont val="細明體"/>
        <family val="2"/>
        <charset val="136"/>
      </rPr>
      <t>調整為</t>
    </r>
    <r>
      <rPr>
        <sz val="10"/>
        <color theme="1"/>
        <rFont val="Arial"/>
        <family val="2"/>
      </rPr>
      <t>"</t>
    </r>
    <r>
      <rPr>
        <sz val="10"/>
        <color theme="1"/>
        <rFont val="Cambria Math"/>
        <family val="2"/>
      </rPr>
      <t>≤</t>
    </r>
    <r>
      <rPr>
        <sz val="10"/>
        <color theme="1"/>
        <rFont val="Arial"/>
        <family val="2"/>
      </rPr>
      <t>1ms"</t>
    </r>
    <r>
      <rPr>
        <sz val="10"/>
        <color theme="1"/>
        <rFont val="細明體"/>
        <family val="2"/>
        <charset val="136"/>
      </rPr>
      <t xml:space="preserve">。
</t>
    </r>
    <r>
      <rPr>
        <sz val="10"/>
        <color theme="1"/>
        <rFont val="Arial"/>
        <family val="2"/>
      </rPr>
      <t xml:space="preserve">3-3. </t>
    </r>
    <r>
      <rPr>
        <sz val="10"/>
        <color theme="1"/>
        <rFont val="細明體"/>
        <family val="2"/>
        <charset val="136"/>
      </rPr>
      <t>更新</t>
    </r>
    <r>
      <rPr>
        <sz val="10"/>
        <color theme="1"/>
        <rFont val="Arial"/>
        <family val="2"/>
      </rPr>
      <t>row 55</t>
    </r>
    <r>
      <rPr>
        <sz val="10"/>
        <color theme="1"/>
        <rFont val="細明體"/>
        <family val="2"/>
        <charset val="136"/>
      </rPr>
      <t>內容。</t>
    </r>
    <r>
      <rPr>
        <sz val="10"/>
        <color theme="1"/>
        <rFont val="Arial"/>
        <family val="2"/>
      </rPr>
      <t xml:space="preserve">
4-1. </t>
    </r>
    <r>
      <rPr>
        <sz val="10"/>
        <color theme="1"/>
        <rFont val="細明體"/>
        <family val="2"/>
        <charset val="136"/>
      </rPr>
      <t>移除中文字體。</t>
    </r>
    <r>
      <rPr>
        <sz val="10"/>
        <color theme="1"/>
        <rFont val="Arial"/>
        <family val="2"/>
      </rPr>
      <t xml:space="preserve">
4-2. </t>
    </r>
    <r>
      <rPr>
        <sz val="10"/>
        <color theme="1"/>
        <rFont val="細明體"/>
        <family val="2"/>
        <charset val="136"/>
      </rPr>
      <t>新增欄位</t>
    </r>
    <r>
      <rPr>
        <sz val="10"/>
        <color theme="1"/>
        <rFont val="Arial"/>
        <family val="2"/>
      </rPr>
      <t>L9</t>
    </r>
    <r>
      <rPr>
        <sz val="10"/>
        <color theme="1"/>
        <rFont val="細明體"/>
        <family val="2"/>
        <charset val="136"/>
      </rPr>
      <t>、欄位</t>
    </r>
    <r>
      <rPr>
        <sz val="10"/>
        <color theme="1"/>
        <rFont val="Arial"/>
        <family val="2"/>
      </rPr>
      <t>M9</t>
    </r>
    <r>
      <rPr>
        <sz val="10"/>
        <color theme="1"/>
        <rFont val="細明體"/>
        <family val="2"/>
        <charset val="136"/>
      </rPr>
      <t xml:space="preserve">內容。
</t>
    </r>
    <r>
      <rPr>
        <sz val="10"/>
        <color theme="1"/>
        <rFont val="Arial"/>
        <family val="2"/>
      </rPr>
      <t xml:space="preserve">4-3. </t>
    </r>
    <r>
      <rPr>
        <sz val="10"/>
        <color theme="1"/>
        <rFont val="細明體"/>
        <family val="2"/>
        <charset val="136"/>
      </rPr>
      <t>更新欄位K21~K23內容。</t>
    </r>
    <r>
      <rPr>
        <sz val="10"/>
        <color theme="1"/>
        <rFont val="Arial"/>
        <family val="2"/>
      </rPr>
      <t xml:space="preserve">
5-1. </t>
    </r>
    <r>
      <rPr>
        <sz val="10"/>
        <color theme="1"/>
        <rFont val="細明體"/>
        <family val="2"/>
        <charset val="136"/>
      </rPr>
      <t>移除中文字體。
5-2. 新增</t>
    </r>
    <r>
      <rPr>
        <sz val="10"/>
        <color theme="1"/>
        <rFont val="Arial"/>
        <family val="2"/>
      </rPr>
      <t>column G~M</t>
    </r>
    <r>
      <rPr>
        <sz val="10"/>
        <color theme="1"/>
        <rFont val="細明體"/>
        <family val="2"/>
        <charset val="136"/>
      </rPr>
      <t>。</t>
    </r>
    <r>
      <rPr>
        <sz val="10"/>
        <color theme="1"/>
        <rFont val="Arial"/>
        <family val="2"/>
      </rPr>
      <t xml:space="preserve">
6. </t>
    </r>
    <r>
      <rPr>
        <sz val="10"/>
        <color theme="1"/>
        <rFont val="細明體"/>
        <family val="2"/>
        <charset val="136"/>
      </rPr>
      <t>移除中文字體。</t>
    </r>
    <r>
      <rPr>
        <sz val="10"/>
        <color theme="1"/>
        <rFont val="Arial"/>
        <family val="2"/>
      </rPr>
      <t xml:space="preserve">
7. </t>
    </r>
    <r>
      <rPr>
        <sz val="10"/>
        <color theme="1"/>
        <rFont val="細明體"/>
        <family val="2"/>
        <charset val="136"/>
      </rPr>
      <t>移除中文字體。</t>
    </r>
    <r>
      <rPr>
        <sz val="10"/>
        <color theme="1"/>
        <rFont val="Arial"/>
        <family val="2"/>
      </rPr>
      <t xml:space="preserve">
8. </t>
    </r>
    <r>
      <rPr>
        <sz val="10"/>
        <color theme="1"/>
        <rFont val="細明體"/>
        <family val="2"/>
        <charset val="136"/>
      </rPr>
      <t>新增</t>
    </r>
    <r>
      <rPr>
        <sz val="10"/>
        <color theme="1"/>
        <rFont val="Arial"/>
        <family val="2"/>
      </rPr>
      <t xml:space="preserve">sheet"DTCList"
9. </t>
    </r>
    <r>
      <rPr>
        <sz val="10"/>
        <color theme="1"/>
        <rFont val="細明體"/>
        <family val="2"/>
        <charset val="136"/>
      </rPr>
      <t>新增</t>
    </r>
    <r>
      <rPr>
        <sz val="10"/>
        <color theme="1"/>
        <rFont val="Arial"/>
        <family val="2"/>
      </rPr>
      <t xml:space="preserve">sheet"DTCData"
10-1. </t>
    </r>
    <r>
      <rPr>
        <sz val="10"/>
        <color theme="1"/>
        <rFont val="細明體"/>
        <family val="2"/>
        <charset val="136"/>
      </rPr>
      <t>移除中文字體。</t>
    </r>
    <r>
      <rPr>
        <sz val="10"/>
        <color theme="1"/>
        <rFont val="Arial"/>
        <family val="2"/>
      </rPr>
      <t xml:space="preserve">
10-2. </t>
    </r>
    <r>
      <rPr>
        <sz val="10"/>
        <color theme="1"/>
        <rFont val="細明體"/>
        <family val="2"/>
        <charset val="136"/>
      </rPr>
      <t>更新欄位</t>
    </r>
    <r>
      <rPr>
        <sz val="10"/>
        <color theme="1"/>
        <rFont val="Arial"/>
        <family val="2"/>
      </rPr>
      <t>I12</t>
    </r>
    <r>
      <rPr>
        <sz val="10"/>
        <color theme="1"/>
        <rFont val="細明體"/>
        <family val="2"/>
        <charset val="136"/>
      </rPr>
      <t>、</t>
    </r>
    <r>
      <rPr>
        <sz val="10"/>
        <color theme="1"/>
        <rFont val="Arial"/>
        <family val="2"/>
      </rPr>
      <t>K12</t>
    </r>
    <r>
      <rPr>
        <sz val="10"/>
        <color theme="1"/>
        <rFont val="細明體"/>
        <family val="2"/>
        <charset val="136"/>
      </rPr>
      <t>、</t>
    </r>
    <r>
      <rPr>
        <sz val="10"/>
        <color theme="1"/>
        <rFont val="Arial"/>
        <family val="2"/>
      </rPr>
      <t>O12</t>
    </r>
    <r>
      <rPr>
        <sz val="10"/>
        <color theme="1"/>
        <rFont val="細明體"/>
        <family val="2"/>
        <charset val="136"/>
      </rPr>
      <t>內容。</t>
    </r>
    <r>
      <rPr>
        <sz val="10"/>
        <color theme="1"/>
        <rFont val="Arial"/>
        <family val="2"/>
      </rPr>
      <t xml:space="preserve">
11-1. </t>
    </r>
    <r>
      <rPr>
        <sz val="10"/>
        <color theme="1"/>
        <rFont val="細明體"/>
        <family val="2"/>
        <charset val="136"/>
      </rPr>
      <t>移除中文字體。</t>
    </r>
    <r>
      <rPr>
        <sz val="10"/>
        <color theme="1"/>
        <rFont val="Arial"/>
        <family val="2"/>
      </rPr>
      <t xml:space="preserve">
11-2. </t>
    </r>
    <r>
      <rPr>
        <sz val="10"/>
        <color theme="1"/>
        <rFont val="細明體"/>
        <family val="2"/>
        <charset val="136"/>
      </rPr>
      <t>更新欄位</t>
    </r>
    <r>
      <rPr>
        <sz val="10"/>
        <color theme="1"/>
        <rFont val="Arial"/>
        <family val="2"/>
      </rPr>
      <t>C9</t>
    </r>
    <r>
      <rPr>
        <sz val="10"/>
        <color theme="1"/>
        <rFont val="細明體"/>
        <family val="2"/>
        <charset val="136"/>
      </rPr>
      <t>、</t>
    </r>
    <r>
      <rPr>
        <sz val="10"/>
        <color theme="1"/>
        <rFont val="Arial"/>
        <family val="2"/>
      </rPr>
      <t>Q9</t>
    </r>
    <r>
      <rPr>
        <sz val="10"/>
        <color theme="1"/>
        <rFont val="細明體"/>
        <family val="2"/>
        <charset val="136"/>
      </rPr>
      <t>、</t>
    </r>
    <r>
      <rPr>
        <sz val="10"/>
        <color theme="1"/>
        <rFont val="Arial"/>
        <family val="2"/>
      </rPr>
      <t>C11</t>
    </r>
    <r>
      <rPr>
        <sz val="10"/>
        <color theme="1"/>
        <rFont val="細明體"/>
        <family val="2"/>
        <charset val="136"/>
      </rPr>
      <t>、</t>
    </r>
    <r>
      <rPr>
        <sz val="10"/>
        <color theme="1"/>
        <rFont val="Arial"/>
        <family val="2"/>
      </rPr>
      <t>Q11</t>
    </r>
    <r>
      <rPr>
        <sz val="10"/>
        <color theme="1"/>
        <rFont val="細明體"/>
        <family val="2"/>
        <charset val="136"/>
      </rPr>
      <t>內容。</t>
    </r>
    <r>
      <rPr>
        <sz val="10"/>
        <color theme="1"/>
        <rFont val="Arial"/>
        <family val="2"/>
      </rPr>
      <t xml:space="preserve">
12-1. </t>
    </r>
    <r>
      <rPr>
        <sz val="10"/>
        <color theme="1"/>
        <rFont val="細明體"/>
        <family val="2"/>
        <charset val="136"/>
      </rPr>
      <t>移除中文字體。</t>
    </r>
    <r>
      <rPr>
        <sz val="10"/>
        <color theme="1"/>
        <rFont val="Arial"/>
        <family val="2"/>
      </rPr>
      <t xml:space="preserve">
12-2. </t>
    </r>
    <r>
      <rPr>
        <sz val="10"/>
        <color theme="1"/>
        <rFont val="細明體"/>
        <family val="2"/>
        <charset val="136"/>
      </rPr>
      <t>新增</t>
    </r>
    <r>
      <rPr>
        <sz val="10"/>
        <color theme="1"/>
        <rFont val="Arial"/>
        <family val="2"/>
      </rPr>
      <t>column F~S</t>
    </r>
    <r>
      <rPr>
        <sz val="10"/>
        <color theme="1"/>
        <rFont val="細明體"/>
        <family val="2"/>
        <charset val="136"/>
      </rPr>
      <t>。</t>
    </r>
    <r>
      <rPr>
        <sz val="10"/>
        <color theme="1"/>
        <rFont val="Arial"/>
        <family val="2"/>
      </rPr>
      <t xml:space="preserve">
13-1. </t>
    </r>
    <r>
      <rPr>
        <sz val="10"/>
        <color theme="1"/>
        <rFont val="細明體"/>
        <family val="2"/>
        <charset val="136"/>
      </rPr>
      <t>移除中文字體。</t>
    </r>
    <r>
      <rPr>
        <sz val="10"/>
        <color theme="1"/>
        <rFont val="Arial"/>
        <family val="2"/>
      </rPr>
      <t xml:space="preserve">
13-2. </t>
    </r>
    <r>
      <rPr>
        <sz val="10"/>
        <color theme="1"/>
        <rFont val="細明體"/>
        <family val="2"/>
        <charset val="136"/>
      </rPr>
      <t>更新欄位</t>
    </r>
    <r>
      <rPr>
        <sz val="10"/>
        <color theme="1"/>
        <rFont val="Arial"/>
        <family val="2"/>
      </rPr>
      <t>H29</t>
    </r>
    <r>
      <rPr>
        <sz val="10"/>
        <color theme="1"/>
        <rFont val="細明體"/>
        <family val="2"/>
        <charset val="136"/>
      </rPr>
      <t>、</t>
    </r>
    <r>
      <rPr>
        <sz val="10"/>
        <color theme="1"/>
        <rFont val="Arial"/>
        <family val="2"/>
      </rPr>
      <t>J29</t>
    </r>
    <r>
      <rPr>
        <sz val="10"/>
        <color theme="1"/>
        <rFont val="細明體"/>
        <family val="2"/>
        <charset val="136"/>
      </rPr>
      <t>、</t>
    </r>
    <r>
      <rPr>
        <sz val="10"/>
        <color theme="1"/>
        <rFont val="Arial"/>
        <family val="2"/>
      </rPr>
      <t>N29</t>
    </r>
    <r>
      <rPr>
        <sz val="10"/>
        <color theme="1"/>
        <rFont val="細明體"/>
        <family val="2"/>
        <charset val="136"/>
      </rPr>
      <t>內容。</t>
    </r>
    <r>
      <rPr>
        <sz val="10"/>
        <color theme="1"/>
        <rFont val="Arial"/>
        <family val="2"/>
      </rPr>
      <t xml:space="preserve">
14. </t>
    </r>
    <r>
      <rPr>
        <sz val="10"/>
        <color theme="1"/>
        <rFont val="細明體"/>
        <family val="2"/>
        <charset val="136"/>
      </rPr>
      <t>移除中文字體。</t>
    </r>
    <r>
      <rPr>
        <sz val="10"/>
        <color theme="1"/>
        <rFont val="Arial"/>
        <family val="2"/>
      </rPr>
      <t xml:space="preserve">
15-1. </t>
    </r>
    <r>
      <rPr>
        <sz val="10"/>
        <color theme="1"/>
        <rFont val="細明體"/>
        <family val="2"/>
        <charset val="136"/>
      </rPr>
      <t>移除中文字體。</t>
    </r>
    <r>
      <rPr>
        <sz val="10"/>
        <color theme="1"/>
        <rFont val="Arial"/>
        <family val="2"/>
      </rPr>
      <t xml:space="preserve">
15-2. </t>
    </r>
    <r>
      <rPr>
        <sz val="10"/>
        <color theme="1"/>
        <rFont val="細明體"/>
        <family val="2"/>
        <charset val="136"/>
      </rPr>
      <t>新增欄位</t>
    </r>
    <r>
      <rPr>
        <sz val="10"/>
        <color theme="1"/>
        <rFont val="Arial"/>
        <family val="2"/>
      </rPr>
      <t>F4</t>
    </r>
    <r>
      <rPr>
        <sz val="10"/>
        <color theme="1"/>
        <rFont val="細明體"/>
        <family val="2"/>
        <charset val="136"/>
      </rPr>
      <t>、</t>
    </r>
    <r>
      <rPr>
        <sz val="10"/>
        <color theme="1"/>
        <rFont val="Arial"/>
        <family val="2"/>
      </rPr>
      <t>row16</t>
    </r>
    <r>
      <rPr>
        <sz val="10"/>
        <color theme="1"/>
        <rFont val="細明體"/>
        <family val="2"/>
        <charset val="136"/>
      </rPr>
      <t>內容。</t>
    </r>
    <r>
      <rPr>
        <sz val="10"/>
        <color theme="1"/>
        <rFont val="Arial"/>
        <family val="2"/>
      </rPr>
      <t xml:space="preserve">
16. </t>
    </r>
    <r>
      <rPr>
        <sz val="10"/>
        <color theme="1"/>
        <rFont val="細明體"/>
        <family val="2"/>
        <charset val="136"/>
      </rPr>
      <t>移除中文字體。</t>
    </r>
    <r>
      <rPr>
        <sz val="10"/>
        <color theme="1"/>
        <rFont val="Arial"/>
        <family val="2"/>
      </rPr>
      <t xml:space="preserve">
17. </t>
    </r>
    <r>
      <rPr>
        <sz val="10"/>
        <color theme="1"/>
        <rFont val="細明體"/>
        <family val="2"/>
        <charset val="136"/>
      </rPr>
      <t>移除中文字體。</t>
    </r>
    <r>
      <rPr>
        <sz val="10"/>
        <color theme="1"/>
        <rFont val="Arial"/>
        <family val="2"/>
      </rPr>
      <t xml:space="preserve">
18-1. </t>
    </r>
    <r>
      <rPr>
        <sz val="10"/>
        <color theme="1"/>
        <rFont val="細明體"/>
        <family val="2"/>
        <charset val="136"/>
      </rPr>
      <t>移除中文字體。</t>
    </r>
    <r>
      <rPr>
        <sz val="10"/>
        <color theme="1"/>
        <rFont val="Arial"/>
        <family val="2"/>
      </rPr>
      <t xml:space="preserve">
18-2. </t>
    </r>
    <r>
      <rPr>
        <sz val="10"/>
        <color theme="1"/>
        <rFont val="細明體"/>
        <family val="2"/>
        <charset val="136"/>
      </rPr>
      <t>更新</t>
    </r>
    <r>
      <rPr>
        <sz val="10"/>
        <color theme="1"/>
        <rFont val="Arial"/>
        <family val="2"/>
      </rPr>
      <t>row1</t>
    </r>
    <r>
      <rPr>
        <sz val="10"/>
        <color theme="1"/>
        <rFont val="細明體"/>
        <family val="2"/>
        <charset val="136"/>
      </rPr>
      <t>內容。</t>
    </r>
    <r>
      <rPr>
        <sz val="10"/>
        <color theme="1"/>
        <rFont val="Arial"/>
        <family val="2"/>
      </rPr>
      <t xml:space="preserve">
19. </t>
    </r>
    <r>
      <rPr>
        <sz val="10"/>
        <color theme="1"/>
        <rFont val="細明體"/>
        <family val="2"/>
        <charset val="136"/>
      </rPr>
      <t>移除中文字體。</t>
    </r>
    <r>
      <rPr>
        <sz val="10"/>
        <color theme="1"/>
        <rFont val="Arial"/>
        <family val="2"/>
      </rPr>
      <t xml:space="preserve">
20. </t>
    </r>
    <r>
      <rPr>
        <sz val="10"/>
        <color theme="1"/>
        <rFont val="細明體"/>
        <family val="2"/>
        <charset val="136"/>
      </rPr>
      <t>移除中文字體。</t>
    </r>
    <r>
      <rPr>
        <sz val="10"/>
        <color theme="1"/>
        <rFont val="Arial"/>
        <family val="2"/>
      </rPr>
      <t xml:space="preserve">
21. </t>
    </r>
    <r>
      <rPr>
        <sz val="10"/>
        <color theme="1"/>
        <rFont val="細明體"/>
        <family val="2"/>
        <charset val="136"/>
      </rPr>
      <t>移除中文字體。</t>
    </r>
    <r>
      <rPr>
        <sz val="10"/>
        <color theme="1"/>
        <rFont val="Arial"/>
        <family val="2"/>
      </rPr>
      <t xml:space="preserve">
22. </t>
    </r>
    <r>
      <rPr>
        <sz val="10"/>
        <color theme="1"/>
        <rFont val="細明體"/>
        <family val="2"/>
        <charset val="136"/>
      </rPr>
      <t>移除中文字體。</t>
    </r>
    <phoneticPr fontId="45" type="noConversion"/>
  </si>
  <si>
    <t>M</t>
    <phoneticPr fontId="45" type="noConversion"/>
  </si>
  <si>
    <t>2025/2/10</t>
    <phoneticPr fontId="45" type="noConversion"/>
  </si>
  <si>
    <t>1. Revision
2. GeneralInfo
3. Services
4. DTCInfo
5. DTCData</t>
    <phoneticPr fontId="45" type="noConversion"/>
  </si>
  <si>
    <t>1. Revision
1-1. 新增M版履歷
2. GeneralInfo
2-1. 移除Client端時間參數欄位
2-2. 新增ZEVonUDS欄位
3. Services
3-1. 新增0x19 42 ReportWWHOBDDTCByMaskRecord欄位(ZEVonUDS)
4. DTCInfo
4-1. 新增DTC Group 0xFFFF33 Remark(ZEVonUDS)
4-2. 新增DTC Status bit 0,1,2,3,4,6 Remark(ZEVonUDS)
4-3. 新增Diagnostic Questionnaire - DTCFormatIdentifier(ZEVonUDS)
5. DTCData
5-1. DTC Level修改為DTC Severity(ZEVonUDS)</t>
    <phoneticPr fontId="45" type="noConversion"/>
  </si>
  <si>
    <t>v02.22_2025/04/11_R0</t>
    <phoneticPr fontId="28" type="noConversion"/>
  </si>
  <si>
    <t>Revision Management</t>
  </si>
  <si>
    <t>Revision</t>
    <phoneticPr fontId="28" type="noConversion"/>
  </si>
  <si>
    <t>Date</t>
    <phoneticPr fontId="28" type="noConversion"/>
  </si>
  <si>
    <t>Author</t>
    <phoneticPr fontId="28" type="noConversion"/>
  </si>
  <si>
    <t>Changes Section</t>
    <phoneticPr fontId="28" type="noConversion"/>
  </si>
  <si>
    <t>Changes Comments</t>
    <phoneticPr fontId="28" type="noConversion"/>
  </si>
  <si>
    <t>v1.0</t>
  </si>
  <si>
    <t>2023/01/01</t>
    <phoneticPr fontId="28" type="noConversion"/>
  </si>
  <si>
    <t>陳冠廷</t>
    <phoneticPr fontId="28" type="noConversion"/>
  </si>
  <si>
    <t>初版發行</t>
    <phoneticPr fontId="28" type="noConversion"/>
  </si>
  <si>
    <t>v1.1</t>
    <phoneticPr fontId="28" type="noConversion"/>
  </si>
  <si>
    <t>內容修正</t>
    <phoneticPr fontId="28" type="noConversion"/>
  </si>
  <si>
    <t>v1.2</t>
    <phoneticPr fontId="28" type="noConversion"/>
  </si>
  <si>
    <t>2023/05/04</t>
    <phoneticPr fontId="28" type="noConversion"/>
  </si>
  <si>
    <t>v1.3</t>
    <phoneticPr fontId="28" type="noConversion"/>
  </si>
  <si>
    <t>2023/06/01</t>
    <phoneticPr fontId="28" type="noConversion"/>
  </si>
  <si>
    <t>張晉圖</t>
    <phoneticPr fontId="28" type="noConversion"/>
  </si>
  <si>
    <t>ALL</t>
    <phoneticPr fontId="28" type="noConversion"/>
  </si>
  <si>
    <t>重新整理</t>
    <phoneticPr fontId="28" type="noConversion"/>
  </si>
  <si>
    <t>v1.4</t>
    <phoneticPr fontId="28" type="noConversion"/>
  </si>
  <si>
    <t>2023/07/17</t>
    <phoneticPr fontId="28" type="noConversion"/>
  </si>
  <si>
    <r>
      <t>DTCList</t>
    </r>
    <r>
      <rPr>
        <sz val="10"/>
        <rFont val="細明體"/>
        <family val="2"/>
        <charset val="136"/>
      </rPr>
      <t>、</t>
    </r>
    <r>
      <rPr>
        <sz val="10"/>
        <rFont val="Arial"/>
        <family val="2"/>
      </rPr>
      <t>DIDdata</t>
    </r>
    <r>
      <rPr>
        <sz val="10"/>
        <rFont val="新細明體"/>
        <family val="2"/>
        <charset val="136"/>
      </rPr>
      <t>、</t>
    </r>
    <r>
      <rPr>
        <sz val="10"/>
        <rFont val="Arial"/>
        <family val="2"/>
      </rPr>
      <t>DIDList</t>
    </r>
    <r>
      <rPr>
        <sz val="10"/>
        <rFont val="新細明體"/>
        <family val="2"/>
        <charset val="136"/>
      </rPr>
      <t>、</t>
    </r>
    <r>
      <rPr>
        <sz val="10"/>
        <rFont val="Arial"/>
        <family val="2"/>
      </rPr>
      <t>EOL</t>
    </r>
    <phoneticPr fontId="28" type="noConversion"/>
  </si>
  <si>
    <t>v1.5</t>
    <phoneticPr fontId="28" type="noConversion"/>
  </si>
  <si>
    <t>2023/07/19</t>
    <phoneticPr fontId="28" type="noConversion"/>
  </si>
  <si>
    <r>
      <t>DTCList</t>
    </r>
    <r>
      <rPr>
        <sz val="10"/>
        <rFont val="細明體"/>
        <family val="2"/>
        <charset val="136"/>
      </rPr>
      <t>、</t>
    </r>
    <r>
      <rPr>
        <sz val="10"/>
        <rFont val="Arial"/>
        <family val="2"/>
      </rPr>
      <t>DIDdata</t>
    </r>
    <r>
      <rPr>
        <sz val="10"/>
        <rFont val="新細明體"/>
        <family val="2"/>
        <charset val="136"/>
      </rPr>
      <t>、</t>
    </r>
    <r>
      <rPr>
        <sz val="10"/>
        <rFont val="Arial"/>
        <family val="2"/>
      </rPr>
      <t>DIDList</t>
    </r>
    <r>
      <rPr>
        <sz val="10"/>
        <rFont val="新細明體"/>
        <family val="2"/>
        <charset val="136"/>
      </rPr>
      <t>、</t>
    </r>
    <r>
      <rPr>
        <sz val="10"/>
        <rFont val="Arial"/>
        <family val="2"/>
      </rPr>
      <t>Calibration</t>
    </r>
    <r>
      <rPr>
        <sz val="10"/>
        <rFont val="新細明體"/>
        <family val="2"/>
        <charset val="136"/>
      </rPr>
      <t xml:space="preserve">、
</t>
    </r>
    <r>
      <rPr>
        <sz val="10"/>
        <rFont val="Arial"/>
        <family val="2"/>
      </rPr>
      <t>GeneralInfo</t>
    </r>
    <r>
      <rPr>
        <sz val="10"/>
        <rFont val="新細明體"/>
        <family val="2"/>
        <charset val="136"/>
      </rPr>
      <t>、</t>
    </r>
    <r>
      <rPr>
        <sz val="10"/>
        <rFont val="Arial"/>
        <family val="2"/>
      </rPr>
      <t>Snapshot</t>
    </r>
    <r>
      <rPr>
        <sz val="10"/>
        <rFont val="新細明體"/>
        <family val="2"/>
        <charset val="136"/>
      </rPr>
      <t>、</t>
    </r>
    <r>
      <rPr>
        <sz val="10"/>
        <rFont val="Arial"/>
        <family val="2"/>
      </rPr>
      <t>2FService</t>
    </r>
    <phoneticPr fontId="28" type="noConversion"/>
  </si>
  <si>
    <t>v1.6</t>
  </si>
  <si>
    <t>2023/07/21</t>
    <phoneticPr fontId="28" type="noConversion"/>
  </si>
  <si>
    <r>
      <t>DTCList</t>
    </r>
    <r>
      <rPr>
        <sz val="10"/>
        <rFont val="細明體"/>
        <family val="2"/>
        <charset val="136"/>
      </rPr>
      <t>、</t>
    </r>
    <r>
      <rPr>
        <sz val="10"/>
        <rFont val="Arial"/>
        <family val="2"/>
      </rPr>
      <t>DIDdata</t>
    </r>
    <r>
      <rPr>
        <sz val="10"/>
        <rFont val="新細明體"/>
        <family val="2"/>
        <charset val="136"/>
      </rPr>
      <t>、</t>
    </r>
    <r>
      <rPr>
        <sz val="10"/>
        <rFont val="Arial"/>
        <family val="2"/>
      </rPr>
      <t>DIDList</t>
    </r>
    <phoneticPr fontId="28" type="noConversion"/>
  </si>
  <si>
    <t>v1.7</t>
    <phoneticPr fontId="28" type="noConversion"/>
  </si>
  <si>
    <t>2023/07/25</t>
    <phoneticPr fontId="28" type="noConversion"/>
  </si>
  <si>
    <t>張晉圖</t>
  </si>
  <si>
    <r>
      <t>DIDdata</t>
    </r>
    <r>
      <rPr>
        <sz val="10"/>
        <rFont val="細明體"/>
        <family val="3"/>
        <charset val="136"/>
      </rPr>
      <t>、</t>
    </r>
    <r>
      <rPr>
        <sz val="10"/>
        <rFont val="Arial"/>
        <family val="2"/>
      </rPr>
      <t>DIDList</t>
    </r>
    <r>
      <rPr>
        <sz val="10"/>
        <rFont val="新細明體"/>
        <family val="2"/>
        <charset val="136"/>
      </rPr>
      <t>、</t>
    </r>
    <r>
      <rPr>
        <sz val="10"/>
        <rFont val="Arial"/>
        <family val="2"/>
      </rPr>
      <t>Services</t>
    </r>
    <r>
      <rPr>
        <sz val="10"/>
        <rFont val="新細明體"/>
        <family val="2"/>
        <charset val="136"/>
      </rPr>
      <t>、</t>
    </r>
    <r>
      <rPr>
        <sz val="10"/>
        <rFont val="Arial"/>
        <family val="2"/>
      </rPr>
      <t>27Service</t>
    </r>
    <r>
      <rPr>
        <sz val="10"/>
        <rFont val="新細明體"/>
        <family val="2"/>
        <charset val="136"/>
      </rPr>
      <t>、</t>
    </r>
    <r>
      <rPr>
        <sz val="10"/>
        <rFont val="Arial"/>
        <family val="2"/>
      </rPr>
      <t>2FService</t>
    </r>
    <phoneticPr fontId="28" type="noConversion"/>
  </si>
  <si>
    <t>v1.8</t>
    <phoneticPr fontId="28" type="noConversion"/>
  </si>
  <si>
    <t>2023/07/27</t>
    <phoneticPr fontId="28" type="noConversion"/>
  </si>
  <si>
    <r>
      <t>DIDdata</t>
    </r>
    <r>
      <rPr>
        <sz val="10"/>
        <rFont val="細明體"/>
        <family val="3"/>
        <charset val="136"/>
      </rPr>
      <t>、</t>
    </r>
    <r>
      <rPr>
        <sz val="10"/>
        <rFont val="Arial"/>
        <family val="2"/>
      </rPr>
      <t>DIDList</t>
    </r>
    <r>
      <rPr>
        <sz val="10"/>
        <rFont val="新細明體"/>
        <family val="2"/>
        <charset val="136"/>
      </rPr>
      <t>、</t>
    </r>
    <r>
      <rPr>
        <sz val="10"/>
        <rFont val="Arial"/>
        <family val="2"/>
      </rPr>
      <t>Services</t>
    </r>
    <r>
      <rPr>
        <sz val="10"/>
        <rFont val="新細明體"/>
        <family val="2"/>
        <charset val="136"/>
      </rPr>
      <t>、</t>
    </r>
    <r>
      <rPr>
        <sz val="10"/>
        <rFont val="Arial"/>
        <family val="2"/>
      </rPr>
      <t>EOL</t>
    </r>
    <r>
      <rPr>
        <sz val="10"/>
        <rFont val="新細明體"/>
        <family val="2"/>
        <charset val="136"/>
      </rPr>
      <t>、</t>
    </r>
    <r>
      <rPr>
        <sz val="10"/>
        <rFont val="Arial"/>
        <family val="2"/>
      </rPr>
      <t>Calibration</t>
    </r>
    <r>
      <rPr>
        <sz val="10"/>
        <rFont val="新細明體"/>
        <family val="2"/>
        <charset val="136"/>
      </rPr>
      <t>、</t>
    </r>
    <r>
      <rPr>
        <sz val="10"/>
        <rFont val="Arial"/>
        <family val="2"/>
      </rPr>
      <t xml:space="preserve">
GeneralInfo</t>
    </r>
    <r>
      <rPr>
        <sz val="10"/>
        <rFont val="新細明體"/>
        <family val="2"/>
        <charset val="136"/>
      </rPr>
      <t>、</t>
    </r>
    <phoneticPr fontId="28" type="noConversion"/>
  </si>
  <si>
    <t>v1.9</t>
    <phoneticPr fontId="28" type="noConversion"/>
  </si>
  <si>
    <t>2023/07/31</t>
    <phoneticPr fontId="28" type="noConversion"/>
  </si>
  <si>
    <r>
      <t>EOL</t>
    </r>
    <r>
      <rPr>
        <sz val="10"/>
        <rFont val="微軟正黑體"/>
        <family val="2"/>
        <charset val="136"/>
      </rPr>
      <t>、</t>
    </r>
    <r>
      <rPr>
        <sz val="10"/>
        <rFont val="Arial"/>
        <family val="2"/>
      </rPr>
      <t>DTCList</t>
    </r>
    <phoneticPr fontId="28" type="noConversion"/>
  </si>
  <si>
    <t>v1.10</t>
  </si>
  <si>
    <t>2023/09/18</t>
  </si>
  <si>
    <t>DTCList</t>
  </si>
  <si>
    <t>DTCList: B100903~B100906 誤記訂正</t>
  </si>
  <si>
    <t>v1.11</t>
  </si>
  <si>
    <t>2023/09/26</t>
    <phoneticPr fontId="28" type="noConversion"/>
  </si>
  <si>
    <t>GeneralInfo : CANFD DLC: 8 -&gt; 64</t>
    <phoneticPr fontId="28" type="noConversion"/>
  </si>
  <si>
    <t>v1.12</t>
  </si>
  <si>
    <t>2023/11/10</t>
    <phoneticPr fontId="28" type="noConversion"/>
  </si>
  <si>
    <r>
      <t>DIDdata</t>
    </r>
    <r>
      <rPr>
        <b/>
        <sz val="10"/>
        <rFont val="新細明體"/>
        <family val="2"/>
        <charset val="136"/>
      </rPr>
      <t>、</t>
    </r>
    <r>
      <rPr>
        <b/>
        <sz val="10"/>
        <rFont val="Arial"/>
        <family val="2"/>
      </rPr>
      <t>DIDList</t>
    </r>
    <r>
      <rPr>
        <b/>
        <sz val="10"/>
        <rFont val="新細明體"/>
        <family val="2"/>
        <charset val="136"/>
      </rPr>
      <t>、</t>
    </r>
    <r>
      <rPr>
        <b/>
        <sz val="10"/>
        <rFont val="Arial"/>
        <family val="2"/>
      </rPr>
      <t>EOL</t>
    </r>
    <r>
      <rPr>
        <b/>
        <sz val="10"/>
        <rFont val="新細明體"/>
        <family val="2"/>
        <charset val="136"/>
      </rPr>
      <t>、</t>
    </r>
    <r>
      <rPr>
        <b/>
        <sz val="10"/>
        <rFont val="Arial"/>
        <family val="2"/>
      </rPr>
      <t xml:space="preserve"> Calibration</t>
    </r>
    <r>
      <rPr>
        <b/>
        <sz val="10"/>
        <rFont val="細明體"/>
        <family val="2"/>
        <charset val="136"/>
      </rPr>
      <t xml:space="preserve">
27Service: Add security level 5 key 
</t>
    </r>
    <r>
      <rPr>
        <b/>
        <sz val="10"/>
        <rFont val="Arial"/>
        <family val="2"/>
      </rPr>
      <t xml:space="preserve">GeneralInfo :  DoIP Address from 0E80 to 0E00 </t>
    </r>
    <phoneticPr fontId="28" type="noConversion"/>
  </si>
  <si>
    <r>
      <rPr>
        <sz val="10"/>
        <rFont val="細明體"/>
        <family val="2"/>
        <charset val="136"/>
      </rPr>
      <t>內容修正</t>
    </r>
    <phoneticPr fontId="28" type="noConversion"/>
  </si>
  <si>
    <t>v1.13</t>
    <phoneticPr fontId="28" type="noConversion"/>
  </si>
  <si>
    <t>2023/12/14</t>
    <phoneticPr fontId="28" type="noConversion"/>
  </si>
  <si>
    <r>
      <t>31Service (IMU)</t>
    </r>
    <r>
      <rPr>
        <b/>
        <sz val="10"/>
        <rFont val="新細明體"/>
        <family val="2"/>
        <charset val="136"/>
      </rPr>
      <t>、</t>
    </r>
    <r>
      <rPr>
        <b/>
        <sz val="10"/>
        <rFont val="Arial"/>
        <family val="2"/>
      </rPr>
      <t xml:space="preserve">
DIDdata</t>
    </r>
    <r>
      <rPr>
        <b/>
        <sz val="10"/>
        <rFont val="微軟正黑體"/>
        <family val="2"/>
        <charset val="136"/>
      </rPr>
      <t>、</t>
    </r>
    <r>
      <rPr>
        <b/>
        <sz val="10"/>
        <rFont val="Arial"/>
        <family val="2"/>
      </rPr>
      <t>DIDList</t>
    </r>
    <r>
      <rPr>
        <b/>
        <sz val="10"/>
        <rFont val="微軟正黑體"/>
        <family val="2"/>
        <charset val="136"/>
      </rPr>
      <t>、</t>
    </r>
    <r>
      <rPr>
        <b/>
        <sz val="10"/>
        <rFont val="Arial"/>
        <family val="2"/>
      </rPr>
      <t>EOL</t>
    </r>
    <r>
      <rPr>
        <b/>
        <sz val="10"/>
        <rFont val="微軟正黑體"/>
        <family val="2"/>
        <charset val="136"/>
      </rPr>
      <t>、</t>
    </r>
    <r>
      <rPr>
        <b/>
        <sz val="10"/>
        <rFont val="Arial"/>
        <family val="2"/>
      </rPr>
      <t xml:space="preserve"> Calibration
27Service: Add security level 5 key </t>
    </r>
    <phoneticPr fontId="28" type="noConversion"/>
  </si>
  <si>
    <r>
      <t>1</t>
    </r>
    <r>
      <rPr>
        <sz val="10"/>
        <rFont val="新細明體"/>
        <family val="2"/>
        <charset val="136"/>
      </rPr>
      <t>、</t>
    </r>
    <r>
      <rPr>
        <sz val="10"/>
        <rFont val="細明體"/>
        <family val="2"/>
        <charset val="136"/>
      </rPr>
      <t>內容修正</t>
    </r>
    <r>
      <rPr>
        <sz val="10"/>
        <rFont val="Arial"/>
        <family val="2"/>
      </rPr>
      <t xml:space="preserve">
2</t>
    </r>
    <r>
      <rPr>
        <sz val="10"/>
        <rFont val="新細明體"/>
        <family val="2"/>
        <charset val="136"/>
      </rPr>
      <t>、</t>
    </r>
    <r>
      <rPr>
        <sz val="10"/>
        <rFont val="Microsoft JhengHei"/>
        <family val="2"/>
      </rPr>
      <t>採用</t>
    </r>
    <r>
      <rPr>
        <sz val="10"/>
        <rFont val="新細明體"/>
        <family val="2"/>
        <charset val="136"/>
      </rPr>
      <t xml:space="preserve"> K版格式</t>
    </r>
    <phoneticPr fontId="28" type="noConversion"/>
  </si>
  <si>
    <t>v1.14</t>
    <phoneticPr fontId="28" type="noConversion"/>
  </si>
  <si>
    <t>2024/2/16</t>
    <phoneticPr fontId="28" type="noConversion"/>
  </si>
  <si>
    <r>
      <t>DTCInfo</t>
    </r>
    <r>
      <rPr>
        <b/>
        <sz val="10"/>
        <rFont val="新細明體"/>
        <family val="2"/>
        <charset val="136"/>
      </rPr>
      <t>、</t>
    </r>
    <r>
      <rPr>
        <b/>
        <sz val="10"/>
        <rFont val="Arial"/>
        <family val="2"/>
      </rPr>
      <t>DTCList</t>
    </r>
    <r>
      <rPr>
        <b/>
        <sz val="10"/>
        <rFont val="新細明體"/>
        <family val="2"/>
        <charset val="136"/>
      </rPr>
      <t>、</t>
    </r>
    <r>
      <rPr>
        <b/>
        <sz val="10"/>
        <rFont val="Arial"/>
        <family val="2"/>
      </rPr>
      <t>DIDdata</t>
    </r>
    <r>
      <rPr>
        <b/>
        <sz val="10"/>
        <rFont val="微軟正黑體"/>
        <family val="2"/>
        <charset val="136"/>
      </rPr>
      <t>、</t>
    </r>
    <r>
      <rPr>
        <b/>
        <sz val="10"/>
        <rFont val="Arial"/>
        <family val="2"/>
      </rPr>
      <t>DIDList</t>
    </r>
    <r>
      <rPr>
        <b/>
        <sz val="10"/>
        <rFont val="新細明體"/>
        <family val="2"/>
        <charset val="136"/>
      </rPr>
      <t xml:space="preserve">、
</t>
    </r>
    <r>
      <rPr>
        <b/>
        <sz val="10"/>
        <rFont val="Arial"/>
        <family val="2"/>
      </rPr>
      <t>Services</t>
    </r>
    <r>
      <rPr>
        <b/>
        <sz val="10"/>
        <rFont val="新細明體"/>
        <family val="2"/>
        <charset val="136"/>
      </rPr>
      <t>、</t>
    </r>
    <r>
      <rPr>
        <b/>
        <sz val="10"/>
        <rFont val="Arial"/>
        <family val="2"/>
      </rPr>
      <t>28Service</t>
    </r>
    <r>
      <rPr>
        <b/>
        <sz val="10"/>
        <rFont val="新細明體"/>
        <family val="2"/>
        <charset val="136"/>
      </rPr>
      <t>、2</t>
    </r>
    <r>
      <rPr>
        <b/>
        <sz val="10"/>
        <rFont val="Arial"/>
        <family val="2"/>
      </rPr>
      <t>FService</t>
    </r>
    <phoneticPr fontId="28" type="noConversion"/>
  </si>
  <si>
    <t>v1.15</t>
  </si>
  <si>
    <t>2024/2/23</t>
    <phoneticPr fontId="28" type="noConversion"/>
  </si>
  <si>
    <r>
      <t>GeneralInfo</t>
    </r>
    <r>
      <rPr>
        <b/>
        <sz val="10"/>
        <rFont val="新細明體"/>
        <family val="2"/>
        <charset val="136"/>
      </rPr>
      <t>、</t>
    </r>
    <r>
      <rPr>
        <b/>
        <sz val="10"/>
        <rFont val="Arial"/>
        <family val="2"/>
      </rPr>
      <t>DTCList</t>
    </r>
    <phoneticPr fontId="28" type="noConversion"/>
  </si>
  <si>
    <t>v1.16</t>
    <phoneticPr fontId="28" type="noConversion"/>
  </si>
  <si>
    <t>2024/4/8</t>
    <phoneticPr fontId="28" type="noConversion"/>
  </si>
  <si>
    <t>DTCList (add VCU DTC)</t>
    <phoneticPr fontId="28" type="noConversion"/>
  </si>
  <si>
    <t>v1.17</t>
  </si>
  <si>
    <t>2024/4/19</t>
    <phoneticPr fontId="28" type="noConversion"/>
  </si>
  <si>
    <r>
      <t>DTCInfo</t>
    </r>
    <r>
      <rPr>
        <b/>
        <sz val="10"/>
        <rFont val="細明體"/>
        <family val="2"/>
        <charset val="136"/>
      </rPr>
      <t>、</t>
    </r>
    <r>
      <rPr>
        <b/>
        <sz val="10"/>
        <rFont val="Arial"/>
        <family val="2"/>
      </rPr>
      <t>DTCList</t>
    </r>
    <r>
      <rPr>
        <b/>
        <sz val="10"/>
        <rFont val="細明體"/>
        <family val="2"/>
        <charset val="136"/>
      </rPr>
      <t>、</t>
    </r>
    <r>
      <rPr>
        <b/>
        <sz val="10"/>
        <rFont val="Arial"/>
        <family val="2"/>
      </rPr>
      <t>DIDList</t>
    </r>
    <r>
      <rPr>
        <b/>
        <sz val="10"/>
        <rFont val="細明體"/>
        <family val="2"/>
        <charset val="136"/>
      </rPr>
      <t>、</t>
    </r>
    <r>
      <rPr>
        <b/>
        <sz val="10"/>
        <rFont val="Arial"/>
        <family val="2"/>
      </rPr>
      <t>DIDData</t>
    </r>
    <phoneticPr fontId="28" type="noConversion"/>
  </si>
  <si>
    <t>v1.18</t>
  </si>
  <si>
    <t>2024/5/19</t>
    <phoneticPr fontId="28" type="noConversion"/>
  </si>
  <si>
    <r>
      <t>DTCList</t>
    </r>
    <r>
      <rPr>
        <sz val="10"/>
        <rFont val="Microsoft JhengHei UI"/>
        <family val="2"/>
        <charset val="136"/>
      </rPr>
      <t>、</t>
    </r>
    <r>
      <rPr>
        <sz val="10"/>
        <rFont val="Arial"/>
        <family val="2"/>
      </rPr>
      <t>DIDList</t>
    </r>
    <r>
      <rPr>
        <sz val="10"/>
        <rFont val="細明體"/>
        <family val="2"/>
        <charset val="136"/>
      </rPr>
      <t>、</t>
    </r>
    <r>
      <rPr>
        <sz val="10"/>
        <rFont val="Arial"/>
        <family val="2"/>
      </rPr>
      <t>DIDData</t>
    </r>
    <r>
      <rPr>
        <sz val="10"/>
        <rFont val="細明體"/>
        <family val="2"/>
        <charset val="136"/>
      </rPr>
      <t>、</t>
    </r>
    <r>
      <rPr>
        <sz val="10"/>
        <rFont val="Arial"/>
        <family val="2"/>
      </rPr>
      <t>EOL</t>
    </r>
    <r>
      <rPr>
        <sz val="10"/>
        <rFont val="細明體"/>
        <family val="2"/>
        <charset val="136"/>
      </rPr>
      <t>、</t>
    </r>
    <r>
      <rPr>
        <sz val="10"/>
        <rFont val="Arial"/>
        <family val="2"/>
      </rPr>
      <t>Calibration</t>
    </r>
    <phoneticPr fontId="28" type="noConversion"/>
  </si>
  <si>
    <t>內容修正:
1. 增加車型碼差異欄 (DTCList、DIDList)
2. EVCC 增加 DTC (DTCList)
3. FD硬體增加 DTC (DTCList)
4. TPMS誤記訂正 (DIDData)
5. APS 誤記訂正 (EOL、Calibration)</t>
    <phoneticPr fontId="28" type="noConversion"/>
  </si>
  <si>
    <t>v2.0</t>
    <phoneticPr fontId="28" type="noConversion"/>
  </si>
  <si>
    <t>2024/6/18</t>
    <phoneticPr fontId="28" type="noConversion"/>
  </si>
  <si>
    <r>
      <t>DTCList</t>
    </r>
    <r>
      <rPr>
        <sz val="10"/>
        <rFont val="細明體"/>
        <family val="2"/>
        <charset val="136"/>
      </rPr>
      <t>、</t>
    </r>
    <r>
      <rPr>
        <sz val="10"/>
        <rFont val="Arial"/>
        <family val="2"/>
      </rPr>
      <t>DTCData</t>
    </r>
    <r>
      <rPr>
        <sz val="10"/>
        <rFont val="細明體"/>
        <family val="2"/>
        <charset val="136"/>
      </rPr>
      <t>、</t>
    </r>
    <r>
      <rPr>
        <sz val="10"/>
        <rFont val="Arial"/>
        <family val="2"/>
      </rPr>
      <t>DIDData</t>
    </r>
    <r>
      <rPr>
        <sz val="10"/>
        <rFont val="細明體"/>
        <family val="2"/>
        <charset val="136"/>
      </rPr>
      <t>、</t>
    </r>
    <r>
      <rPr>
        <sz val="10"/>
        <rFont val="Arial"/>
        <family val="2"/>
      </rPr>
      <t>EOL</t>
    </r>
    <r>
      <rPr>
        <sz val="10"/>
        <rFont val="細明體"/>
        <family val="2"/>
        <charset val="136"/>
      </rPr>
      <t>、</t>
    </r>
    <r>
      <rPr>
        <sz val="10"/>
        <rFont val="Arial"/>
        <family val="2"/>
      </rPr>
      <t>Calibration</t>
    </r>
    <phoneticPr fontId="28" type="noConversion"/>
  </si>
  <si>
    <t>內容修正:
1. 對應診斷 L 版車型欄位 (27Service、DTCList、DTCData)
2. THCM增加 DTC (DTCList、DTCData)
3. FD硬體增加 DTC (DTCList、DTCData)
4. bootSoftwareIdentification  誤記訂正 (DTCList)
5. EVCC DTC修改 (DTCList)</t>
    <phoneticPr fontId="28" type="noConversion"/>
  </si>
  <si>
    <t>v2.01</t>
    <phoneticPr fontId="28" type="noConversion"/>
  </si>
  <si>
    <t>2024/6/19</t>
  </si>
  <si>
    <t>DIDList</t>
    <phoneticPr fontId="28" type="noConversion"/>
  </si>
  <si>
    <t>內容修正:
1. 誤記訂正 IMU Sensor Calibration、Request vehicle power status (DIDList)</t>
    <phoneticPr fontId="28" type="noConversion"/>
  </si>
  <si>
    <t>v2.02</t>
  </si>
  <si>
    <t>內容修正:
1. 誤記訂正 0xF192、F194、0x0204 (DIDList)
2. 刪除 F180 (DIDData)</t>
    <phoneticPr fontId="28" type="noConversion"/>
  </si>
  <si>
    <t>v02.03_2024/06/21_R1</t>
    <phoneticPr fontId="28" type="noConversion"/>
  </si>
  <si>
    <t>2024/6/21</t>
    <phoneticPr fontId="28" type="noConversion"/>
  </si>
  <si>
    <r>
      <t>DIDList</t>
    </r>
    <r>
      <rPr>
        <sz val="10"/>
        <rFont val="細明體"/>
        <family val="2"/>
        <charset val="136"/>
      </rPr>
      <t>、</t>
    </r>
    <r>
      <rPr>
        <sz val="10"/>
        <rFont val="Arial"/>
        <family val="2"/>
      </rPr>
      <t>DIDData</t>
    </r>
    <phoneticPr fontId="28" type="noConversion"/>
  </si>
  <si>
    <t>內容修正:
1. 誤記訂正 0x0B08、0x0B09...)data legth長度誤植(DIDData )
2. 誤記訂正 0x0801 資料格式變更成 Hex ( DIDData )
3. 新增預留 DID 0xF17F 診斷文件版次( DIDData、DIDList )
4. 誤記訂正 0x0204 (DIDData)
5. 誤記訂正 0x0504 (DIDData)(R1版更正)</t>
    <phoneticPr fontId="28" type="noConversion"/>
  </si>
  <si>
    <t>v02.04_2024/07/05_R0</t>
    <phoneticPr fontId="28" type="noConversion"/>
  </si>
  <si>
    <t>2024/7/5</t>
    <phoneticPr fontId="28" type="noConversion"/>
  </si>
  <si>
    <r>
      <t>DTCList</t>
    </r>
    <r>
      <rPr>
        <sz val="10"/>
        <rFont val="細明體"/>
        <family val="2"/>
        <charset val="136"/>
      </rPr>
      <t>、</t>
    </r>
    <r>
      <rPr>
        <sz val="10"/>
        <rFont val="Arial"/>
        <family val="2"/>
      </rPr>
      <t>DTCData</t>
    </r>
    <phoneticPr fontId="28" type="noConversion"/>
  </si>
  <si>
    <t>內容修正:
1. 修改DTCData維修建議 (DTCData)
2. 刪除以下 DTC (DTCList、DTCData)
     U100901 ~ B100908
     B100915 ~ B100920
     B100506、B10050F、B100516、B100529
     U100703、U100704
     U100A08 ~ U100A0A
     U100A0F、P100A11、P100A13~P100A15
3. DTCData內容修改 
   黃底區域</t>
    <phoneticPr fontId="28" type="noConversion"/>
  </si>
  <si>
    <t>v02.04_2024/07/05_R1</t>
    <phoneticPr fontId="28" type="noConversion"/>
  </si>
  <si>
    <t>2024/7/6</t>
  </si>
  <si>
    <t>Services</t>
    <phoneticPr fontId="28" type="noConversion"/>
  </si>
  <si>
    <t>誤記訂正 (Services)
   DiagnosticSessionControl (0x10)</t>
    <phoneticPr fontId="28" type="noConversion"/>
  </si>
  <si>
    <t>v02.04_2024/07/05_R2</t>
    <phoneticPr fontId="28" type="noConversion"/>
  </si>
  <si>
    <t>2024/7/10</t>
    <phoneticPr fontId="28" type="noConversion"/>
  </si>
  <si>
    <r>
      <t>DTCList</t>
    </r>
    <r>
      <rPr>
        <sz val="10"/>
        <rFont val="細明體"/>
        <family val="2"/>
        <charset val="136"/>
      </rPr>
      <t>、</t>
    </r>
    <r>
      <rPr>
        <sz val="10"/>
        <rFont val="Arial"/>
        <family val="2"/>
      </rPr>
      <t>DTCData</t>
    </r>
    <r>
      <rPr>
        <sz val="10"/>
        <rFont val="細明體"/>
        <family val="2"/>
        <charset val="136"/>
      </rPr>
      <t>、</t>
    </r>
    <r>
      <rPr>
        <sz val="10"/>
        <rFont val="Arial"/>
        <family val="2"/>
      </rPr>
      <t>DIDList</t>
    </r>
    <r>
      <rPr>
        <sz val="10"/>
        <rFont val="細明體"/>
        <family val="2"/>
        <charset val="136"/>
      </rPr>
      <t>、</t>
    </r>
    <r>
      <rPr>
        <sz val="10"/>
        <rFont val="Arial"/>
        <family val="2"/>
      </rPr>
      <t>DIDData</t>
    </r>
    <r>
      <rPr>
        <sz val="10"/>
        <rFont val="細明體"/>
        <family val="2"/>
        <charset val="136"/>
      </rPr>
      <t>、</t>
    </r>
    <r>
      <rPr>
        <sz val="10"/>
        <rFont val="Arial"/>
        <family val="2"/>
      </rPr>
      <t>Service</t>
    </r>
    <phoneticPr fontId="28" type="noConversion"/>
  </si>
  <si>
    <r>
      <t xml:space="preserve">內容修正:
1. 誤記訂正 (DIDList、DIDData)
   (DIDList) 0x0204: IMU Sensor Calibration，功能歸類 VMC -&gt; VCU
   (DIDData) Sub Data Name 時分秒定義進行細化描述
2. 恢復以下刪除項 DTC (DTCList、DTCData)
   </t>
    </r>
    <r>
      <rPr>
        <sz val="10"/>
        <color rgb="FFFF0000"/>
        <rFont val="細明體"/>
        <family val="3"/>
        <charset val="136"/>
      </rPr>
      <t>避免設變導入時間差造成未知DTC，所有刪除DTC仍保留
   DTCList 機能勾選項填 "N"</t>
    </r>
    <r>
      <rPr>
        <sz val="10"/>
        <rFont val="細明體"/>
        <family val="3"/>
        <charset val="136"/>
      </rPr>
      <t xml:space="preserve">
     U100901 ~ B100908
     B100915 ~ B100920
     B100506、B10050F、B100516、B100529
     U100703、U100704
     U100A08 ~ U100A0A
     U100A0F、P100A11、P100A13~P100A15
3. 新增FD自定義欄位 Functional Enable : (DIDData、31Service)
   對應保留所有DID，透過此欄位進行篩選</t>
    </r>
    <phoneticPr fontId="28" type="noConversion"/>
  </si>
  <si>
    <t>v02.05_2024/08/09_R0</t>
    <phoneticPr fontId="28" type="noConversion"/>
  </si>
  <si>
    <t>2024/8/9</t>
    <phoneticPr fontId="28" type="noConversion"/>
  </si>
  <si>
    <t xml:space="preserve">內容修正:
1. 誤記訂正與空白欄位補充填 N
   Services、27Service、DTCList、DIDList
2. 刪除未使用 DID
   2FService、31Service
3. EVCC 修正 DID:
   DID 0x050B : ACPowerSsource -&gt; EvccSoftwareVersionSwitching (DIDList、DIDData)
4. TPM 新增 DID :
   DID 0x0B0E : TPMS Sensor ID register (DIDList、31Service、EOL)
5. 補充關閉 OTA Emergency Mode 遺漏資料
   Calibration
   </t>
    <phoneticPr fontId="28" type="noConversion"/>
  </si>
  <si>
    <t>v02.06_2024/08/16_R0</t>
    <phoneticPr fontId="28" type="noConversion"/>
  </si>
  <si>
    <t>2024/8/16</t>
    <phoneticPr fontId="28" type="noConversion"/>
  </si>
  <si>
    <r>
      <t>DIDList</t>
    </r>
    <r>
      <rPr>
        <sz val="10"/>
        <rFont val="細明體"/>
        <family val="2"/>
        <charset val="136"/>
      </rPr>
      <t>、</t>
    </r>
    <r>
      <rPr>
        <sz val="10"/>
        <rFont val="Arial"/>
        <family val="2"/>
      </rPr>
      <t>DIDData</t>
    </r>
    <r>
      <rPr>
        <sz val="10"/>
        <rFont val="細明體"/>
        <family val="2"/>
        <charset val="136"/>
      </rPr>
      <t>、</t>
    </r>
    <r>
      <rPr>
        <sz val="10"/>
        <rFont val="Arial"/>
        <family val="2"/>
      </rPr>
      <t>Calibration</t>
    </r>
    <phoneticPr fontId="28" type="noConversion"/>
  </si>
  <si>
    <t>1. 誤記訂正
   DID 0xF17F (DIDList)
   關閉 OTA Emergency Mode 流程 (Calibration)
2. EVCC 調整 0x050D DID 內容 (DIDData)</t>
    <phoneticPr fontId="28" type="noConversion"/>
  </si>
  <si>
    <t>v02.06_2024/08/26_R1</t>
    <phoneticPr fontId="28" type="noConversion"/>
  </si>
  <si>
    <t>2024/8/26</t>
    <phoneticPr fontId="28" type="noConversion"/>
  </si>
  <si>
    <r>
      <t>GeneralInfo</t>
    </r>
    <r>
      <rPr>
        <sz val="10"/>
        <rFont val="細明體"/>
        <family val="2"/>
        <charset val="136"/>
      </rPr>
      <t>、</t>
    </r>
    <r>
      <rPr>
        <sz val="10"/>
        <rFont val="Arial"/>
        <family val="2"/>
      </rPr>
      <t>EOL</t>
    </r>
    <phoneticPr fontId="28" type="noConversion"/>
  </si>
  <si>
    <t>誤記訂正 : 
  1. ECU Name (GeneralInfo)
  2. TPMS 流程 (EOL)</t>
    <phoneticPr fontId="28" type="noConversion"/>
  </si>
  <si>
    <t>v02.07_2024/09/09_R0</t>
    <phoneticPr fontId="28" type="noConversion"/>
  </si>
  <si>
    <t>2024/9/9</t>
    <phoneticPr fontId="28" type="noConversion"/>
  </si>
  <si>
    <r>
      <t>SnapshotList</t>
    </r>
    <r>
      <rPr>
        <sz val="10"/>
        <rFont val="細明體"/>
        <family val="2"/>
        <charset val="136"/>
      </rPr>
      <t>、</t>
    </r>
    <r>
      <rPr>
        <sz val="10"/>
        <rFont val="Arial"/>
        <family val="2"/>
      </rPr>
      <t>DIDData</t>
    </r>
    <r>
      <rPr>
        <sz val="10"/>
        <rFont val="細明體"/>
        <family val="2"/>
        <charset val="136"/>
      </rPr>
      <t>、</t>
    </r>
    <r>
      <rPr>
        <sz val="10"/>
        <rFont val="Arial"/>
        <family val="2"/>
      </rPr>
      <t>DTCList</t>
    </r>
    <r>
      <rPr>
        <sz val="10"/>
        <rFont val="細明體"/>
        <family val="2"/>
        <charset val="136"/>
      </rPr>
      <t>、</t>
    </r>
    <r>
      <rPr>
        <sz val="10"/>
        <rFont val="Arial"/>
        <family val="2"/>
      </rPr>
      <t>DTCData</t>
    </r>
    <phoneticPr fontId="28" type="noConversion"/>
  </si>
  <si>
    <t>1. 新增 SnapshotList 頁面，對應可以依據不同 DTC 記錄 DID (SnapshotList)
2. EVCC 修正 DID 描述 (DIDData)
3. EVCC 新增 DTC
   B10053C、B10053D (DTCList、DTCData)
4. EVCC 修改 DTC 說明描述
   B100501、B100502、B100503、B10050D、B100532、B100536、B100537 (DTCList、DTCData)
5. 新增 Revision 頁面 A1 位置放目前 DS 版次</t>
    <phoneticPr fontId="28" type="noConversion"/>
  </si>
  <si>
    <t>v02.07_2024/09/09_R1</t>
  </si>
  <si>
    <t>DIDData</t>
    <phoneticPr fontId="28" type="noConversion"/>
  </si>
  <si>
    <t>1. DID 0xF16F 長度誤記訂正</t>
    <phoneticPr fontId="28" type="noConversion"/>
  </si>
  <si>
    <t>v02.07_2024/09/10_R2</t>
    <phoneticPr fontId="28" type="noConversion"/>
  </si>
  <si>
    <t>2024/9/10</t>
    <phoneticPr fontId="28" type="noConversion"/>
  </si>
  <si>
    <t>1. DID 誤記訂正
   0x0B0E、0xDFFF (DIDList)</t>
    <phoneticPr fontId="28" type="noConversion"/>
  </si>
  <si>
    <t>v02.08_2024/09/10_R0</t>
    <phoneticPr fontId="28" type="noConversion"/>
  </si>
  <si>
    <t>DIDList、31Service</t>
    <phoneticPr fontId="28" type="noConversion"/>
  </si>
  <si>
    <t>1. VCU 增加 31 服務 DID
    DID 0x0205:Reset pedal zero position (31Service、DIDList)</t>
    <phoneticPr fontId="28" type="noConversion"/>
  </si>
  <si>
    <t>v02.10_2024/09/18_R0</t>
    <phoneticPr fontId="28" type="noConversion"/>
  </si>
  <si>
    <t>2024/9/18</t>
    <phoneticPr fontId="28" type="noConversion"/>
  </si>
  <si>
    <t>DIDList、31Service、DIDData、Sanpshot</t>
    <phoneticPr fontId="28" type="noConversion"/>
  </si>
  <si>
    <r>
      <t xml:space="preserve">1. </t>
    </r>
    <r>
      <rPr>
        <b/>
        <sz val="10"/>
        <rFont val="細明體"/>
        <family val="3"/>
        <charset val="136"/>
      </rPr>
      <t>開啟 DiagnosticSpecificaionVersionInformation 機能</t>
    </r>
    <r>
      <rPr>
        <sz val="10"/>
        <rFont val="細明體"/>
        <family val="3"/>
        <charset val="136"/>
      </rPr>
      <t xml:space="preserve">
     DID: 0xF17F (DIDList)
2. DID Description 更改
     DID 0x0205: Reset pedal zero position 改成 ResetPedalZP (31Service)
3. </t>
    </r>
    <r>
      <rPr>
        <b/>
        <sz val="10"/>
        <rFont val="細明體"/>
        <family val="3"/>
        <charset val="136"/>
      </rPr>
      <t>新增 DID</t>
    </r>
    <r>
      <rPr>
        <sz val="10"/>
        <rFont val="細明體"/>
        <family val="3"/>
        <charset val="136"/>
      </rPr>
      <t xml:space="preserve">
     DID 0x0206、0x0207 (DIDList、DIDData)
4. 誤記訂正
   4-1: 補填 DID 0x0E04 : Factor、Offset (Sanpshot)
   4-2: 補填 DID 0x0E04 (DIDData)</t>
    </r>
    <phoneticPr fontId="28" type="noConversion"/>
  </si>
  <si>
    <t>v02.11_2024/09/21_R0</t>
    <phoneticPr fontId="28" type="noConversion"/>
  </si>
  <si>
    <t>2024/9/21</t>
    <phoneticPr fontId="28" type="noConversion"/>
  </si>
  <si>
    <t>DTCList、DTCData</t>
    <phoneticPr fontId="28" type="noConversion"/>
  </si>
  <si>
    <r>
      <t xml:space="preserve">1. </t>
    </r>
    <r>
      <rPr>
        <b/>
        <sz val="10"/>
        <rFont val="細明體"/>
        <family val="3"/>
        <charset val="136"/>
      </rPr>
      <t>新增 DTC</t>
    </r>
    <r>
      <rPr>
        <sz val="10"/>
        <rFont val="細明體"/>
        <family val="3"/>
        <charset val="136"/>
      </rPr>
      <t xml:space="preserve">
     VCU DTC: P100255、P100256、P100257、P100258、P100259、P10025A (DTCList、DTCData)
     VMC DTC: U100A1A、U100A1B、P100A1C、P100A1D、P100A1E、U100A1F、
              P100A20、P100A21、U100A22、P100A23、P100A24、U100A25、P100A26、P100A27 (DTCList、DTCData)
2. 刪除 DTC
     VCU DTC: B10022E (DTCList、DTCData)
3. VCU DTC 內容修正
     U100201、U100202、U100203、U100204、U100205、U100206、U100207、U100208、U100209、U10020A、
     P10020B、P10020C、P10020D、P10020E、P100210、P100211、P100212、P100213、P100214、P100215、
     P100216、P100217、P100218、P100219、P10021A、P10021B、P10021C、P10021D、P10021E、B10021F、
     P100220、P100221、P100223、P100224、P100225、P100226、P100227、U100228、U100229、U10022A、
     U10022B、U10022C、U10022D、B10022F、U100230、U100231、U100232、U100233、U100234、U100235、
     U100236、U100237、U100238、U100239、U10023A、U10023B、U10023C、U10023D、U10023E、U10023F、
     U100240、U100241、P100242、P100243、P100244、P100247、P100248、P100249、P100250、P100251、
     P100252、B100253、B100254、U100A01、U100A02、U100A03、U100A04、U100A05、U100A06、U100A07、
     U100A0B、U100A0C、U100A0D、U100A0E、P100A10、P100A12、P100A16、P100A17、P100A18、P100A19 (DTCData)</t>
    </r>
    <phoneticPr fontId="28" type="noConversion"/>
  </si>
  <si>
    <t>v02.12_2024/10/07_R0</t>
    <phoneticPr fontId="28" type="noConversion"/>
  </si>
  <si>
    <t>2024/10/7</t>
    <phoneticPr fontId="28" type="noConversion"/>
  </si>
  <si>
    <r>
      <t>GeneralInfo</t>
    </r>
    <r>
      <rPr>
        <sz val="10"/>
        <rFont val="新細明體"/>
        <family val="2"/>
        <charset val="136"/>
      </rPr>
      <t>、</t>
    </r>
    <r>
      <rPr>
        <sz val="10"/>
        <rFont val="Arial"/>
        <family val="2"/>
      </rPr>
      <t>Services</t>
    </r>
    <r>
      <rPr>
        <sz val="10"/>
        <rFont val="新細明體"/>
        <family val="2"/>
        <charset val="136"/>
      </rPr>
      <t>、DTCdata、DIDList</t>
    </r>
    <phoneticPr fontId="28" type="noConversion"/>
  </si>
  <si>
    <t>1. DTCdata 新增欄位 
   Operation cycle、Failure counter threshold、Aging counter threshold (DTCdata)
2. 新增 DID
   DID 0xDFFE: CAN data collection (DIDList)
3. 誤記訂正 (GeneralInfo、Services)
4. DID 內容更正
     DID 0x0205: ResetPedalZP (31Service)
5. 新增 EOL流程: 電門踏板APS歸零校正 (EOL)
6. EVCC DTC 內容修正
   B100536、B100537 DTC Meaning 內容修正 (DTCList、DTCdata)</t>
    <phoneticPr fontId="28" type="noConversion"/>
  </si>
  <si>
    <t>v02.13_2024/10/08_R0</t>
    <phoneticPr fontId="28" type="noConversion"/>
  </si>
  <si>
    <t>2024/10/08</t>
    <phoneticPr fontId="28" type="noConversion"/>
  </si>
  <si>
    <r>
      <t>DTCList</t>
    </r>
    <r>
      <rPr>
        <sz val="10"/>
        <rFont val="細明體"/>
        <family val="2"/>
        <charset val="136"/>
      </rPr>
      <t>、</t>
    </r>
    <r>
      <rPr>
        <sz val="10"/>
        <rFont val="Arial"/>
        <family val="2"/>
      </rPr>
      <t>DTCdata</t>
    </r>
    <phoneticPr fontId="28" type="noConversion"/>
  </si>
  <si>
    <t>1. DTCdata BB、 BC、BD 欄位填上資料
   Operation cycle、Failure counter threshold、Aging counter threshold (DTCdata)
2. 新增 VND DTC 
   DTC B100803 : SSD is unmount (DTCList、DTCdata)
3. EVCC 誤記訂正
   B100505、B100506 編碼訂正 (DTCList)</t>
    <phoneticPr fontId="28" type="noConversion"/>
  </si>
  <si>
    <t>v02.14_2024/10/28_R0</t>
    <phoneticPr fontId="28" type="noConversion"/>
  </si>
  <si>
    <t>2024/10/28</t>
    <phoneticPr fontId="28" type="noConversion"/>
  </si>
  <si>
    <r>
      <t>31Service</t>
    </r>
    <r>
      <rPr>
        <sz val="10"/>
        <rFont val="細明體"/>
        <family val="2"/>
        <charset val="136"/>
      </rPr>
      <t>、</t>
    </r>
    <r>
      <rPr>
        <sz val="10"/>
        <rFont val="Arial"/>
        <family val="2"/>
      </rPr>
      <t>DIDList</t>
    </r>
    <r>
      <rPr>
        <sz val="10"/>
        <rFont val="細明體"/>
        <family val="2"/>
        <charset val="136"/>
      </rPr>
      <t>、</t>
    </r>
    <r>
      <rPr>
        <sz val="10"/>
        <rFont val="Arial"/>
        <family val="2"/>
      </rPr>
      <t>DIDData</t>
    </r>
    <phoneticPr fontId="28" type="noConversion"/>
  </si>
  <si>
    <t>1. 31Service DID: 0xDFFF 新增命令 
   DID 0xDFFF: Request vehicle power status (31Service)
2. BCM_Wiper 新增 DID
   DID: 0x0308、0x0309、0x030A (DIDList、DIDData)
3. 誤記訂正
   電門踏板APS歸零校正，從EOL頁面移到Calibration頁面 (EOL、Calibration)</t>
    <phoneticPr fontId="28" type="noConversion"/>
  </si>
  <si>
    <t>v02.15_2024/11/01_R0</t>
    <phoneticPr fontId="28" type="noConversion"/>
  </si>
  <si>
    <t>2024/11/01</t>
    <phoneticPr fontId="28" type="noConversion"/>
  </si>
  <si>
    <r>
      <t>DIDList</t>
    </r>
    <r>
      <rPr>
        <sz val="10"/>
        <rFont val="細明體"/>
        <family val="2"/>
        <charset val="136"/>
      </rPr>
      <t>、</t>
    </r>
    <r>
      <rPr>
        <sz val="10"/>
        <rFont val="Arial"/>
        <family val="2"/>
      </rPr>
      <t>DIDData</t>
    </r>
    <r>
      <rPr>
        <sz val="10"/>
        <rFont val="細明體"/>
        <family val="2"/>
        <charset val="136"/>
      </rPr>
      <t>、</t>
    </r>
    <r>
      <rPr>
        <sz val="10"/>
        <rFont val="Arial"/>
        <family val="2"/>
      </rPr>
      <t>31Service</t>
    </r>
    <phoneticPr fontId="28" type="noConversion"/>
  </si>
  <si>
    <t>1. 新增 DID 
   DID: 0xDFFD: UploadProductionStationDiagnosticsData (DIDList、DIDData)
2. Discrete Value Description 內容修正
   DID 0xDFFF: Request vehicle power status (31Service)</t>
    <phoneticPr fontId="28" type="noConversion"/>
  </si>
  <si>
    <t>v02.15_2024/11/01_R1</t>
    <phoneticPr fontId="28" type="noConversion"/>
  </si>
  <si>
    <t>31Service</t>
    <phoneticPr fontId="28" type="noConversion"/>
  </si>
  <si>
    <t>1. Discrete Value Description 內容修正
   DID 0xDFFF: Request vehicle power status (31Service)</t>
    <phoneticPr fontId="28" type="noConversion"/>
  </si>
  <si>
    <t>v02.16_2024/11/05_R0</t>
    <phoneticPr fontId="28" type="noConversion"/>
  </si>
  <si>
    <t>2024/11/05</t>
    <phoneticPr fontId="28" type="noConversion"/>
  </si>
  <si>
    <t>1. DID ID 號碼修正
   UploadProductionStationDiagnosticsData: 0xDFFD -&gt; 0x07F1 (DIDList、DIDData)</t>
    <phoneticPr fontId="28" type="noConversion"/>
  </si>
  <si>
    <t>v02.17_2024/11/18_R0</t>
    <phoneticPr fontId="28" type="noConversion"/>
  </si>
  <si>
    <t>2024/11/18</t>
    <phoneticPr fontId="28" type="noConversion"/>
  </si>
  <si>
    <r>
      <t>DIDList</t>
    </r>
    <r>
      <rPr>
        <sz val="10"/>
        <rFont val="細明體"/>
        <family val="2"/>
        <charset val="136"/>
      </rPr>
      <t>、</t>
    </r>
    <r>
      <rPr>
        <sz val="10"/>
        <rFont val="Arial"/>
        <family val="2"/>
      </rPr>
      <t>DIDData</t>
    </r>
    <r>
      <rPr>
        <sz val="10"/>
        <rFont val="細明體"/>
        <family val="2"/>
        <charset val="136"/>
      </rPr>
      <t>、</t>
    </r>
    <r>
      <rPr>
        <sz val="10"/>
        <rFont val="Arial"/>
        <family val="2"/>
      </rPr>
      <t>EOL</t>
    </r>
    <r>
      <rPr>
        <sz val="10"/>
        <rFont val="細明體"/>
        <family val="2"/>
        <charset val="136"/>
      </rPr>
      <t>、</t>
    </r>
    <r>
      <rPr>
        <sz val="10"/>
        <rFont val="Arial"/>
        <family val="2"/>
      </rPr>
      <t>Calibration</t>
    </r>
    <phoneticPr fontId="28" type="noConversion"/>
  </si>
  <si>
    <t>1. 新增 DKCPairingState DID
   DID 0x0208:DKCPairingState (DIDList、DIDData)
2. 修正 DKC vcukey 程序 (EOL、Calibration)
3. 新增確認 EVCCID 流程  (EOL、Calibration)</t>
    <phoneticPr fontId="28" type="noConversion"/>
  </si>
  <si>
    <t>v02.18_2024/11/21_R0</t>
    <phoneticPr fontId="28" type="noConversion"/>
  </si>
  <si>
    <t>1. 新增 DKCVersions DID
   DID 0x0F05:DKCVersions (DIDList、DIDData)
2. 誤記訂正vcukey、EVCCID程序 (EOL、Calibration)</t>
    <phoneticPr fontId="28" type="noConversion"/>
  </si>
  <si>
    <t>v02.19_2025/02/08_R0</t>
    <phoneticPr fontId="28" type="noConversion"/>
  </si>
  <si>
    <t>2025/02/08</t>
    <phoneticPr fontId="28" type="noConversion"/>
  </si>
  <si>
    <t>1. VMC 新增 DTC 
   FCM、EPS相關 U100A28、P100A29、P100A2A、U100A2B、P100A2C、P100A2D (DTCList、DTCdata)
2. 誤記訂正 VCU、VMC DTC 內容 (DTCdata)
3. VMC 移除對應車型 DTC (DTCList)</t>
    <phoneticPr fontId="28" type="noConversion"/>
  </si>
  <si>
    <t>v02.20_2025/03/04_R0</t>
    <phoneticPr fontId="28" type="noConversion"/>
  </si>
  <si>
    <t>2025/03/04</t>
    <phoneticPr fontId="28" type="noConversion"/>
  </si>
  <si>
    <t>Sam Tso</t>
    <phoneticPr fontId="28" type="noConversion"/>
  </si>
  <si>
    <t>Services
DIDData
DIDList 
DTCInfo
DTCList
DTCData</t>
    <phoneticPr fontId="28" type="noConversion"/>
  </si>
  <si>
    <t>文件格式進版(M)
ZEVonUDS
Services:新增0x19 42
DIDData:新增J1937DA相關DID
DIDList:新增J1937DA相關DID
DTCInfo:新增Group 0x33, Status bit 1/4/6, DTCFormatIdentifier 0x04 
DTCData:新增部分ZEV&amp;Smart factory相關DTC
DTCList:新增部分ZEV&amp;Smart factory相關DTC
DIDList:VIN &amp; FVT VIN修正支援車型
DTCData:RLS, CSW 部分DTC偵測條件修正</t>
    <phoneticPr fontId="28" type="noConversion"/>
  </si>
  <si>
    <t>v02.21_2025/04/01_R0</t>
    <phoneticPr fontId="28" type="noConversion"/>
  </si>
  <si>
    <t>2025/04/01</t>
    <phoneticPr fontId="28" type="noConversion"/>
  </si>
  <si>
    <t>Cover、27Service、DIDList、DIDdata</t>
    <phoneticPr fontId="28" type="noConversion"/>
  </si>
  <si>
    <t>1.對應 Foxtron Pi 車型 (27Service、DIDList、DIDdata、DTCList)
2.補充條列車型版本 (Cover)
3.修改車型名稱 (DIDList、DTCList、27Service)</t>
    <phoneticPr fontId="28" type="noConversion"/>
  </si>
  <si>
    <t>Cover、27Service、DIDList、DIDdata、DIDList、DIDData、31Service</t>
    <phoneticPr fontId="28" type="noConversion"/>
  </si>
  <si>
    <t>1. 誤記訂正車型件號 (Cover、27Service)
2. 誤記訂正 DKC DID 0x0F01~ 0x0F04內容 (31Service)
3. VND 修改 DTC 內容 (DTCList、DTCData)
4. FD 功能分類拆分成 FD-A、FD-M (DTCList、DTCData、DIDList、DIDData)
5. 誤記訂正 FoxtronPi DID 內容 (DIDList、DIDData)
6. DKC 新增 DID 0x0F05 ~ 0x0F0D (DIDList、DIDData)
7. DKC DID 0x0F05 (DKCVersions) 移到 0x0E05 (FD-A群)  (DIDData)</t>
  </si>
  <si>
    <t>Remark</t>
    <phoneticPr fontId="28" type="noConversion"/>
  </si>
  <si>
    <t>Car model selection</t>
    <phoneticPr fontId="28" type="noConversion"/>
  </si>
  <si>
    <t>Passenger Cars</t>
  </si>
  <si>
    <t>ZEVonUDS</t>
    <phoneticPr fontId="28" type="noConversion"/>
  </si>
  <si>
    <t>D31F25/D21/D31H</t>
    <phoneticPr fontId="28" type="noConversion"/>
  </si>
  <si>
    <r>
      <rPr>
        <sz val="10"/>
        <rFont val="BatangChe"/>
        <family val="3"/>
        <charset val="129"/>
      </rPr>
      <t>≤</t>
    </r>
    <r>
      <rPr>
        <sz val="10"/>
        <rFont val="Arial"/>
        <family val="2"/>
      </rPr>
      <t>1ms</t>
    </r>
    <phoneticPr fontId="28" type="noConversion"/>
  </si>
  <si>
    <t>Diagnostic Questionnaire Diagnostic Services</t>
    <phoneticPr fontId="28" type="noConversion"/>
  </si>
  <si>
    <t>Diagnostic Services Name</t>
    <phoneticPr fontId="28" type="noConversion"/>
  </si>
  <si>
    <t>Diagnostic Services 
Supported by ECU</t>
    <phoneticPr fontId="28" type="noConversion"/>
  </si>
  <si>
    <t>Sub-functions</t>
    <phoneticPr fontId="28" type="noConversion"/>
  </si>
  <si>
    <t>Sub-function supported by ECU</t>
    <phoneticPr fontId="28" type="noConversion"/>
  </si>
  <si>
    <t>SPRMB</t>
    <phoneticPr fontId="28" type="noConversion"/>
  </si>
  <si>
    <t>Application Software
Diagnostic Session</t>
    <phoneticPr fontId="28" type="noConversion"/>
  </si>
  <si>
    <t>Boot Software
Diagnostic Session</t>
    <phoneticPr fontId="28" type="noConversion"/>
  </si>
  <si>
    <t>Security Level</t>
    <phoneticPr fontId="28" type="noConversion"/>
  </si>
  <si>
    <t>Comm Types</t>
    <phoneticPr fontId="28" type="noConversion"/>
  </si>
  <si>
    <t>Support Customized NRC</t>
    <phoneticPr fontId="28" type="noConversion"/>
  </si>
  <si>
    <t xml:space="preserve">Comments </t>
    <phoneticPr fontId="28" type="noConversion"/>
  </si>
  <si>
    <t>Phy</t>
    <phoneticPr fontId="28" type="noConversion"/>
  </si>
  <si>
    <t>Func</t>
    <phoneticPr fontId="28" type="noConversion"/>
  </si>
  <si>
    <t>0x10</t>
  </si>
  <si>
    <t>DiagnosticSessionControl</t>
    <phoneticPr fontId="28" type="noConversion"/>
  </si>
  <si>
    <t>0x01 DefaultSession</t>
    <phoneticPr fontId="28" type="noConversion"/>
  </si>
  <si>
    <t>01/03</t>
    <phoneticPr fontId="28" type="noConversion"/>
  </si>
  <si>
    <t>0x02 ProgrammingSession</t>
    <phoneticPr fontId="28" type="noConversion"/>
  </si>
  <si>
    <t>03</t>
    <phoneticPr fontId="28" type="noConversion"/>
  </si>
  <si>
    <t>01</t>
    <phoneticPr fontId="28" type="noConversion"/>
  </si>
  <si>
    <t>0x03 ExtendedDiagnosticSession</t>
    <phoneticPr fontId="28" type="noConversion"/>
  </si>
  <si>
    <t>0x27</t>
  </si>
  <si>
    <t>SecurityAccess</t>
    <phoneticPr fontId="28" type="noConversion"/>
  </si>
  <si>
    <t>0x01 requestSeed (Level 1)</t>
    <phoneticPr fontId="28" type="noConversion"/>
  </si>
  <si>
    <t>0x02 sendKey (Level 1)</t>
    <phoneticPr fontId="28" type="noConversion"/>
  </si>
  <si>
    <t>0x03 requestSeed (Level 3)</t>
    <phoneticPr fontId="28" type="noConversion"/>
  </si>
  <si>
    <t>02</t>
    <phoneticPr fontId="28" type="noConversion"/>
  </si>
  <si>
    <t>0x04 sendKey (Level 3)</t>
    <phoneticPr fontId="28" type="noConversion"/>
  </si>
  <si>
    <t>0x05 requestSeed (Level 5)</t>
    <phoneticPr fontId="28" type="noConversion"/>
  </si>
  <si>
    <t>03</t>
  </si>
  <si>
    <t>0x06 sendKey (Level 5)</t>
    <phoneticPr fontId="28" type="noConversion"/>
  </si>
  <si>
    <t>0x3E</t>
  </si>
  <si>
    <t>TesterPresent</t>
    <phoneticPr fontId="28" type="noConversion"/>
  </si>
  <si>
    <t>0x00 ZeroSubFunction</t>
    <phoneticPr fontId="28" type="noConversion"/>
  </si>
  <si>
    <t>0x11</t>
  </si>
  <si>
    <t>EcuReset</t>
    <phoneticPr fontId="28" type="noConversion"/>
  </si>
  <si>
    <t>0x01 HardReset</t>
    <phoneticPr fontId="28" type="noConversion"/>
  </si>
  <si>
    <t>0x02 KeyOffOnReset</t>
    <phoneticPr fontId="28" type="noConversion"/>
  </si>
  <si>
    <t>0x03 softReset</t>
    <phoneticPr fontId="28" type="noConversion"/>
  </si>
  <si>
    <t>0x28</t>
  </si>
  <si>
    <t>CommunicationControl</t>
    <phoneticPr fontId="28" type="noConversion"/>
  </si>
  <si>
    <t>0x00 EnableRxAndTx</t>
    <phoneticPr fontId="28" type="noConversion"/>
  </si>
  <si>
    <t>0x01 EnableRxAndDisableTx</t>
    <phoneticPr fontId="28" type="noConversion"/>
  </si>
  <si>
    <t>0x02 DisableRxAndEnableTx</t>
    <phoneticPr fontId="28" type="noConversion"/>
  </si>
  <si>
    <t>0x03 DisableRxAndTx</t>
    <phoneticPr fontId="28" type="noConversion"/>
  </si>
  <si>
    <t>0x85</t>
  </si>
  <si>
    <t>ControlDTCSetting</t>
    <phoneticPr fontId="28" type="noConversion"/>
  </si>
  <si>
    <t>0x01 ON</t>
    <phoneticPr fontId="28" type="noConversion"/>
  </si>
  <si>
    <t>0x02 OFF</t>
    <phoneticPr fontId="28" type="noConversion"/>
  </si>
  <si>
    <t>0x22</t>
  </si>
  <si>
    <t>ReadDataByIdentifier</t>
    <phoneticPr fontId="28" type="noConversion"/>
  </si>
  <si>
    <t>0x2E</t>
  </si>
  <si>
    <t>WriteDataByIdentifier</t>
    <phoneticPr fontId="28" type="noConversion"/>
  </si>
  <si>
    <t>03/05</t>
    <phoneticPr fontId="28" type="noConversion"/>
  </si>
  <si>
    <t>0x23</t>
  </si>
  <si>
    <t>ReadMemoryByAddress</t>
    <phoneticPr fontId="28" type="noConversion"/>
  </si>
  <si>
    <t>0x3D</t>
  </si>
  <si>
    <t>WriteMemoryByAddress</t>
    <phoneticPr fontId="28" type="noConversion"/>
  </si>
  <si>
    <t>0x2A</t>
  </si>
  <si>
    <t>ReadDataByPeriodicIdentifier</t>
    <phoneticPr fontId="28" type="noConversion"/>
  </si>
  <si>
    <t>0x2C</t>
  </si>
  <si>
    <r>
      <t xml:space="preserve">DynamicallyDefineDataIdentifier
</t>
    </r>
    <r>
      <rPr>
        <sz val="8"/>
        <rFont val="宋体"/>
        <family val="3"/>
        <charset val="134"/>
      </rPr>
      <t>动态定义数据标识符</t>
    </r>
  </si>
  <si>
    <r>
      <t xml:space="preserve">0x01 defineByIdentifier
0x01 </t>
    </r>
    <r>
      <rPr>
        <sz val="8"/>
        <rFont val="宋体"/>
        <family val="3"/>
        <charset val="134"/>
      </rPr>
      <t>通过标识符定义</t>
    </r>
  </si>
  <si>
    <r>
      <t xml:space="preserve">0x03 clearDynamicallyDefinedDataIdentifier
0x03 </t>
    </r>
    <r>
      <rPr>
        <sz val="8"/>
        <rFont val="宋体"/>
        <family val="3"/>
        <charset val="134"/>
      </rPr>
      <t>清除动态定义数据标识符</t>
    </r>
    <r>
      <rPr>
        <sz val="8"/>
        <rFont val="Arial"/>
        <family val="2"/>
      </rPr>
      <t xml:space="preserve"> </t>
    </r>
  </si>
  <si>
    <t>0x19</t>
  </si>
  <si>
    <t>ReadDTCInformation</t>
    <phoneticPr fontId="28" type="noConversion"/>
  </si>
  <si>
    <t>0x01 ReportNumberOfDTCByStatusMask</t>
    <phoneticPr fontId="28" type="noConversion"/>
  </si>
  <si>
    <t>0x02 ReportDTCByStatusMask</t>
    <phoneticPr fontId="28" type="noConversion"/>
  </si>
  <si>
    <t>0x03 ReportDTCSnapshotIdentification</t>
    <phoneticPr fontId="28" type="noConversion"/>
  </si>
  <si>
    <t>0x04 ReportDTCSnapshotRecordByDTCNumber</t>
    <phoneticPr fontId="28" type="noConversion"/>
  </si>
  <si>
    <t>0x06 ReportDTCExtendedDataRecordByDTCNumber</t>
    <phoneticPr fontId="28" type="noConversion"/>
  </si>
  <si>
    <t>0x0A ReportSupportedDTC</t>
    <phoneticPr fontId="28" type="noConversion"/>
  </si>
  <si>
    <t>0x42 ReportWWHOBDDTCByMaskRecord</t>
    <phoneticPr fontId="28" type="noConversion"/>
  </si>
  <si>
    <t>ClearDiagnosticInformation</t>
    <phoneticPr fontId="28" type="noConversion"/>
  </si>
  <si>
    <t>0x2F</t>
  </si>
  <si>
    <t>InputOutputControlByIdentifier</t>
    <phoneticPr fontId="28" type="noConversion"/>
  </si>
  <si>
    <t>0x31</t>
  </si>
  <si>
    <t>RoutineControl</t>
    <phoneticPr fontId="28" type="noConversion"/>
  </si>
  <si>
    <t>0x01 StartRoutine</t>
    <phoneticPr fontId="28" type="noConversion"/>
  </si>
  <si>
    <t>0x02 StopRoutine</t>
    <phoneticPr fontId="28" type="noConversion"/>
  </si>
  <si>
    <t>0x03 RequestRoutineResults</t>
    <phoneticPr fontId="28" type="noConversion"/>
  </si>
  <si>
    <t>0x34</t>
  </si>
  <si>
    <t>RequestDownload</t>
    <phoneticPr fontId="28" type="noConversion"/>
  </si>
  <si>
    <t>0x36</t>
  </si>
  <si>
    <t>TransferData</t>
    <phoneticPr fontId="28" type="noConversion"/>
  </si>
  <si>
    <t>0x37</t>
  </si>
  <si>
    <t>RequestTransferExit</t>
    <phoneticPr fontId="28" type="noConversion"/>
  </si>
  <si>
    <t>0x38</t>
    <phoneticPr fontId="28" type="noConversion"/>
  </si>
  <si>
    <t>RequestFileTransfer</t>
    <phoneticPr fontId="28" type="noConversion"/>
  </si>
  <si>
    <t>OtherService</t>
    <phoneticPr fontId="28" type="noConversion"/>
  </si>
  <si>
    <t>Diagnostic Questionnaire Seed and Key</t>
    <phoneticPr fontId="28" type="noConversion"/>
  </si>
  <si>
    <t>Seed and Key</t>
    <phoneticPr fontId="28" type="noConversion"/>
  </si>
  <si>
    <t>Part number &amp; model</t>
    <phoneticPr fontId="45" type="noConversion"/>
  </si>
  <si>
    <t>29710HA100</t>
  </si>
  <si>
    <t>29710HA110</t>
    <phoneticPr fontId="28" type="noConversion"/>
  </si>
  <si>
    <t>29710HA200</t>
  </si>
  <si>
    <t>29710HC100</t>
  </si>
  <si>
    <t>29710BA100</t>
  </si>
  <si>
    <t>Length of the seed</t>
    <phoneticPr fontId="28" type="noConversion"/>
  </si>
  <si>
    <t>Length of the Key</t>
    <phoneticPr fontId="28" type="noConversion"/>
  </si>
  <si>
    <t>D31L</t>
    <phoneticPr fontId="28" type="noConversion"/>
  </si>
  <si>
    <t>D31L24</t>
    <phoneticPr fontId="28" type="noConversion"/>
  </si>
  <si>
    <t>D31F25</t>
    <phoneticPr fontId="28" type="noConversion"/>
  </si>
  <si>
    <t>D31H</t>
    <phoneticPr fontId="28" type="noConversion"/>
  </si>
  <si>
    <t>D21</t>
    <phoneticPr fontId="28" type="noConversion"/>
  </si>
  <si>
    <t>Foxtorn Pi</t>
    <phoneticPr fontId="28" type="noConversion"/>
  </si>
  <si>
    <t>16</t>
    <phoneticPr fontId="28" type="noConversion"/>
  </si>
  <si>
    <t>AES-128 ECB mode</t>
    <phoneticPr fontId="28" type="noConversion"/>
  </si>
  <si>
    <t>Level 1 key</t>
    <phoneticPr fontId="28" type="noConversion"/>
  </si>
  <si>
    <t>24 43 26 46 29 4A 40 4E 63 52 66 55 6A 58 6E 32</t>
  </si>
  <si>
    <t>D2 E3 99 BB C7 AF 8C C0 3A 3C 16 1A 22 DB 85 29</t>
  </si>
  <si>
    <t>E2 D4 54 1D 55 58 31 17 D9 45 BE 46 B2 47 0C F9</t>
  </si>
  <si>
    <t>B7 68 D9 63 24 75 F2 99 8C B6 BC AC D7 B7 D4 62</t>
  </si>
  <si>
    <t>0A 8A 26 4E 7B B1 A9 3B D5 ED CE 90 E0 18 C7 D5</t>
  </si>
  <si>
    <t>A8 AB 5F 37 72 3A F4 D2 2B BC 7F 47 D8 0F 8E 39</t>
    <phoneticPr fontId="28" type="noConversion"/>
  </si>
  <si>
    <t>Level 3 key</t>
    <phoneticPr fontId="28" type="noConversion"/>
  </si>
  <si>
    <t>6B 58 70 32 73 35 76 38 78 2F 41 3F 44 28 47 2B</t>
  </si>
  <si>
    <t>01 B8 4D CB 8B 90 1B 4E 9D 57 8F E1 C0 FD C7 0E</t>
  </si>
  <si>
    <t>D6 15 93 0B 8A E0 6A 88 CF CB 85 92 29 4E 92 E7</t>
  </si>
  <si>
    <t>A7 CC F5 E7 1C 8F 8F 5F 1B E5 A8 ED DC 73 83 B1</t>
  </si>
  <si>
    <t>22 23 6E 27 96 55 E5 7D D0 60 A4 29 2B 8F 0A 71</t>
  </si>
  <si>
    <t>8D A7 6F A3 94 11 62 4E 44 8D 24 03 F8 F3 4E D5</t>
    <phoneticPr fontId="28" type="noConversion"/>
  </si>
  <si>
    <t>Level 5 key</t>
    <phoneticPr fontId="28" type="noConversion"/>
  </si>
  <si>
    <t>8F 65 E8 2F F6 5F 69 49 20 A1 A1 EF AB BF 2F E0</t>
  </si>
  <si>
    <t>D9 39 BD 42 AF 53 4D 58 3D F3 F6 EA 57 9E DA DE</t>
  </si>
  <si>
    <t>DE 4F 51 E0 39 68 81 24 E0 12 8F E7 19 4D F3 F7</t>
  </si>
  <si>
    <t>1F 34 DD 55 C9 C7 1B 68 16 F9 CF FB 93 B7 AB 40</t>
  </si>
  <si>
    <t>6F 3B 53 4E 76 45 C0 7F 93 3F 84 FB 2D 89 B9 B1</t>
  </si>
  <si>
    <t>74 ED B0 45 DC BB CF 1F E5 53 B5 3B CF 46 46 91</t>
    <phoneticPr fontId="28" type="noConversion"/>
  </si>
  <si>
    <t>Diagnostic Questionnaire Communication Contorl Type</t>
    <phoneticPr fontId="28" type="noConversion"/>
  </si>
  <si>
    <t>Communication Contorl Type</t>
    <phoneticPr fontId="28" type="noConversion"/>
  </si>
  <si>
    <t>NCM
0x01</t>
    <phoneticPr fontId="28" type="noConversion"/>
  </si>
  <si>
    <t>NMCM
0x02</t>
    <phoneticPr fontId="28" type="noConversion"/>
  </si>
  <si>
    <t>NCM_NMCM
0x03</t>
    <phoneticPr fontId="28" type="noConversion"/>
  </si>
  <si>
    <t>0xFFFF33</t>
    <phoneticPr fontId="28" type="noConversion"/>
  </si>
  <si>
    <t>Diagnostic Questionnaire - DTCFormatIdentifier</t>
    <phoneticPr fontId="28" type="noConversion"/>
  </si>
  <si>
    <t>An ECU shall only support one DTCFormat, i.e., all DTCs in an ECU shall utilize the same DTCFormat.</t>
    <phoneticPr fontId="28" type="noConversion"/>
  </si>
  <si>
    <t>Byte value</t>
    <phoneticPr fontId="28" type="noConversion"/>
  </si>
  <si>
    <t>Definition</t>
    <phoneticPr fontId="28" type="noConversion"/>
  </si>
  <si>
    <t>Description</t>
    <phoneticPr fontId="28" type="noConversion"/>
  </si>
  <si>
    <t>0x01</t>
    <phoneticPr fontId="28" type="noConversion"/>
  </si>
  <si>
    <t>ISO_14229-1_DTCForma</t>
    <phoneticPr fontId="28" type="noConversion"/>
  </si>
  <si>
    <t>This parameter value identifies the DTC format reported by the server as defined in this table by the parameter DTCAndStatusRecord.</t>
    <phoneticPr fontId="28" type="noConversion"/>
  </si>
  <si>
    <t>0x04</t>
    <phoneticPr fontId="28" type="noConversion"/>
  </si>
  <si>
    <t>SAE_J2012-DA_DTCFormat_04</t>
    <phoneticPr fontId="28" type="noConversion"/>
  </si>
  <si>
    <t>This parameter value identifies the DTC format reported by the server as defined in SAE J2012-DA specification.</t>
    <phoneticPr fontId="28" type="noConversion"/>
  </si>
  <si>
    <t>Diagnostic Questionnaire - DTC List</t>
    <phoneticPr fontId="45" type="noConversion"/>
  </si>
  <si>
    <t>DTC Display</t>
    <phoneticPr fontId="28" type="noConversion"/>
  </si>
  <si>
    <t xml:space="preserve">DTC Byte (Hex) </t>
    <phoneticPr fontId="28" type="noConversion"/>
  </si>
  <si>
    <t>DTC Meaning</t>
    <phoneticPr fontId="28" type="noConversion"/>
  </si>
  <si>
    <t>Diagnostic Tool
Normal mode</t>
    <phoneticPr fontId="28" type="noConversion"/>
  </si>
  <si>
    <t>Diagnostic Tool
Engineer mode</t>
    <phoneticPr fontId="28" type="noConversion"/>
  </si>
  <si>
    <r>
      <t xml:space="preserve">Functional classification
</t>
    </r>
    <r>
      <rPr>
        <sz val="8"/>
        <rFont val="細明體"/>
        <family val="2"/>
        <charset val="136"/>
      </rPr>
      <t>功能分类</t>
    </r>
    <phoneticPr fontId="28" type="noConversion"/>
  </si>
  <si>
    <t>U100901</t>
  </si>
  <si>
    <t>0xD00901</t>
  </si>
  <si>
    <t>Lost Communication with EPS</t>
  </si>
  <si>
    <t>APS</t>
  </si>
  <si>
    <t>U100902</t>
  </si>
  <si>
    <t>0xD00902</t>
  </si>
  <si>
    <t>Lost Communication with ESC</t>
  </si>
  <si>
    <t>B100903</t>
  </si>
  <si>
    <t>0x900903</t>
  </si>
  <si>
    <t>Battery Voltage too High</t>
  </si>
  <si>
    <t>B100904</t>
  </si>
  <si>
    <t>0x900904</t>
  </si>
  <si>
    <t>Battery Voltage too Low</t>
  </si>
  <si>
    <t>B100905</t>
  </si>
  <si>
    <t>0x900905</t>
  </si>
  <si>
    <t>B100906</t>
  </si>
  <si>
    <t>0x900906</t>
  </si>
  <si>
    <t>B100907</t>
  </si>
  <si>
    <t>0x900907</t>
  </si>
  <si>
    <t>DSI3 Transceiver 1 Failure</t>
  </si>
  <si>
    <t>B100908</t>
  </si>
  <si>
    <t>0x900908</t>
  </si>
  <si>
    <t>DSI3 Transceiver 2 Failure</t>
  </si>
  <si>
    <t>B100909</t>
  </si>
  <si>
    <t>0x900909</t>
  </si>
  <si>
    <t>FCL USS Status Failure</t>
  </si>
  <si>
    <t>B10090A</t>
  </si>
  <si>
    <t>0x90090A</t>
  </si>
  <si>
    <t>FML USS Status Failure</t>
  </si>
  <si>
    <t>B10090B</t>
  </si>
  <si>
    <t>0x90090B</t>
  </si>
  <si>
    <t>FMR USS Status Failure</t>
  </si>
  <si>
    <t>B10090C</t>
  </si>
  <si>
    <t>0x90090C</t>
  </si>
  <si>
    <t>FCR USS Status Failure</t>
  </si>
  <si>
    <t>B10090D</t>
  </si>
  <si>
    <t>0x90090D</t>
  </si>
  <si>
    <t>RCL USS Status Failure</t>
  </si>
  <si>
    <t>B10090E</t>
  </si>
  <si>
    <t>0x90090E</t>
  </si>
  <si>
    <t>RML USS Status Failure</t>
  </si>
  <si>
    <t>B10090F</t>
  </si>
  <si>
    <t>0x90090F</t>
  </si>
  <si>
    <t>RMR USS Status Failure</t>
  </si>
  <si>
    <t>B100910</t>
  </si>
  <si>
    <t>0x900910</t>
  </si>
  <si>
    <t>RCR USS Status Failure</t>
  </si>
  <si>
    <t>B100911</t>
  </si>
  <si>
    <t>0x900911</t>
  </si>
  <si>
    <t>FLL USS Status Failure</t>
  </si>
  <si>
    <t>B100912</t>
  </si>
  <si>
    <t>0x900912</t>
  </si>
  <si>
    <t>FLR USS Status Failure</t>
  </si>
  <si>
    <t>B100913</t>
  </si>
  <si>
    <t>0x900913</t>
  </si>
  <si>
    <t>RLL USS Status Failure</t>
  </si>
  <si>
    <t>B100914</t>
  </si>
  <si>
    <t>0x900914</t>
  </si>
  <si>
    <t>RLR USS Status Failure</t>
  </si>
  <si>
    <t>B100915</t>
  </si>
  <si>
    <t>0x900915</t>
  </si>
  <si>
    <t>FCL USS Open Circuit Failure</t>
  </si>
  <si>
    <t>B100916</t>
  </si>
  <si>
    <t>0x900916</t>
  </si>
  <si>
    <t>FML USS Open Circuit Failure</t>
  </si>
  <si>
    <t>B100917</t>
  </si>
  <si>
    <t>0x900917</t>
  </si>
  <si>
    <t>FMR USS Open Circuit Failure</t>
  </si>
  <si>
    <t>B100918</t>
  </si>
  <si>
    <t>0x900918</t>
  </si>
  <si>
    <t>FCR USS Open Circuit Failure</t>
  </si>
  <si>
    <t>B100919</t>
  </si>
  <si>
    <t>0x900919</t>
  </si>
  <si>
    <t>RCL USS Open Circuit Failure</t>
  </si>
  <si>
    <t>B10091A</t>
  </si>
  <si>
    <t>0x90091A</t>
  </si>
  <si>
    <t>RML USS Open Circuit Failure</t>
  </si>
  <si>
    <t>B10091B</t>
  </si>
  <si>
    <t>0x90091B</t>
  </si>
  <si>
    <t>RMR USS Open Circuit Failure</t>
  </si>
  <si>
    <t>B10091C</t>
  </si>
  <si>
    <t>0x90091C</t>
  </si>
  <si>
    <t>RCR USS Open Circuit Failure</t>
  </si>
  <si>
    <t>B10091D</t>
  </si>
  <si>
    <t>0x90091D</t>
  </si>
  <si>
    <t>FLL USS Open Circuit Failure</t>
  </si>
  <si>
    <t>B10091E</t>
  </si>
  <si>
    <t>0x90091E</t>
  </si>
  <si>
    <t>FLR USS Open Circuit Failure</t>
  </si>
  <si>
    <t>B10091F</t>
  </si>
  <si>
    <t>0x90091F</t>
  </si>
  <si>
    <t>RLL USS Open Circuit Failure</t>
  </si>
  <si>
    <t>B100920</t>
  </si>
  <si>
    <t>0x900920</t>
  </si>
  <si>
    <t>RLR USS Open Circuit Failure</t>
  </si>
  <si>
    <t>B100301</t>
  </si>
  <si>
    <t>0x900301</t>
  </si>
  <si>
    <t>TurnLampFrontRightFail</t>
  </si>
  <si>
    <t>BCM</t>
    <phoneticPr fontId="45" type="noConversion"/>
  </si>
  <si>
    <t>B100302</t>
  </si>
  <si>
    <t>0x900302</t>
  </si>
  <si>
    <t>TurnLampRearRightFail</t>
  </si>
  <si>
    <t>B100303</t>
  </si>
  <si>
    <t>0x900303</t>
  </si>
  <si>
    <t>TurnLampFrontLeftFail</t>
  </si>
  <si>
    <t>B100304</t>
  </si>
  <si>
    <t>0x900304</t>
  </si>
  <si>
    <t>TurnLampRearLeftFail</t>
  </si>
  <si>
    <t>B100305</t>
  </si>
  <si>
    <t>0x900305</t>
  </si>
  <si>
    <t>Crash Signal Fail</t>
  </si>
  <si>
    <t>U100701</t>
  </si>
  <si>
    <t>0xD00701</t>
  </si>
  <si>
    <t xml:space="preserve">Ethernet Link Down </t>
  </si>
  <si>
    <t>Connectivity</t>
    <phoneticPr fontId="45" type="noConversion"/>
  </si>
  <si>
    <t>U100702</t>
  </si>
  <si>
    <t>0xD00702</t>
  </si>
  <si>
    <t>Lost Communication with TBOX</t>
  </si>
  <si>
    <t>U100703</t>
  </si>
  <si>
    <t>0xD00703</t>
  </si>
  <si>
    <t>Lost Communication with DKC</t>
  </si>
  <si>
    <t>U100704</t>
  </si>
  <si>
    <t>0xD00704</t>
  </si>
  <si>
    <t>Lost Communication with cloud server</t>
  </si>
  <si>
    <t>B100501</t>
    <phoneticPr fontId="45" type="noConversion"/>
  </si>
  <si>
    <t>0x900501</t>
  </si>
  <si>
    <t>BMS: B2E message Timeout</t>
    <phoneticPr fontId="28" type="noConversion"/>
  </si>
  <si>
    <t>EVCC</t>
    <phoneticPr fontId="45" type="noConversion"/>
  </si>
  <si>
    <t>B100502</t>
  </si>
  <si>
    <t>0x900502</t>
  </si>
  <si>
    <t>Unable to enter charging state (S2 switch close failure)</t>
    <phoneticPr fontId="28" type="noConversion"/>
  </si>
  <si>
    <t>B100503</t>
  </si>
  <si>
    <t>0x900503</t>
  </si>
  <si>
    <t>Unable to enter charging standby state (S2 switch open failure)</t>
    <phoneticPr fontId="28" type="noConversion"/>
  </si>
  <si>
    <t>B100504</t>
  </si>
  <si>
    <t>0x900504</t>
  </si>
  <si>
    <t>PLC module failure</t>
  </si>
  <si>
    <t>B100505</t>
    <phoneticPr fontId="45" type="noConversion"/>
  </si>
  <si>
    <t>0x900505</t>
  </si>
  <si>
    <t>PWM detection failure</t>
  </si>
  <si>
    <t>B100506</t>
  </si>
  <si>
    <t>0x900506</t>
  </si>
  <si>
    <t>PLC transmission abnormality</t>
  </si>
  <si>
    <t>B100507</t>
  </si>
  <si>
    <t>0x900507</t>
  </si>
  <si>
    <t>BMS communication abnormality</t>
  </si>
  <si>
    <t>B100508</t>
  </si>
  <si>
    <t>0x900508</t>
  </si>
  <si>
    <t>BMS_WAKEUP Unable to set high position</t>
  </si>
  <si>
    <t>B100509</t>
  </si>
  <si>
    <t>0x900509</t>
  </si>
  <si>
    <t>BMS_WAKEUP Unable to set low bit</t>
  </si>
  <si>
    <t>B10050A</t>
  </si>
  <si>
    <t>0x90050A</t>
  </si>
  <si>
    <t>The charging pile voltage is abnormal.</t>
  </si>
  <si>
    <t>B10050B</t>
  </si>
  <si>
    <t>0x90050B</t>
  </si>
  <si>
    <t>Abnormal frequency of charging pile</t>
  </si>
  <si>
    <t>B10050C</t>
  </si>
  <si>
    <t>0x90050C</t>
  </si>
  <si>
    <t>BMS charging stops abnormally</t>
  </si>
  <si>
    <t>B10050D</t>
  </si>
  <si>
    <t>0x90050D</t>
  </si>
  <si>
    <t>EVSE charging abnormal notification stops charging.(EVSE responds with FAILED string)</t>
    <phoneticPr fontId="28" type="noConversion"/>
  </si>
  <si>
    <t>B10050E</t>
  </si>
  <si>
    <t>0x90050E</t>
  </si>
  <si>
    <t>Charging communication handshake abnormality (Charging pile V2G signal abnormality timeout)</t>
  </si>
  <si>
    <t>B10050F</t>
  </si>
  <si>
    <t>0x90050F</t>
  </si>
  <si>
    <t>Charging communication handshake abnormality (Charging pile SLAC signal abnormality)</t>
  </si>
  <si>
    <t>B100510</t>
  </si>
  <si>
    <t>0x900510</t>
  </si>
  <si>
    <t>Charging communication handshake abnormality (Charging pile SLAC signal timeout abnormality)</t>
  </si>
  <si>
    <t>B100511</t>
  </si>
  <si>
    <t>0x900511</t>
  </si>
  <si>
    <t>Charging communication handshake abnormality (Charging pile SLAC signal attenuation exceeds the range)</t>
  </si>
  <si>
    <t>B100512</t>
  </si>
  <si>
    <t>0x900512</t>
  </si>
  <si>
    <t>Charging communication handshake abnormality (charging pile SLAC packet does not comply with ISO standards)</t>
  </si>
  <si>
    <t>B100513</t>
  </si>
  <si>
    <t>0x900513</t>
  </si>
  <si>
    <t>Charging communication handshake abnormality (charging pile SDP Timeout)</t>
  </si>
  <si>
    <t>B100514</t>
  </si>
  <si>
    <t>0x900514</t>
  </si>
  <si>
    <t>Charging communication handshake abnormality (Charging pile SDP packet abnormality)</t>
  </si>
  <si>
    <t>B100515</t>
  </si>
  <si>
    <t>0x900515</t>
  </si>
  <si>
    <t>Charging communication handshake abnormality (charging pile V2G packet does not comply with ISO standards)</t>
  </si>
  <si>
    <t>B100516</t>
  </si>
  <si>
    <t>0x900516</t>
  </si>
  <si>
    <t>Charging communication handshake abnormality (charging pile TCP packet abnormal)</t>
  </si>
  <si>
    <t>B100517</t>
  </si>
  <si>
    <t>0x900517</t>
  </si>
  <si>
    <t>Charging communication handshake abnormality (CpPwmDuty 5% abnormality)</t>
    <phoneticPr fontId="28" type="noConversion"/>
  </si>
  <si>
    <t>B100518</t>
  </si>
  <si>
    <t>0x900518</t>
  </si>
  <si>
    <t>Charging communication handshake abnormality (Charging pile V2G signal abnormality: Authorization  60Sec Timeout)</t>
  </si>
  <si>
    <t>B100519</t>
  </si>
  <si>
    <t>0x900519</t>
  </si>
  <si>
    <t>Charging communication handshake abnormality (Charging pile V2G signal abnormality: ChargeParameterDiscovery timeout )</t>
  </si>
  <si>
    <t>B10051A</t>
  </si>
  <si>
    <t>0x90051A</t>
  </si>
  <si>
    <t>Charging communication handshake abnormality (Charging pile V2G signal abnormality: InsulationCheck 40Sec timeout)</t>
  </si>
  <si>
    <t>B10051B</t>
  </si>
  <si>
    <t>0x90051B</t>
  </si>
  <si>
    <t>Charging communication handshake abnormality (Charging pile V2G signal abnormality: Precharge  timeout)</t>
  </si>
  <si>
    <t>B10051C</t>
  </si>
  <si>
    <t>0x90051C</t>
  </si>
  <si>
    <t>Charging communication handshake abnormality (SALC-CM_SLAC_PARM connection timeout)</t>
  </si>
  <si>
    <t>B10051D</t>
  </si>
  <si>
    <t>0x90051D</t>
  </si>
  <si>
    <t>Charging communication handshake abnormality (CM_ATTEN CHAR.IND connection timeout)</t>
  </si>
  <si>
    <t>B10051E</t>
  </si>
  <si>
    <t>0x90051E</t>
  </si>
  <si>
    <t>Charging communication handshake abnormality (SALC-CM_SLAC_MATCH connection timeout)</t>
  </si>
  <si>
    <t>B10051F</t>
  </si>
  <si>
    <t>0x90051F</t>
  </si>
  <si>
    <t>Charging communication handshake abnormality (SLAC-CM_SET KEY connection timeout)</t>
  </si>
  <si>
    <t>B100520</t>
  </si>
  <si>
    <t>0x900520</t>
  </si>
  <si>
    <t>Charging communication handshake abnormality (SLAC-Dlink connection timeout)</t>
  </si>
  <si>
    <t>B100521</t>
  </si>
  <si>
    <t>0x900521</t>
  </si>
  <si>
    <t>Charging communication handshake abnormality (TCP/TLS connection timeout)</t>
  </si>
  <si>
    <t>B100522</t>
  </si>
  <si>
    <t>0x900522</t>
  </si>
  <si>
    <t>Charging communication handshake abnormality (V2G SessionSetup 20sec timeout)</t>
  </si>
  <si>
    <t>B100523</t>
  </si>
  <si>
    <t>0x900523</t>
  </si>
  <si>
    <t>Charging communication handshake abnormality (BMS DC connection timeout)</t>
  </si>
  <si>
    <t>B100524</t>
  </si>
  <si>
    <t>0x900524</t>
  </si>
  <si>
    <t>Charging communication handshake abnormality (ChargeParameterDiscoveryRes parameter error)</t>
  </si>
  <si>
    <t>B100525</t>
  </si>
  <si>
    <t>0x900525</t>
  </si>
  <si>
    <t>Charging communication handshake abnormality (Plugin NG)</t>
  </si>
  <si>
    <t>B100526</t>
  </si>
  <si>
    <t>0x900526</t>
  </si>
  <si>
    <t>Charging communication handshake abnormality (PaymentOptions or ServiceCategory error)</t>
  </si>
  <si>
    <t>B100527</t>
  </si>
  <si>
    <t>0x900527</t>
  </si>
  <si>
    <t>Charging communication handshake abnormality (EnergyTransferType error)</t>
  </si>
  <si>
    <t>B100528</t>
  </si>
  <si>
    <t>0x900528</t>
  </si>
  <si>
    <t>Charging communication handshake abnormality (SAScheduleTupleID error)</t>
    <phoneticPr fontId="28" type="noConversion"/>
  </si>
  <si>
    <t>B100529</t>
  </si>
  <si>
    <t>0x900529</t>
  </si>
  <si>
    <t>Charging communication handshake abnormality (BmsChoiceChargeMode timeout)</t>
  </si>
  <si>
    <t>B10052A</t>
  </si>
  <si>
    <t>0x90052A</t>
  </si>
  <si>
    <t>Charging communication handshake abnormality (BHM timeout)</t>
  </si>
  <si>
    <t>B10052B</t>
  </si>
  <si>
    <t>0x90052B</t>
  </si>
  <si>
    <t>Charging communication handshake abnormality (TimeoutRxBRM timeout)</t>
  </si>
  <si>
    <t>B10052C</t>
  </si>
  <si>
    <t>0x90052C</t>
  </si>
  <si>
    <t>Charging communication handshake abnormality (TimeoutRxBCP timeout)</t>
  </si>
  <si>
    <t>B10052D</t>
  </si>
  <si>
    <t>0x90052D</t>
  </si>
  <si>
    <t>Charging communication handshake abnormality (TimeoutRxBRO timeout)</t>
  </si>
  <si>
    <t>B10052E</t>
  </si>
  <si>
    <t>0x90052E</t>
  </si>
  <si>
    <t>Charging communication handshake abnormality (TimeoutRxBCS timeout)</t>
  </si>
  <si>
    <t>B10052F</t>
  </si>
  <si>
    <t>0x90052F</t>
  </si>
  <si>
    <t>Charging communication handshake abnormality (TimeoutRxBCL timeout)</t>
  </si>
  <si>
    <t>B100530</t>
  </si>
  <si>
    <t>0x900530</t>
  </si>
  <si>
    <t>Charging communication handshake abnormality (TimeoutRxBST ​​timeout)</t>
  </si>
  <si>
    <t>B100531</t>
  </si>
  <si>
    <t>0x900531</t>
  </si>
  <si>
    <t>Charging communication handshake abnormality (TimeRxBSD timeout)</t>
  </si>
  <si>
    <t>B100532</t>
  </si>
  <si>
    <t>0x900532</t>
  </si>
  <si>
    <t>Charging communication handshake abnormality (S2 disconnection timeout during charging stop phase)</t>
    <phoneticPr fontId="28" type="noConversion"/>
  </si>
  <si>
    <t>B100533</t>
  </si>
  <si>
    <t>0x900533</t>
  </si>
  <si>
    <t>Charging communication handshake abnormality (V2gState switches to OFF and times out)</t>
  </si>
  <si>
    <t>B100534</t>
  </si>
  <si>
    <t>0x900534</t>
  </si>
  <si>
    <t>Charging communication handshake abnormality (TimeoutRxCRM00 timeout)</t>
  </si>
  <si>
    <t>B100535</t>
  </si>
  <si>
    <t>0x900535</t>
  </si>
  <si>
    <t>Charging communication handshake abnormality (TimeoutRxCRMAA timeout)</t>
  </si>
  <si>
    <t>B100536</t>
  </si>
  <si>
    <t>0x900536</t>
  </si>
  <si>
    <t>Charging communication handshake abnormality (TimeoutRxCTSCML timeout)</t>
    <phoneticPr fontId="28" type="noConversion"/>
  </si>
  <si>
    <t>B100537</t>
  </si>
  <si>
    <t>0x900537</t>
  </si>
  <si>
    <t>Charging communication handshake abnormality (BEM: OtherFault message)</t>
    <phoneticPr fontId="28" type="noConversion"/>
  </si>
  <si>
    <t>B100538</t>
  </si>
  <si>
    <t>0x900538</t>
  </si>
  <si>
    <t>Charging communication handshake abnormality (TimeoutRxCRO timeout)</t>
  </si>
  <si>
    <t>B100539</t>
  </si>
  <si>
    <t>0x900539</t>
  </si>
  <si>
    <t>Charging communication handshake abnormality (TimeoutRxCCS timeout)</t>
  </si>
  <si>
    <t>B10053A</t>
  </si>
  <si>
    <t>0x90053A</t>
  </si>
  <si>
    <t>Charging communication handshake abnormality (TimeoutRxCST timeout)</t>
  </si>
  <si>
    <t>B10053B</t>
  </si>
  <si>
    <t>0x90053B</t>
  </si>
  <si>
    <t>EVSE charging end current drop is greater than the minimum value</t>
    <phoneticPr fontId="45" type="noConversion"/>
  </si>
  <si>
    <t>B10053C</t>
    <phoneticPr fontId="28" type="noConversion"/>
  </si>
  <si>
    <t>0x90053C</t>
    <phoneticPr fontId="28" type="noConversion"/>
  </si>
  <si>
    <t>Abnormal insulation of charging cable</t>
  </si>
  <si>
    <t>B10053D</t>
    <phoneticPr fontId="28" type="noConversion"/>
  </si>
  <si>
    <t>0x90053D</t>
    <phoneticPr fontId="28" type="noConversion"/>
  </si>
  <si>
    <t>Charging pile emergency stop</t>
  </si>
  <si>
    <t>U100300</t>
  </si>
  <si>
    <t>0xD00300</t>
  </si>
  <si>
    <t>CAN 1 bus off failure</t>
  </si>
  <si>
    <t>N</t>
    <phoneticPr fontId="45" type="noConversion"/>
  </si>
  <si>
    <t>FD-M</t>
    <phoneticPr fontId="45" type="noConversion"/>
  </si>
  <si>
    <t>U100301</t>
  </si>
  <si>
    <t>0xD00301</t>
  </si>
  <si>
    <t>CAN 2 bus off failure</t>
  </si>
  <si>
    <t>U100302</t>
  </si>
  <si>
    <t>0xD00302</t>
  </si>
  <si>
    <t>CAN 3 bus off failure</t>
  </si>
  <si>
    <t>U100303</t>
  </si>
  <si>
    <t>0xD00303</t>
  </si>
  <si>
    <t>CAN 4 bus off failure</t>
  </si>
  <si>
    <t>U100304</t>
  </si>
  <si>
    <t>0xD00304</t>
  </si>
  <si>
    <t>CAN 5 bus off failure</t>
  </si>
  <si>
    <t>U100305</t>
  </si>
  <si>
    <t>0xD00305</t>
  </si>
  <si>
    <t>CAN 6 bus off failure</t>
  </si>
  <si>
    <t>U100306</t>
  </si>
  <si>
    <t>0xD00306</t>
  </si>
  <si>
    <t>CAN GBDC bus off failure</t>
  </si>
  <si>
    <t>B100307</t>
  </si>
  <si>
    <t>0x900307</t>
  </si>
  <si>
    <t>B100308</t>
  </si>
  <si>
    <t>0x900308</t>
  </si>
  <si>
    <t>B100E01</t>
  </si>
  <si>
    <t>0x900E01</t>
  </si>
  <si>
    <t>FDC fail safe reset</t>
  </si>
  <si>
    <t>B100E02</t>
  </si>
  <si>
    <t>0x900E02</t>
  </si>
  <si>
    <t>FDC unknow boot reason</t>
  </si>
  <si>
    <t>B100E03</t>
  </si>
  <si>
    <t>0x900E03</t>
  </si>
  <si>
    <t>FDC cold start</t>
  </si>
  <si>
    <t>B100E04</t>
  </si>
  <si>
    <t>0x900E04</t>
  </si>
  <si>
    <t>FDC standby timer wake-up</t>
  </si>
  <si>
    <t>B100E05</t>
  </si>
  <si>
    <t>0x900E05</t>
  </si>
  <si>
    <t>FDC 12V load switch report fail</t>
  </si>
  <si>
    <t>U100E06</t>
  </si>
  <si>
    <t>0xD00E06</t>
  </si>
  <si>
    <t>FDC IO expander U26 communication fail</t>
  </si>
  <si>
    <t>U100E07</t>
  </si>
  <si>
    <t>0xD00E07</t>
  </si>
  <si>
    <t>FDC IO expander U27 communication fail</t>
  </si>
  <si>
    <t>U100E08</t>
  </si>
  <si>
    <t>0xD00E08</t>
  </si>
  <si>
    <t>FDC IO expander U28 communication fail</t>
  </si>
  <si>
    <t>U100E09</t>
  </si>
  <si>
    <t>0xD00E09</t>
  </si>
  <si>
    <t>FDC TPMS communication fail</t>
  </si>
  <si>
    <t>U100E0A</t>
  </si>
  <si>
    <t>0xD00E0A</t>
  </si>
  <si>
    <t>FDC DSI3 communication fail</t>
  </si>
  <si>
    <t>U100E0B</t>
  </si>
  <si>
    <t>0xD00E0B</t>
  </si>
  <si>
    <t>FDC IMU communication fail</t>
  </si>
  <si>
    <t>U100E0C</t>
  </si>
  <si>
    <t>0xD00E0C</t>
  </si>
  <si>
    <t>FDC I2C0 abstraction lost</t>
  </si>
  <si>
    <t>B100E0D</t>
  </si>
  <si>
    <t>0x900E0D</t>
  </si>
  <si>
    <t>FDC EEPROM Key-value store corruption</t>
  </si>
  <si>
    <t>U002888</t>
    <phoneticPr fontId="45" type="noConversion"/>
  </si>
  <si>
    <t>0xC02888</t>
    <phoneticPr fontId="45" type="noConversion"/>
  </si>
  <si>
    <t>Y</t>
    <phoneticPr fontId="45" type="noConversion"/>
  </si>
  <si>
    <t>U003788</t>
    <phoneticPr fontId="45" type="noConversion"/>
  </si>
  <si>
    <t>0xC03788</t>
    <phoneticPr fontId="45" type="noConversion"/>
  </si>
  <si>
    <t>U004688</t>
    <phoneticPr fontId="45" type="noConversion"/>
  </si>
  <si>
    <t>0xC04688</t>
    <phoneticPr fontId="45" type="noConversion"/>
  </si>
  <si>
    <t>U005588</t>
    <phoneticPr fontId="45" type="noConversion"/>
  </si>
  <si>
    <t>0xC05588</t>
    <phoneticPr fontId="45" type="noConversion"/>
  </si>
  <si>
    <t>U006488</t>
    <phoneticPr fontId="45" type="noConversion"/>
  </si>
  <si>
    <t>0xC06488</t>
    <phoneticPr fontId="45" type="noConversion"/>
  </si>
  <si>
    <t>U008088</t>
    <phoneticPr fontId="45" type="noConversion"/>
  </si>
  <si>
    <t>0xC08088</t>
    <phoneticPr fontId="45" type="noConversion"/>
  </si>
  <si>
    <t>U008988</t>
    <phoneticPr fontId="45" type="noConversion"/>
  </si>
  <si>
    <t>0xC08988</t>
    <phoneticPr fontId="45" type="noConversion"/>
  </si>
  <si>
    <t>U009288</t>
    <phoneticPr fontId="45" type="noConversion"/>
  </si>
  <si>
    <t>0xC09288</t>
    <phoneticPr fontId="45" type="noConversion"/>
  </si>
  <si>
    <t>CAN DKC bus off failure</t>
    <phoneticPr fontId="45" type="noConversion"/>
  </si>
  <si>
    <t>U00288F</t>
    <phoneticPr fontId="45" type="noConversion"/>
  </si>
  <si>
    <t>0xC0288F</t>
    <phoneticPr fontId="45" type="noConversion"/>
  </si>
  <si>
    <t>CAN 1 Communcation Bus Error</t>
    <phoneticPr fontId="45" type="noConversion"/>
  </si>
  <si>
    <t>U00378F</t>
    <phoneticPr fontId="45" type="noConversion"/>
  </si>
  <si>
    <t>0xC0378F</t>
    <phoneticPr fontId="45" type="noConversion"/>
  </si>
  <si>
    <t>CAN 2 Communcation Bus Error</t>
  </si>
  <si>
    <t>U00468F</t>
    <phoneticPr fontId="45" type="noConversion"/>
  </si>
  <si>
    <t>0xC0468F</t>
    <phoneticPr fontId="45" type="noConversion"/>
  </si>
  <si>
    <t>CAN 3 Communcation Bus Error</t>
  </si>
  <si>
    <t>U00558F</t>
    <phoneticPr fontId="45" type="noConversion"/>
  </si>
  <si>
    <t>0xC0558F</t>
    <phoneticPr fontId="45" type="noConversion"/>
  </si>
  <si>
    <t>CAN 4 Communcation Bus Error</t>
  </si>
  <si>
    <t>U00648F</t>
    <phoneticPr fontId="45" type="noConversion"/>
  </si>
  <si>
    <t>0xC0648F</t>
    <phoneticPr fontId="45" type="noConversion"/>
  </si>
  <si>
    <t>CAN 5 Communcation Bus Error</t>
  </si>
  <si>
    <t>U00808F</t>
    <phoneticPr fontId="45" type="noConversion"/>
  </si>
  <si>
    <t>0xC0808F</t>
    <phoneticPr fontId="45" type="noConversion"/>
  </si>
  <si>
    <t>CAN 6 Communcation Bus Error</t>
  </si>
  <si>
    <t>U00898F</t>
    <phoneticPr fontId="45" type="noConversion"/>
  </si>
  <si>
    <t>0xC0898F</t>
    <phoneticPr fontId="45" type="noConversion"/>
  </si>
  <si>
    <t>CAN GBDC Communcation Bus Error</t>
    <phoneticPr fontId="45" type="noConversion"/>
  </si>
  <si>
    <t>U00928F</t>
    <phoneticPr fontId="45" type="noConversion"/>
  </si>
  <si>
    <t>0xC0928F</t>
    <phoneticPr fontId="45" type="noConversion"/>
  </si>
  <si>
    <t>CAN DKC Communcation Bus Error</t>
    <phoneticPr fontId="45" type="noConversion"/>
  </si>
  <si>
    <t>B100601</t>
  </si>
  <si>
    <t>0x900601</t>
  </si>
  <si>
    <t>MDA initialization failed</t>
  </si>
  <si>
    <t>OTA</t>
    <phoneticPr fontId="45" type="noConversion"/>
  </si>
  <si>
    <t>B100602</t>
  </si>
  <si>
    <t>0x900602</t>
  </si>
  <si>
    <t>MDA Service alive check failed</t>
  </si>
  <si>
    <t>B100603</t>
  </si>
  <si>
    <t>0x900603</t>
  </si>
  <si>
    <t>Upgrade process abort abnormally due to power state not ON</t>
  </si>
  <si>
    <t>B100604</t>
  </si>
  <si>
    <t>0x900604</t>
  </si>
  <si>
    <t>Upgrade process abort abnormally due to power state not Standby</t>
  </si>
  <si>
    <t>B100605</t>
  </si>
  <si>
    <t>0x900605</t>
  </si>
  <si>
    <t>Upgrade process abort abnormally - lost communication with MDA</t>
  </si>
  <si>
    <t>B100606</t>
  </si>
  <si>
    <t>0x900606</t>
  </si>
  <si>
    <t>ECU OTA upgrade failed</t>
  </si>
  <si>
    <t>B100607</t>
  </si>
  <si>
    <t>0x900607</t>
  </si>
  <si>
    <t>FDC storage abnormal</t>
  </si>
  <si>
    <t>B100401</t>
  </si>
  <si>
    <t>0x900401</t>
  </si>
  <si>
    <t>FDC_THCM_APTCWarning_Sta</t>
    <phoneticPr fontId="45" type="noConversion"/>
  </si>
  <si>
    <t>THCM</t>
    <phoneticPr fontId="45" type="noConversion"/>
  </si>
  <si>
    <t>C100B01</t>
  </si>
  <si>
    <t>0x500B01</t>
  </si>
  <si>
    <t>Left Forward Wheel Pressure too Low</t>
  </si>
  <si>
    <t>TPM</t>
    <phoneticPr fontId="45" type="noConversion"/>
  </si>
  <si>
    <t>C100B02</t>
  </si>
  <si>
    <t>0x500B02</t>
  </si>
  <si>
    <t>Right Forward Wheel Pressure too Low</t>
  </si>
  <si>
    <t>C100B03</t>
  </si>
  <si>
    <t>0x500B03</t>
  </si>
  <si>
    <t>Left Rear Wheel Pressure too Low</t>
  </si>
  <si>
    <t>C100B04</t>
  </si>
  <si>
    <t>0x500B04</t>
  </si>
  <si>
    <t>Right Rear Wheel Pressure too Low</t>
  </si>
  <si>
    <t>C100B05</t>
  </si>
  <si>
    <t>0x500B05</t>
  </si>
  <si>
    <t>Left Forward Wheel Temperature too High</t>
  </si>
  <si>
    <t>C100B06</t>
  </si>
  <si>
    <t>0x500B06</t>
  </si>
  <si>
    <t>Right Forward Wheel Temperature too High</t>
  </si>
  <si>
    <t>C100B07</t>
  </si>
  <si>
    <t>0x500B07</t>
  </si>
  <si>
    <t>Left Rear Wheel Temperature too High</t>
  </si>
  <si>
    <t>C100B08</t>
  </si>
  <si>
    <t>0x500B08</t>
  </si>
  <si>
    <t>Right Rear Wheel Temperature too High</t>
  </si>
  <si>
    <t>C100B09</t>
  </si>
  <si>
    <t>0x500B09</t>
  </si>
  <si>
    <t>Left Forward Sensor Voltage too Low</t>
  </si>
  <si>
    <t>C100B0A</t>
  </si>
  <si>
    <t>0x500B0A</t>
  </si>
  <si>
    <t>Right Forward Sensor Voltage too Low</t>
  </si>
  <si>
    <t>C100B0B</t>
  </si>
  <si>
    <t>0x500B0B</t>
  </si>
  <si>
    <t>Left Rear Sensor Voltage too Low</t>
  </si>
  <si>
    <t>C100B0C</t>
  </si>
  <si>
    <t>0x500B0C</t>
  </si>
  <si>
    <t>Right Rear Sensor Voltage too Low</t>
  </si>
  <si>
    <t>C100B0D</t>
  </si>
  <si>
    <t>0x500B0D</t>
  </si>
  <si>
    <t>Left Forward Sensor Loss</t>
  </si>
  <si>
    <t>C100B0E</t>
  </si>
  <si>
    <t>0x500B0E</t>
  </si>
  <si>
    <t>Right Forward Sensor Loss</t>
  </si>
  <si>
    <t>C100B0F</t>
  </si>
  <si>
    <t>0x500B0F</t>
  </si>
  <si>
    <t>Left Rear Sensor Loss</t>
  </si>
  <si>
    <t>C100B10</t>
  </si>
  <si>
    <t>0x500B10</t>
  </si>
  <si>
    <t>Right Rear Sensor Loss</t>
  </si>
  <si>
    <t>U100201</t>
  </si>
  <si>
    <t>0xD00201</t>
  </si>
  <si>
    <t>The CAN signal between VCU and BMS6 is discontinuous</t>
  </si>
  <si>
    <t>VCU</t>
    <phoneticPr fontId="45" type="noConversion"/>
  </si>
  <si>
    <t>U100202</t>
  </si>
  <si>
    <t>0xD00202</t>
  </si>
  <si>
    <t>The CAN signal between VCU and BMS6 is incomplete</t>
  </si>
  <si>
    <t>U100203</t>
  </si>
  <si>
    <t>0xD00203</t>
  </si>
  <si>
    <t>The CAN signal between VCU and BMS1 is discontinuous</t>
  </si>
  <si>
    <t>U100204</t>
  </si>
  <si>
    <t>0xD00204</t>
  </si>
  <si>
    <t>The CAN signal between VCU and BMS1 is incomplete</t>
  </si>
  <si>
    <t>U100205</t>
  </si>
  <si>
    <t>0xD00205</t>
  </si>
  <si>
    <t>The CAN signal between VCU and CCU1 is discontinuous</t>
  </si>
  <si>
    <t>U100206</t>
  </si>
  <si>
    <t>0xD00206</t>
  </si>
  <si>
    <t>The CAN signal between VCU and CCU1 is incomplete</t>
  </si>
  <si>
    <t>U100207</t>
  </si>
  <si>
    <t>0xD00207</t>
  </si>
  <si>
    <t>The CAN signal between VCU and CCU2 is discontinuous</t>
  </si>
  <si>
    <t>U100208</t>
  </si>
  <si>
    <t>0xD00208</t>
  </si>
  <si>
    <t>The CAN signal between VCU and CCU2 is incomplete</t>
  </si>
  <si>
    <t>U100209</t>
  </si>
  <si>
    <t>0xD00209</t>
  </si>
  <si>
    <t>The CAN signal between VCU and ABM1 is discontinuous</t>
  </si>
  <si>
    <t>U10020A</t>
  </si>
  <si>
    <t>0xD0020A</t>
  </si>
  <si>
    <t>The CAN signal between VCU and ABM1 is incomplete</t>
  </si>
  <si>
    <t>P10020B</t>
  </si>
  <si>
    <t>0x10020B</t>
  </si>
  <si>
    <t>Fault level 1 subsystem error</t>
  </si>
  <si>
    <t>P10020C</t>
  </si>
  <si>
    <t>0x10020C</t>
  </si>
  <si>
    <t>Fault level 2 subsystem error</t>
  </si>
  <si>
    <t>P10020D</t>
  </si>
  <si>
    <t>0x10020D</t>
  </si>
  <si>
    <t>Fault level 3 subsystem error</t>
  </si>
  <si>
    <t>P10020E</t>
  </si>
  <si>
    <t>0x10020E</t>
  </si>
  <si>
    <t>Fault level 4 subsystem error</t>
  </si>
  <si>
    <t>P100210</t>
  </si>
  <si>
    <t>0x100210</t>
  </si>
  <si>
    <t>LV battery voltatge too low</t>
  </si>
  <si>
    <t>P100211</t>
  </si>
  <si>
    <t>0x100211</t>
  </si>
  <si>
    <t>LV power supply voltage too high</t>
  </si>
  <si>
    <t>P100212</t>
  </si>
  <si>
    <t>0x100212</t>
  </si>
  <si>
    <t>LV power supply voltage too low</t>
  </si>
  <si>
    <t>P100213</t>
  </si>
  <si>
    <t>0x100213</t>
  </si>
  <si>
    <t>HVB ready for precharge fail</t>
  </si>
  <si>
    <t>P100214</t>
  </si>
  <si>
    <t>0x100214</t>
  </si>
  <si>
    <t>MCU ready for precharge fail</t>
  </si>
  <si>
    <t>P100215</t>
  </si>
  <si>
    <t>0x100215</t>
  </si>
  <si>
    <t>DCDC ready for precharge fail</t>
  </si>
  <si>
    <t>P100216</t>
  </si>
  <si>
    <t>0x100216</t>
  </si>
  <si>
    <t>BMS HV relay closed fail</t>
  </si>
  <si>
    <t>P100217</t>
  </si>
  <si>
    <t>0x100217</t>
  </si>
  <si>
    <t>BMS ready fail</t>
  </si>
  <si>
    <t>P100218</t>
  </si>
  <si>
    <t>0x100218</t>
  </si>
  <si>
    <t>DCDC enable fail</t>
  </si>
  <si>
    <t>P100219</t>
  </si>
  <si>
    <t>0x100219</t>
  </si>
  <si>
    <t>High level system safety check fail</t>
  </si>
  <si>
    <t>P10021A</t>
  </si>
  <si>
    <t>0x10021A</t>
  </si>
  <si>
    <t>Mid level system safety check fail</t>
  </si>
  <si>
    <t>P10021B</t>
  </si>
  <si>
    <t>0x10021B</t>
  </si>
  <si>
    <t>MCU disable fail</t>
  </si>
  <si>
    <t>P10021C</t>
  </si>
  <si>
    <t>0x10021C</t>
  </si>
  <si>
    <t>DCDC disable fail</t>
  </si>
  <si>
    <t>P10021D</t>
  </si>
  <si>
    <t>0x10021D</t>
  </si>
  <si>
    <t>BMS HV realay opened fail</t>
  </si>
  <si>
    <t>P10021E</t>
  </si>
  <si>
    <t>0x10021E</t>
  </si>
  <si>
    <t>MCU active discharge fail</t>
  </si>
  <si>
    <t>B10021F</t>
  </si>
  <si>
    <t>0x90021F</t>
  </si>
  <si>
    <t>OBC ready for precharge fail</t>
  </si>
  <si>
    <t>P100220</t>
  </si>
  <si>
    <t>0x100220</t>
  </si>
  <si>
    <t xml:space="preserve"> Brake switch failure</t>
  </si>
  <si>
    <t>P100221</t>
  </si>
  <si>
    <t>0x100221</t>
  </si>
  <si>
    <t>Brake switch signal abnormal and no backup signal</t>
  </si>
  <si>
    <t>P100223</t>
  </si>
  <si>
    <t>0x100223</t>
  </si>
  <si>
    <t xml:space="preserve"> Driver seat switch failure</t>
  </si>
  <si>
    <t>P100224</t>
  </si>
  <si>
    <t>0x100224</t>
  </si>
  <si>
    <t>FL Door switch failure</t>
  </si>
  <si>
    <t>P100225</t>
  </si>
  <si>
    <t>0x100225</t>
  </si>
  <si>
    <t>FR Door switch failure</t>
  </si>
  <si>
    <t>P100226</t>
  </si>
  <si>
    <t>0x100226</t>
  </si>
  <si>
    <t>RL Door switch failure</t>
  </si>
  <si>
    <t>P100227</t>
  </si>
  <si>
    <t>0x100227</t>
  </si>
  <si>
    <t>RR Door switch failure</t>
  </si>
  <si>
    <t>U100228</t>
  </si>
  <si>
    <t>0xD00228</t>
  </si>
  <si>
    <t>VCU lost communication with BMS6</t>
  </si>
  <si>
    <t>U100229</t>
  </si>
  <si>
    <t>0xD00229</t>
  </si>
  <si>
    <t>VCU lost communication with BMS1</t>
  </si>
  <si>
    <t>U10022A</t>
  </si>
  <si>
    <t>0xD0022A</t>
  </si>
  <si>
    <t>VCU lost communication with CCU1</t>
  </si>
  <si>
    <t>U10022B</t>
  </si>
  <si>
    <t>0xD0022B</t>
  </si>
  <si>
    <t>VCU lost communication with CCU2</t>
  </si>
  <si>
    <t>U10022C</t>
  </si>
  <si>
    <t>0xD0022C</t>
  </si>
  <si>
    <t>VCU lost communication with ABM1</t>
  </si>
  <si>
    <t>U10022D</t>
  </si>
  <si>
    <t>0xD0022D</t>
  </si>
  <si>
    <t>Key authentication failed</t>
  </si>
  <si>
    <t>B10022E</t>
    <phoneticPr fontId="45" type="noConversion"/>
  </si>
  <si>
    <t>0x90022E</t>
  </si>
  <si>
    <t>Silent charging starts frequently</t>
  </si>
  <si>
    <t>B10022F</t>
  </si>
  <si>
    <t>0x90022F</t>
  </si>
  <si>
    <t>System conditions of ON to READY not satisfied</t>
  </si>
  <si>
    <t>U100230</t>
  </si>
  <si>
    <t>0xD00230</t>
  </si>
  <si>
    <t>MCU_R1 lost comm</t>
  </si>
  <si>
    <t>U100231</t>
  </si>
  <si>
    <t>0xD00231</t>
  </si>
  <si>
    <t>MCU_F1 lost comm</t>
    <phoneticPr fontId="45" type="noConversion"/>
  </si>
  <si>
    <t>U100232</t>
  </si>
  <si>
    <t>0xD00232</t>
  </si>
  <si>
    <t>Shifter1 lost comm</t>
  </si>
  <si>
    <t>U100233</t>
  </si>
  <si>
    <t>0xD00233</t>
  </si>
  <si>
    <t>ESC7 lost comm</t>
  </si>
  <si>
    <t>Ｎ</t>
    <phoneticPr fontId="45" type="noConversion"/>
  </si>
  <si>
    <t>U100234</t>
  </si>
  <si>
    <t>0xD00234</t>
  </si>
  <si>
    <t>ESC1 lost comm</t>
  </si>
  <si>
    <t>U100235</t>
  </si>
  <si>
    <t>0xD00235</t>
  </si>
  <si>
    <t>ESC5 lost comm</t>
  </si>
  <si>
    <t>U100236</t>
  </si>
  <si>
    <t>0xD00236</t>
  </si>
  <si>
    <t>MCU_R1 life count error</t>
  </si>
  <si>
    <t>U100237</t>
  </si>
  <si>
    <t>0xD00237</t>
  </si>
  <si>
    <t>MCU_F1 life count error</t>
  </si>
  <si>
    <t>U100238</t>
  </si>
  <si>
    <t>0xD00238</t>
  </si>
  <si>
    <t>Shifter1 life count error</t>
  </si>
  <si>
    <t>U100239</t>
  </si>
  <si>
    <t>0xD00239</t>
  </si>
  <si>
    <t>ESC7 life count error</t>
  </si>
  <si>
    <t>U10023A</t>
  </si>
  <si>
    <t>0xD0023A</t>
  </si>
  <si>
    <t>ESC1 life count error</t>
  </si>
  <si>
    <t>U10023B</t>
  </si>
  <si>
    <t>0xD0023B</t>
  </si>
  <si>
    <t>ESC5 life count error</t>
  </si>
  <si>
    <t>U10023C</t>
  </si>
  <si>
    <t>0xD0023C</t>
  </si>
  <si>
    <t>MCU_R1 checksum error</t>
  </si>
  <si>
    <t>U10023D</t>
  </si>
  <si>
    <t>0xD0023D</t>
  </si>
  <si>
    <t>MCU_F1 checksum error</t>
  </si>
  <si>
    <t>U10023E</t>
  </si>
  <si>
    <t>0xD0023E</t>
  </si>
  <si>
    <t>Shifter1 checksum error</t>
  </si>
  <si>
    <t>U10023F</t>
  </si>
  <si>
    <t>0xD0023F</t>
  </si>
  <si>
    <t>ESC7 checksum error</t>
  </si>
  <si>
    <t>U100240</t>
  </si>
  <si>
    <t>0xD00240</t>
  </si>
  <si>
    <t>ESC1 checksum error</t>
  </si>
  <si>
    <t>U100241</t>
  </si>
  <si>
    <t>0xD00241</t>
  </si>
  <si>
    <t>ESC5 checksum error</t>
  </si>
  <si>
    <t>P100242</t>
  </si>
  <si>
    <t>0x100242</t>
  </si>
  <si>
    <t>APS1 signal out of range</t>
  </si>
  <si>
    <t>P100243</t>
  </si>
  <si>
    <t>0x100243</t>
  </si>
  <si>
    <t>APS2 signal out of range</t>
  </si>
  <si>
    <t>P100244</t>
  </si>
  <si>
    <t>0x100244</t>
  </si>
  <si>
    <t>APS signal correlation bad</t>
  </si>
  <si>
    <t>P100247</t>
  </si>
  <si>
    <t>0x100247</t>
  </si>
  <si>
    <t>APS1 5V out of range</t>
  </si>
  <si>
    <t>P100248</t>
  </si>
  <si>
    <t>0x100248</t>
  </si>
  <si>
    <t>APS2 5V out of range</t>
  </si>
  <si>
    <t>P100249</t>
  </si>
  <si>
    <t>0x100249</t>
  </si>
  <si>
    <t>Front motor torque response error</t>
  </si>
  <si>
    <t>P100250</t>
  </si>
  <si>
    <t>0x100250</t>
  </si>
  <si>
    <t>Rear motor torque response error</t>
  </si>
  <si>
    <t>P100251</t>
  </si>
  <si>
    <t>0x100251</t>
  </si>
  <si>
    <t>EPB apply response timeout</t>
  </si>
  <si>
    <t>P100252</t>
  </si>
  <si>
    <t>0x100252</t>
  </si>
  <si>
    <t>EPB release response timeout</t>
  </si>
  <si>
    <t>B100253</t>
  </si>
  <si>
    <t>0x900253</t>
  </si>
  <si>
    <t>Hood switch failure</t>
  </si>
  <si>
    <t>B100254</t>
  </si>
  <si>
    <t>0x900254</t>
  </si>
  <si>
    <t>Tailgate switch failure</t>
  </si>
  <si>
    <t>P100255</t>
    <phoneticPr fontId="45" type="noConversion"/>
  </si>
  <si>
    <t>0x100255</t>
  </si>
  <si>
    <t>ESC4 lost comm</t>
  </si>
  <si>
    <t>P100256</t>
  </si>
  <si>
    <t>0x100256</t>
  </si>
  <si>
    <t>EPB1 lost comm</t>
  </si>
  <si>
    <t>P100257</t>
  </si>
  <si>
    <t>0x100257</t>
  </si>
  <si>
    <t>EPB1 life count error</t>
  </si>
  <si>
    <t>P100258</t>
  </si>
  <si>
    <t>0x100258</t>
  </si>
  <si>
    <t>EPB1 checksum error</t>
  </si>
  <si>
    <t>P100259</t>
  </si>
  <si>
    <t>0x100259</t>
  </si>
  <si>
    <t>EPB signal error</t>
  </si>
  <si>
    <t>B10025A</t>
  </si>
  <si>
    <t>0x90025A</t>
  </si>
  <si>
    <t xml:space="preserve"> Low voltage input signal error</t>
  </si>
  <si>
    <t>U100A01</t>
  </si>
  <si>
    <t>0xD00A01</t>
  </si>
  <si>
    <t>FCM2 Lost comm</t>
  </si>
  <si>
    <t>VMC</t>
    <phoneticPr fontId="45" type="noConversion"/>
  </si>
  <si>
    <t>U100A02</t>
  </si>
  <si>
    <t>0xD00A02</t>
  </si>
  <si>
    <t>FCM3 Lost comm</t>
  </si>
  <si>
    <t>U100A03</t>
  </si>
  <si>
    <t>0xD00A03</t>
  </si>
  <si>
    <t>FCM4 Lost comm</t>
  </si>
  <si>
    <t>U100A04</t>
  </si>
  <si>
    <t>0xD00A04</t>
  </si>
  <si>
    <t>FCM5 Lost comm</t>
  </si>
  <si>
    <t>U100A05</t>
  </si>
  <si>
    <t>0xD00A05</t>
  </si>
  <si>
    <t>Zone_DR_SCP Lost comm</t>
  </si>
  <si>
    <t>U100A06</t>
  </si>
  <si>
    <t>0xD00A06</t>
  </si>
  <si>
    <t>FCM2 life count error</t>
  </si>
  <si>
    <t>U100A07</t>
  </si>
  <si>
    <t>0xD00A07</t>
  </si>
  <si>
    <t>FCM3 life count error</t>
  </si>
  <si>
    <t>U100A08</t>
  </si>
  <si>
    <t>0xD00A08</t>
  </si>
  <si>
    <t>FCM4 life count error</t>
  </si>
  <si>
    <t>U100A09</t>
  </si>
  <si>
    <t>0xD00A09</t>
  </si>
  <si>
    <t>FCM5 life count error</t>
  </si>
  <si>
    <t>U100A0A</t>
  </si>
  <si>
    <t>0xD00A0A</t>
  </si>
  <si>
    <t>Zone_DR_SCP life count error</t>
  </si>
  <si>
    <t>U100A0B</t>
  </si>
  <si>
    <t>0xD00A0B</t>
  </si>
  <si>
    <t>FCM2 checksum error</t>
  </si>
  <si>
    <t>U100A0C</t>
  </si>
  <si>
    <t>0xD00A0C</t>
  </si>
  <si>
    <t>FCM3 checksum error</t>
  </si>
  <si>
    <t>U100A0D</t>
  </si>
  <si>
    <t>0xD00A0D</t>
  </si>
  <si>
    <t>FCM4 checksum error</t>
  </si>
  <si>
    <t>U100A0E</t>
  </si>
  <si>
    <t>0xD00A0E</t>
  </si>
  <si>
    <t>FCM5 checksum error</t>
  </si>
  <si>
    <t>U100A0F</t>
  </si>
  <si>
    <t>0xD00A0F</t>
  </si>
  <si>
    <t>Zone_DR_SCP checksum error</t>
  </si>
  <si>
    <t>P100A10</t>
  </si>
  <si>
    <t>0x100A10</t>
  </si>
  <si>
    <t>BMS signal error</t>
  </si>
  <si>
    <t>P100A11</t>
  </si>
  <si>
    <t>0x100A11</t>
  </si>
  <si>
    <t>ACC malfunction</t>
  </si>
  <si>
    <t>P100A12</t>
  </si>
  <si>
    <t>0x100A12</t>
  </si>
  <si>
    <t>FCM ACC signal error</t>
  </si>
  <si>
    <t>P100A13</t>
  </si>
  <si>
    <t>0x100A13</t>
  </si>
  <si>
    <t>CC malfunction</t>
  </si>
  <si>
    <t>P100A14</t>
  </si>
  <si>
    <t>0x100A14</t>
  </si>
  <si>
    <t>MSA malfunction</t>
  </si>
  <si>
    <t>P100A15</t>
  </si>
  <si>
    <t>0x100A15</t>
  </si>
  <si>
    <t>ISA malfunction</t>
  </si>
  <si>
    <t>P100A16</t>
  </si>
  <si>
    <t>0x100A16</t>
  </si>
  <si>
    <t>Front MCU signal error</t>
  </si>
  <si>
    <t>P100A17</t>
  </si>
  <si>
    <t>0x100A17</t>
  </si>
  <si>
    <t>Rear MCU signal error</t>
  </si>
  <si>
    <t>P100A18</t>
  </si>
  <si>
    <t>0x100A18</t>
  </si>
  <si>
    <t>CCU signal error</t>
  </si>
  <si>
    <t>P100A19</t>
  </si>
  <si>
    <t>0x100A19</t>
  </si>
  <si>
    <t>Acceleration command error</t>
  </si>
  <si>
    <t>U100A1A</t>
    <phoneticPr fontId="45" type="noConversion"/>
  </si>
  <si>
    <t>0xD00A1A</t>
  </si>
  <si>
    <t>Zone_DR_VCU Lost comm</t>
  </si>
  <si>
    <t>U100A1B</t>
  </si>
  <si>
    <t>0xD00A1B</t>
  </si>
  <si>
    <t>Zone_FR_VCU Lost comm</t>
  </si>
  <si>
    <t>P100A1C</t>
  </si>
  <si>
    <t>0x100A1C</t>
  </si>
  <si>
    <t>ESC signal error</t>
  </si>
  <si>
    <t>P100A1D</t>
  </si>
  <si>
    <t>0x100A1D</t>
  </si>
  <si>
    <t>EPS signal error</t>
  </si>
  <si>
    <t>P100A1E</t>
  </si>
  <si>
    <t>0x100A1E</t>
  </si>
  <si>
    <t>Shifter signal error</t>
  </si>
  <si>
    <t>U100A1F</t>
  </si>
  <si>
    <t>0xD00A1F</t>
  </si>
  <si>
    <t>ESC2 lost comm</t>
  </si>
  <si>
    <t>P100A20</t>
  </si>
  <si>
    <t>0x100A20</t>
  </si>
  <si>
    <t>ESC2 life count error</t>
  </si>
  <si>
    <t>P100A21</t>
  </si>
  <si>
    <t>0x100A21</t>
  </si>
  <si>
    <t>ESC2 checksum error</t>
  </si>
  <si>
    <t>U100A22</t>
  </si>
  <si>
    <t>0xD00A22</t>
  </si>
  <si>
    <t>ESC3 lost comm</t>
  </si>
  <si>
    <t>P100A23</t>
  </si>
  <si>
    <t>0x100A23</t>
  </si>
  <si>
    <t>ESC3 life count error</t>
  </si>
  <si>
    <t>P100A24</t>
  </si>
  <si>
    <t>0x100A24</t>
  </si>
  <si>
    <t>ESC3 checksum error</t>
  </si>
  <si>
    <t>U100A25</t>
  </si>
  <si>
    <t>0xD00A25</t>
  </si>
  <si>
    <t>EPAS2 lost comm</t>
  </si>
  <si>
    <t>P100A26</t>
  </si>
  <si>
    <t>0x100A26</t>
  </si>
  <si>
    <t>EPAS2 life count error</t>
  </si>
  <si>
    <t>P100A27</t>
  </si>
  <si>
    <t>0x100A27</t>
  </si>
  <si>
    <t>EPAS2 checksum error</t>
  </si>
  <si>
    <t>U100A28</t>
    <phoneticPr fontId="45" type="noConversion"/>
  </si>
  <si>
    <t>0xD00A28</t>
    <phoneticPr fontId="45" type="noConversion"/>
  </si>
  <si>
    <t>EPS1 lost comm</t>
    <phoneticPr fontId="45" type="noConversion"/>
  </si>
  <si>
    <t>P100A29</t>
    <phoneticPr fontId="45" type="noConversion"/>
  </si>
  <si>
    <t>0x100A29</t>
  </si>
  <si>
    <t>EPS1 life count error</t>
    <phoneticPr fontId="45" type="noConversion"/>
  </si>
  <si>
    <t>P100A2A</t>
    <phoneticPr fontId="45" type="noConversion"/>
  </si>
  <si>
    <t>0x100A2A</t>
    <phoneticPr fontId="45" type="noConversion"/>
  </si>
  <si>
    <t>EPS1 checksum error</t>
    <phoneticPr fontId="45" type="noConversion"/>
  </si>
  <si>
    <t>U100A2B</t>
    <phoneticPr fontId="45" type="noConversion"/>
  </si>
  <si>
    <t>0xD00A2B</t>
    <phoneticPr fontId="45" type="noConversion"/>
  </si>
  <si>
    <t>FCM1 Lost comm</t>
    <phoneticPr fontId="45" type="noConversion"/>
  </si>
  <si>
    <t>P100A2C</t>
    <phoneticPr fontId="45" type="noConversion"/>
  </si>
  <si>
    <t>0x100A2C</t>
    <phoneticPr fontId="45" type="noConversion"/>
  </si>
  <si>
    <t>FCM1 life count error</t>
    <phoneticPr fontId="45" type="noConversion"/>
  </si>
  <si>
    <t>P100A2D</t>
    <phoneticPr fontId="45" type="noConversion"/>
  </si>
  <si>
    <t>0x100A2D</t>
    <phoneticPr fontId="45" type="noConversion"/>
  </si>
  <si>
    <t>FCM1 checksum error</t>
    <phoneticPr fontId="45" type="noConversion"/>
  </si>
  <si>
    <t>B100801</t>
  </si>
  <si>
    <t>0x900801</t>
  </si>
  <si>
    <t>SSD is read-only</t>
    <phoneticPr fontId="45" type="noConversion"/>
  </si>
  <si>
    <t>VND</t>
    <phoneticPr fontId="45" type="noConversion"/>
  </si>
  <si>
    <t>B100802</t>
  </si>
  <si>
    <t>0x900802</t>
  </si>
  <si>
    <t>SocketCAN interfaces are not available</t>
    <phoneticPr fontId="45" type="noConversion"/>
  </si>
  <si>
    <t>B100803</t>
    <phoneticPr fontId="45" type="noConversion"/>
  </si>
  <si>
    <t>0x900803</t>
  </si>
  <si>
    <t>SSD is unmount</t>
    <phoneticPr fontId="45" type="noConversion"/>
  </si>
  <si>
    <t>B100804</t>
    <phoneticPr fontId="45" type="noConversion"/>
  </si>
  <si>
    <t>0x900804</t>
  </si>
  <si>
    <t>SSD is not available</t>
    <phoneticPr fontId="45" type="noConversion"/>
  </si>
  <si>
    <t>B100805</t>
  </si>
  <si>
    <t>0x900805</t>
  </si>
  <si>
    <t>SSD is is damaged</t>
    <phoneticPr fontId="45" type="noConversion"/>
  </si>
  <si>
    <t>P01201C</t>
    <phoneticPr fontId="45" type="noConversion"/>
  </si>
  <si>
    <t>0x01201C</t>
    <phoneticPr fontId="45" type="noConversion"/>
  </si>
  <si>
    <t>Throttle/Pedal Position Sensor/Switch "A" Circuit Range/Performance-circuit voltage out of range</t>
    <phoneticPr fontId="45" type="noConversion"/>
  </si>
  <si>
    <t>ZEV</t>
    <phoneticPr fontId="45" type="noConversion"/>
  </si>
  <si>
    <t>P02201C</t>
    <phoneticPr fontId="45" type="noConversion"/>
  </si>
  <si>
    <t>0x02201C</t>
    <phoneticPr fontId="45" type="noConversion"/>
  </si>
  <si>
    <t>Throttle/Pedal Position Sensor/Switch "B" Circuit Range/Performance-circuit voltage out of range</t>
    <phoneticPr fontId="45" type="noConversion"/>
  </si>
  <si>
    <t>P0560A2</t>
    <phoneticPr fontId="45" type="noConversion"/>
  </si>
  <si>
    <t>0x0560A2</t>
    <phoneticPr fontId="45" type="noConversion"/>
  </si>
  <si>
    <t>System Voltage Low</t>
    <phoneticPr fontId="45" type="noConversion"/>
  </si>
  <si>
    <t>P0560A3</t>
    <phoneticPr fontId="45" type="noConversion"/>
  </si>
  <si>
    <t>0x0560A3</t>
    <phoneticPr fontId="45" type="noConversion"/>
  </si>
  <si>
    <t>System Voltage High</t>
    <phoneticPr fontId="45" type="noConversion"/>
  </si>
  <si>
    <t>P085D92</t>
    <phoneticPr fontId="45" type="noConversion"/>
  </si>
  <si>
    <t>0x085D92</t>
    <phoneticPr fontId="45" type="noConversion"/>
  </si>
  <si>
    <t>Gear Shift Control Module "A" - performance or incorrect operation</t>
    <phoneticPr fontId="45" type="noConversion"/>
  </si>
  <si>
    <t>P0A1B92</t>
    <phoneticPr fontId="45" type="noConversion"/>
  </si>
  <si>
    <t>0x0A1B92</t>
    <phoneticPr fontId="45" type="noConversion"/>
  </si>
  <si>
    <t>Drive Motor "A" Control Module-performance or incorrect operation</t>
    <phoneticPr fontId="45" type="noConversion"/>
  </si>
  <si>
    <t>P0A1C92</t>
    <phoneticPr fontId="45" type="noConversion"/>
  </si>
  <si>
    <t>0x0A1C92</t>
    <phoneticPr fontId="45" type="noConversion"/>
  </si>
  <si>
    <t>Drive Motor "B" Control Module-performance or incorrect operation</t>
    <phoneticPr fontId="45" type="noConversion"/>
  </si>
  <si>
    <t>P0A9492</t>
    <phoneticPr fontId="45" type="noConversion"/>
  </si>
  <si>
    <t>0x0A9492</t>
    <phoneticPr fontId="45" type="noConversion"/>
  </si>
  <si>
    <t>DC/DC Converter-performance or incorrect operation</t>
    <phoneticPr fontId="45" type="noConversion"/>
  </si>
  <si>
    <t>P0AE172</t>
    <phoneticPr fontId="45" type="noConversion"/>
  </si>
  <si>
    <t>0x0AE172</t>
    <phoneticPr fontId="45" type="noConversion"/>
  </si>
  <si>
    <t>Hybrid/EV Battery Precharge Contactor Circuit Stuck Open</t>
    <phoneticPr fontId="45" type="noConversion"/>
  </si>
  <si>
    <t>P0C1900</t>
    <phoneticPr fontId="45" type="noConversion"/>
  </si>
  <si>
    <t>0x0C1900</t>
    <phoneticPr fontId="45" type="noConversion"/>
  </si>
  <si>
    <t>Drive Motor "A" Torque Delivered Performance</t>
    <phoneticPr fontId="45" type="noConversion"/>
  </si>
  <si>
    <t>P0C1A00</t>
    <phoneticPr fontId="45" type="noConversion"/>
  </si>
  <si>
    <t>0x0C1A00</t>
    <phoneticPr fontId="45" type="noConversion"/>
  </si>
  <si>
    <t>Drive Motor "B" Torque Delivered Performance</t>
    <phoneticPr fontId="45" type="noConversion"/>
  </si>
  <si>
    <t>P0FC592</t>
    <phoneticPr fontId="45" type="noConversion"/>
  </si>
  <si>
    <t>0x0FC592</t>
    <phoneticPr fontId="45" type="noConversion"/>
  </si>
  <si>
    <t>Electrical Drive Motor Inverter Disable Circuit Performance-performance or incorrect operation</t>
    <phoneticPr fontId="45" type="noConversion"/>
  </si>
  <si>
    <t>P210900</t>
    <phoneticPr fontId="45" type="noConversion"/>
  </si>
  <si>
    <t>0x210900</t>
    <phoneticPr fontId="45" type="noConversion"/>
  </si>
  <si>
    <t>Throttle/Pedal Position Sensor "A" Minimum Stop Performance</t>
    <phoneticPr fontId="45" type="noConversion"/>
  </si>
  <si>
    <t>P211300</t>
    <phoneticPr fontId="45" type="noConversion"/>
  </si>
  <si>
    <t>0x211300</t>
    <phoneticPr fontId="45" type="noConversion"/>
  </si>
  <si>
    <t>Throttle/Pedal Position Sensor "B" Minimum Stop Performance</t>
    <phoneticPr fontId="45" type="noConversion"/>
  </si>
  <si>
    <t>P213500</t>
    <phoneticPr fontId="45" type="noConversion"/>
  </si>
  <si>
    <t>0x213500</t>
    <phoneticPr fontId="45" type="noConversion"/>
  </si>
  <si>
    <t>Throttle/Pedal Position Sensor/Switch "A"/"B" Voltage Correlation</t>
    <phoneticPr fontId="45" type="noConversion"/>
  </si>
  <si>
    <t>P216300</t>
    <phoneticPr fontId="45" type="noConversion"/>
  </si>
  <si>
    <t>0x216300</t>
    <phoneticPr fontId="45" type="noConversion"/>
  </si>
  <si>
    <t>Throttle/Pedal Position Sensor "A" Maximum Stop Performance</t>
    <phoneticPr fontId="45" type="noConversion"/>
  </si>
  <si>
    <t>P216400</t>
    <phoneticPr fontId="45" type="noConversion"/>
  </si>
  <si>
    <t>0x216400</t>
    <phoneticPr fontId="45" type="noConversion"/>
  </si>
  <si>
    <t>Throttle/Pedal Position Sensor "B" Maximum Stop Performance</t>
    <phoneticPr fontId="45" type="noConversion"/>
  </si>
  <si>
    <t>P254F01</t>
    <phoneticPr fontId="45" type="noConversion"/>
  </si>
  <si>
    <t>0x254F01</t>
    <phoneticPr fontId="45" type="noConversion"/>
  </si>
  <si>
    <t>Engine Hood Switch - General circuit/electrical failure</t>
    <phoneticPr fontId="45" type="noConversion"/>
  </si>
  <si>
    <t>P2F8F63</t>
    <phoneticPr fontId="45" type="noConversion"/>
  </si>
  <si>
    <t>0x2F8F63</t>
    <phoneticPr fontId="45" type="noConversion"/>
  </si>
  <si>
    <t>Drive Motor Control Module "A" High Voltage System Discharge-circuit/component protection timeout</t>
    <phoneticPr fontId="45" type="noConversion"/>
  </si>
  <si>
    <t>P2F9063</t>
    <phoneticPr fontId="45" type="noConversion"/>
  </si>
  <si>
    <t>0x2F9063</t>
    <phoneticPr fontId="45" type="noConversion"/>
  </si>
  <si>
    <t>Drive Motor Control Module "B" High Voltage System Discharge-circuit/component protection timeout</t>
    <phoneticPr fontId="45" type="noConversion"/>
  </si>
  <si>
    <t>P2FF573</t>
    <phoneticPr fontId="45" type="noConversion"/>
  </si>
  <si>
    <t>0x2FF573</t>
    <phoneticPr fontId="45" type="noConversion"/>
  </si>
  <si>
    <t>Hybrid/EV Battery Dual Contactor "A" Stuck Closed</t>
    <phoneticPr fontId="45" type="noConversion"/>
  </si>
  <si>
    <t>P343A01</t>
    <phoneticPr fontId="45" type="noConversion"/>
  </si>
  <si>
    <t>0x343A01</t>
    <phoneticPr fontId="45" type="noConversion"/>
  </si>
  <si>
    <t>Battery Charger "A" - General Circuit/Electrical Failure</t>
  </si>
  <si>
    <t>C004001</t>
    <phoneticPr fontId="45" type="noConversion"/>
  </si>
  <si>
    <t>0x404001</t>
    <phoneticPr fontId="45" type="noConversion"/>
  </si>
  <si>
    <t>Brake Pedal Switch "A" - General circuit/electrical failure</t>
  </si>
  <si>
    <t>C007700</t>
    <phoneticPr fontId="45" type="noConversion"/>
  </si>
  <si>
    <t>0x407700</t>
    <phoneticPr fontId="45" type="noConversion"/>
  </si>
  <si>
    <t>Low Tire Pressure</t>
    <phoneticPr fontId="45" type="noConversion"/>
  </si>
  <si>
    <t>C060B7F</t>
    <phoneticPr fontId="45" type="noConversion"/>
  </si>
  <si>
    <t>0x460B7F</t>
    <phoneticPr fontId="45" type="noConversion"/>
  </si>
  <si>
    <t>Left Park Brake Actuator Performance/Stuck Off</t>
    <phoneticPr fontId="45" type="noConversion"/>
  </si>
  <si>
    <t>C060B7E</t>
    <phoneticPr fontId="45" type="noConversion"/>
  </si>
  <si>
    <t>0x460B7E</t>
    <phoneticPr fontId="45" type="noConversion"/>
  </si>
  <si>
    <t>Left Park Brake Actuator Stuck On</t>
    <phoneticPr fontId="45" type="noConversion"/>
  </si>
  <si>
    <t>C06107F</t>
    <phoneticPr fontId="45" type="noConversion"/>
  </si>
  <si>
    <t>0x46107F</t>
    <phoneticPr fontId="45" type="noConversion"/>
  </si>
  <si>
    <t>Right Park Brake Actuator Performance/Stuck Off</t>
    <phoneticPr fontId="45" type="noConversion"/>
  </si>
  <si>
    <t>C06107E</t>
    <phoneticPr fontId="45" type="noConversion"/>
  </si>
  <si>
    <t>0x46107E</t>
    <phoneticPr fontId="45" type="noConversion"/>
  </si>
  <si>
    <t>Right Park Brake Actuator Stuck On</t>
    <phoneticPr fontId="45" type="noConversion"/>
  </si>
  <si>
    <t>C061592</t>
    <phoneticPr fontId="45" type="noConversion"/>
  </si>
  <si>
    <t>0x461592</t>
    <phoneticPr fontId="45" type="noConversion"/>
  </si>
  <si>
    <t>Park Brake Control Module Control Circuit Performance-performance or incorrect operation</t>
    <phoneticPr fontId="45" type="noConversion"/>
  </si>
  <si>
    <t>B00B701</t>
    <phoneticPr fontId="45" type="noConversion"/>
  </si>
  <si>
    <t>0x80B701</t>
    <phoneticPr fontId="45" type="noConversion"/>
  </si>
  <si>
    <t>Driver Seat Occupant Position Sensor "A" - General circuit/electrical failure</t>
    <phoneticPr fontId="45" type="noConversion"/>
  </si>
  <si>
    <t>U00E101</t>
    <phoneticPr fontId="45" type="noConversion"/>
  </si>
  <si>
    <t>0xC0E101</t>
    <phoneticPr fontId="45" type="noConversion"/>
  </si>
  <si>
    <t>Drive Motor Control Module - Front "A" - General Circuit/Electrical Failure</t>
  </si>
  <si>
    <t>U00E301</t>
    <phoneticPr fontId="45" type="noConversion"/>
  </si>
  <si>
    <t>0xC0E301</t>
    <phoneticPr fontId="45" type="noConversion"/>
  </si>
  <si>
    <t>Drive Motor Control Module - Rear "A" - General Circuit/Electrical Failure</t>
  </si>
  <si>
    <t>U00EA8C</t>
    <phoneticPr fontId="45" type="noConversion"/>
  </si>
  <si>
    <t>0xC0EA8C</t>
    <phoneticPr fontId="45" type="noConversion"/>
  </si>
  <si>
    <t>Zonal Control Module "A" -communication lost</t>
  </si>
  <si>
    <t>U00EB8C</t>
    <phoneticPr fontId="45" type="noConversion"/>
  </si>
  <si>
    <t>0xC0EB8C</t>
    <phoneticPr fontId="45" type="noConversion"/>
  </si>
  <si>
    <t>Zonal Control Module "B" -communication lost</t>
  </si>
  <si>
    <t>P085D8C</t>
    <phoneticPr fontId="45" type="noConversion"/>
  </si>
  <si>
    <t>0x085D8C</t>
    <phoneticPr fontId="45" type="noConversion"/>
  </si>
  <si>
    <t>Lost Communication With Gear Shift Control Module "A"</t>
    <phoneticPr fontId="45" type="noConversion"/>
  </si>
  <si>
    <t>U08108C</t>
    <phoneticPr fontId="45" type="noConversion"/>
  </si>
  <si>
    <t>0xC8108C</t>
    <phoneticPr fontId="45" type="noConversion"/>
  </si>
  <si>
    <t>Lost Communication With Drive Motor Control Module "A"</t>
    <phoneticPr fontId="45" type="noConversion"/>
  </si>
  <si>
    <t>U08228C</t>
    <phoneticPr fontId="45" type="noConversion"/>
  </si>
  <si>
    <t>0xC8228C</t>
    <phoneticPr fontId="45" type="noConversion"/>
  </si>
  <si>
    <t>Lost Communication With Vehicle Dynamics Control Module</t>
    <phoneticPr fontId="45" type="noConversion"/>
  </si>
  <si>
    <t>U08278C</t>
    <phoneticPr fontId="45" type="noConversion"/>
  </si>
  <si>
    <t>0xC8278C</t>
    <phoneticPr fontId="45" type="noConversion"/>
  </si>
  <si>
    <t>Lost Communication With Tire Pressure Monitor Module</t>
    <phoneticPr fontId="45" type="noConversion"/>
  </si>
  <si>
    <t>U08288C</t>
    <phoneticPr fontId="45" type="noConversion"/>
  </si>
  <si>
    <t>0xC8288C</t>
    <phoneticPr fontId="45" type="noConversion"/>
  </si>
  <si>
    <t>Lost Communication With Park Brake Control Module</t>
    <phoneticPr fontId="45" type="noConversion"/>
  </si>
  <si>
    <t>C05D68C</t>
    <phoneticPr fontId="45" type="noConversion"/>
  </si>
  <si>
    <t>0x45D68C</t>
    <phoneticPr fontId="45" type="noConversion"/>
  </si>
  <si>
    <t>Lost Communication With Power Steering Control Module "A"</t>
    <phoneticPr fontId="45" type="noConversion"/>
  </si>
  <si>
    <t>U08BF8C</t>
    <phoneticPr fontId="45" type="noConversion"/>
  </si>
  <si>
    <t>0xC8BF8C</t>
    <phoneticPr fontId="45" type="noConversion"/>
  </si>
  <si>
    <t>Lost Communication With Battery Management Control Module</t>
    <phoneticPr fontId="45" type="noConversion"/>
  </si>
  <si>
    <t>B02008C</t>
    <phoneticPr fontId="45" type="noConversion"/>
  </si>
  <si>
    <t>0x82008C</t>
    <phoneticPr fontId="45" type="noConversion"/>
  </si>
  <si>
    <t>Lost Communication With Camera "A"</t>
    <phoneticPr fontId="45" type="noConversion"/>
  </si>
  <si>
    <t>P03648C</t>
    <phoneticPr fontId="45" type="noConversion"/>
  </si>
  <si>
    <t>0x03648C</t>
    <phoneticPr fontId="45" type="noConversion"/>
  </si>
  <si>
    <t>Lost Communication With DC/AC Converter Control Module "A"</t>
    <phoneticPr fontId="45" type="noConversion"/>
  </si>
  <si>
    <t>U07928C</t>
    <phoneticPr fontId="45" type="noConversion"/>
  </si>
  <si>
    <t>0xC7928C</t>
    <phoneticPr fontId="45" type="noConversion"/>
  </si>
  <si>
    <t>Lost Communication With Drive Motor Control Module "B"</t>
    <phoneticPr fontId="45" type="noConversion"/>
  </si>
  <si>
    <t>U07968C</t>
    <phoneticPr fontId="45" type="noConversion"/>
  </si>
  <si>
    <t>0xC7968C</t>
    <phoneticPr fontId="45" type="noConversion"/>
  </si>
  <si>
    <t>Lost Communication With AC/DC Converter Control Module "A"</t>
    <phoneticPr fontId="45" type="noConversion"/>
  </si>
  <si>
    <t>U07988C</t>
    <phoneticPr fontId="45" type="noConversion"/>
  </si>
  <si>
    <t>0xC7988C</t>
    <phoneticPr fontId="45" type="noConversion"/>
  </si>
  <si>
    <t>Lost Communication With DC/DC Converter Control Module "A"</t>
    <phoneticPr fontId="45" type="noConversion"/>
  </si>
  <si>
    <t>U01EB81</t>
    <phoneticPr fontId="45" type="noConversion"/>
  </si>
  <si>
    <t>0xC1EB81</t>
    <phoneticPr fontId="45" type="noConversion"/>
  </si>
  <si>
    <t>Invalid Data Received From Key Control Module</t>
    <phoneticPr fontId="45" type="noConversion"/>
  </si>
  <si>
    <t>U071501</t>
    <phoneticPr fontId="45" type="noConversion"/>
  </si>
  <si>
    <t>0xC71501</t>
    <phoneticPr fontId="45" type="noConversion"/>
  </si>
  <si>
    <t>Door Switch "A" - General Circuit/Electrical Failure</t>
  </si>
  <si>
    <t>U071601</t>
    <phoneticPr fontId="45" type="noConversion"/>
  </si>
  <si>
    <t>0xC71601</t>
    <phoneticPr fontId="45" type="noConversion"/>
  </si>
  <si>
    <t>Door Switch "B" - General Circuit/Electrical Failure</t>
  </si>
  <si>
    <t>U071701</t>
    <phoneticPr fontId="45" type="noConversion"/>
  </si>
  <si>
    <t>0xC71701</t>
    <phoneticPr fontId="45" type="noConversion"/>
  </si>
  <si>
    <t>Door Switch "C" - General Circuit/Electrical Failure</t>
  </si>
  <si>
    <t>U071801</t>
    <phoneticPr fontId="45" type="noConversion"/>
  </si>
  <si>
    <t>0xC71801</t>
    <phoneticPr fontId="45" type="noConversion"/>
  </si>
  <si>
    <t>Door Switch "D" - General Circuit/Electrical Failure</t>
  </si>
  <si>
    <t>U079801</t>
    <phoneticPr fontId="45" type="noConversion"/>
  </si>
  <si>
    <t>0xC79801</t>
    <phoneticPr fontId="45" type="noConversion"/>
  </si>
  <si>
    <t>DC/DC Converter Control Module "A" - General Circuit/Electrical Failure</t>
    <phoneticPr fontId="45" type="noConversion"/>
  </si>
  <si>
    <t>U08BF04</t>
    <phoneticPr fontId="45" type="noConversion"/>
  </si>
  <si>
    <t>0xC8BF04</t>
    <phoneticPr fontId="45" type="noConversion"/>
  </si>
  <si>
    <t>Battery Management Control Module "A" - System Internal Failure</t>
    <phoneticPr fontId="45" type="noConversion"/>
  </si>
  <si>
    <t>U08BF92</t>
    <phoneticPr fontId="45" type="noConversion"/>
  </si>
  <si>
    <t>0xC8BF92</t>
    <phoneticPr fontId="45" type="noConversion"/>
  </si>
  <si>
    <t>Battery Management Control Module "A" - Performance or Incorrect Operation</t>
    <phoneticPr fontId="45" type="noConversion"/>
  </si>
  <si>
    <t>U3003A2</t>
    <phoneticPr fontId="45" type="noConversion"/>
  </si>
  <si>
    <t>0xF003A2</t>
    <phoneticPr fontId="45" type="noConversion"/>
  </si>
  <si>
    <t>Battery Voltage - System Voltage Low</t>
    <phoneticPr fontId="45" type="noConversion"/>
  </si>
  <si>
    <t>P0A9493</t>
    <phoneticPr fontId="45" type="noConversion"/>
  </si>
  <si>
    <t>0x0A9493</t>
    <phoneticPr fontId="45" type="noConversion"/>
  </si>
  <si>
    <t>DC/DC Converter - No Operation</t>
    <phoneticPr fontId="45" type="noConversion"/>
  </si>
  <si>
    <t>P0A9494</t>
    <phoneticPr fontId="45" type="noConversion"/>
  </si>
  <si>
    <t>0x0A9494</t>
    <phoneticPr fontId="45" type="noConversion"/>
  </si>
  <si>
    <t>DC/DC Converter - Unexpected Operation</t>
    <phoneticPr fontId="45" type="noConversion"/>
  </si>
  <si>
    <t>P085D83</t>
    <phoneticPr fontId="45" type="noConversion"/>
  </si>
  <si>
    <t>0x085D83</t>
    <phoneticPr fontId="45" type="noConversion"/>
  </si>
  <si>
    <t>Invalid Data Received From Gear Shift Control Module "A" - Value of Signal Protection Calculation Incorrect</t>
    <phoneticPr fontId="45" type="noConversion"/>
  </si>
  <si>
    <t>U081083</t>
    <phoneticPr fontId="45" type="noConversion"/>
  </si>
  <si>
    <t>0xC81083</t>
    <phoneticPr fontId="45" type="noConversion"/>
  </si>
  <si>
    <t>Invalid Data Received From Drive Motor Control Module "A" - Value of Signal Protection Calculation Incorrect</t>
    <phoneticPr fontId="45" type="noConversion"/>
  </si>
  <si>
    <t>P085D87</t>
    <phoneticPr fontId="45" type="noConversion"/>
  </si>
  <si>
    <t>0x085D87</t>
    <phoneticPr fontId="45" type="noConversion"/>
  </si>
  <si>
    <t>Invalid Data Received From Gear Shift Control Module "A" - Missing Message</t>
    <phoneticPr fontId="45" type="noConversion"/>
  </si>
  <si>
    <t>U081087</t>
    <phoneticPr fontId="45" type="noConversion"/>
  </si>
  <si>
    <t>0xC81087</t>
    <phoneticPr fontId="45" type="noConversion"/>
  </si>
  <si>
    <t>Invalid Data Received From Drive Motor Control Module "A" - Missing Message</t>
    <phoneticPr fontId="45" type="noConversion"/>
  </si>
  <si>
    <t>U082283</t>
    <phoneticPr fontId="45" type="noConversion"/>
  </si>
  <si>
    <t>0xC82283</t>
    <phoneticPr fontId="45" type="noConversion"/>
  </si>
  <si>
    <t>Invalid Data Received From Vehicle Dynamics Control Module - Value of Signal Protection Calculation Incorrect</t>
    <phoneticPr fontId="45" type="noConversion"/>
  </si>
  <si>
    <t>U082287</t>
    <phoneticPr fontId="45" type="noConversion"/>
  </si>
  <si>
    <t>0xC82287</t>
    <phoneticPr fontId="45" type="noConversion"/>
  </si>
  <si>
    <t>Invalid Data Received From Vehicle Dynamics Control Module - Missing Message</t>
    <phoneticPr fontId="45" type="noConversion"/>
  </si>
  <si>
    <t>U082883</t>
    <phoneticPr fontId="45" type="noConversion"/>
  </si>
  <si>
    <t>0xC82883</t>
    <phoneticPr fontId="45" type="noConversion"/>
  </si>
  <si>
    <t>Invalid Data Received From Park Brake Control Module - Value of Signal Protection Calculation Incorrect</t>
    <phoneticPr fontId="45" type="noConversion"/>
  </si>
  <si>
    <t>U082887</t>
    <phoneticPr fontId="45" type="noConversion"/>
  </si>
  <si>
    <t>0xC82887</t>
    <phoneticPr fontId="45" type="noConversion"/>
  </si>
  <si>
    <t>Invalid Data Received From Park Brake Control Module - Missing Message</t>
    <phoneticPr fontId="45" type="noConversion"/>
  </si>
  <si>
    <t>C05D683</t>
    <phoneticPr fontId="45" type="noConversion"/>
  </si>
  <si>
    <t>0x45D683</t>
    <phoneticPr fontId="45" type="noConversion"/>
  </si>
  <si>
    <t>Invalid Data Received From Power Steering Control Module "A" - Value of Signal Protection Calculation Incorrect</t>
    <phoneticPr fontId="45" type="noConversion"/>
  </si>
  <si>
    <t>C05D687</t>
    <phoneticPr fontId="45" type="noConversion"/>
  </si>
  <si>
    <t>0x45D687</t>
    <phoneticPr fontId="45" type="noConversion"/>
  </si>
  <si>
    <t>Invalid Data Received From Power Steering Control Module "A" - Missing Message</t>
    <phoneticPr fontId="45" type="noConversion"/>
  </si>
  <si>
    <t>U08BF83</t>
    <phoneticPr fontId="45" type="noConversion"/>
  </si>
  <si>
    <t>0xC8BF83</t>
    <phoneticPr fontId="45" type="noConversion"/>
  </si>
  <si>
    <t>Invalid Data Received From Battery Management Control Module - Value of Signal Protection Calculation Incorrect</t>
    <phoneticPr fontId="45" type="noConversion"/>
  </si>
  <si>
    <t>U08BF87</t>
    <phoneticPr fontId="45" type="noConversion"/>
  </si>
  <si>
    <t>0xC8BF87</t>
    <phoneticPr fontId="45" type="noConversion"/>
  </si>
  <si>
    <t>Invalid Data Received From Battery Management Control Module - Missing Message</t>
    <phoneticPr fontId="45" type="noConversion"/>
  </si>
  <si>
    <t>P036483</t>
    <phoneticPr fontId="45" type="noConversion"/>
  </si>
  <si>
    <t>0x036483</t>
    <phoneticPr fontId="45" type="noConversion"/>
  </si>
  <si>
    <t>Invalid Data Received From DC/AC Converter Control Module "A" - Value of Signal Protection Calculation Incorrect</t>
    <phoneticPr fontId="45" type="noConversion"/>
  </si>
  <si>
    <t>P036487</t>
    <phoneticPr fontId="45" type="noConversion"/>
  </si>
  <si>
    <t>0x036487</t>
    <phoneticPr fontId="45" type="noConversion"/>
  </si>
  <si>
    <t>Invalid Data Received From DC/AC Converter Control Module "A" - Missing Message</t>
    <phoneticPr fontId="45" type="noConversion"/>
  </si>
  <si>
    <t>U079283</t>
    <phoneticPr fontId="45" type="noConversion"/>
  </si>
  <si>
    <t>0xC79283</t>
    <phoneticPr fontId="45" type="noConversion"/>
  </si>
  <si>
    <t>Invalid Data Received From Drive Motor Control Module "B" - Value of Signal Protection Calculation Incorrect</t>
    <phoneticPr fontId="45" type="noConversion"/>
  </si>
  <si>
    <t>U079287</t>
    <phoneticPr fontId="45" type="noConversion"/>
  </si>
  <si>
    <t>0xC79287</t>
    <phoneticPr fontId="45" type="noConversion"/>
  </si>
  <si>
    <t>Invalid Data Received From Drive Motor Control Module "B" - Missing Message</t>
    <phoneticPr fontId="45" type="noConversion"/>
  </si>
  <si>
    <t>U079883</t>
    <phoneticPr fontId="45" type="noConversion"/>
  </si>
  <si>
    <t>0xC79883</t>
    <phoneticPr fontId="45" type="noConversion"/>
  </si>
  <si>
    <t>Invalid Data Received From DC/DC Converter Control Module "A" - Value of Signal Protection Calculation Incorrect</t>
    <phoneticPr fontId="45" type="noConversion"/>
  </si>
  <si>
    <t>U079887</t>
    <phoneticPr fontId="45" type="noConversion"/>
  </si>
  <si>
    <t>0xC79887</t>
    <phoneticPr fontId="45" type="noConversion"/>
  </si>
  <si>
    <t>Invalid Data Received From DC/DC Converter Control Module "A" - Missing Message</t>
    <phoneticPr fontId="45" type="noConversion"/>
  </si>
  <si>
    <t>B020083</t>
    <phoneticPr fontId="45" type="noConversion"/>
  </si>
  <si>
    <t>0x820083</t>
    <phoneticPr fontId="45" type="noConversion"/>
  </si>
  <si>
    <t>Invalid Data Received From Camera "A" - Value of Signal Protection Calculation Incorrect</t>
    <phoneticPr fontId="45" type="noConversion"/>
  </si>
  <si>
    <t>B020087</t>
    <phoneticPr fontId="45" type="noConversion"/>
  </si>
  <si>
    <t>0x820087</t>
    <phoneticPr fontId="45" type="noConversion"/>
  </si>
  <si>
    <t>Invalid Data Received From Camera "A" - Missing Message</t>
    <phoneticPr fontId="45" type="noConversion"/>
  </si>
  <si>
    <t>C05D692</t>
    <phoneticPr fontId="45" type="noConversion"/>
  </si>
  <si>
    <t>0x45D692</t>
    <phoneticPr fontId="45" type="noConversion"/>
  </si>
  <si>
    <t>Invalid Data Received From Power Steering Control Module "A" - Performance or Incorrect Operation</t>
    <phoneticPr fontId="45" type="noConversion"/>
  </si>
  <si>
    <t>U082292</t>
    <phoneticPr fontId="45" type="noConversion"/>
  </si>
  <si>
    <t>0xC82292</t>
    <phoneticPr fontId="45" type="noConversion"/>
  </si>
  <si>
    <t>Invalid Data Received From Vehicle Dynamics Control Module - Performance or Incorrect Operation</t>
    <phoneticPr fontId="45" type="noConversion"/>
  </si>
  <si>
    <t>P0E2D04</t>
    <phoneticPr fontId="45" type="noConversion"/>
  </si>
  <si>
    <t>0x0E2D04</t>
    <phoneticPr fontId="45" type="noConversion"/>
  </si>
  <si>
    <t>Internal Control Module Hybrid/EV Battery Monitor Performance - System Internal Failure</t>
    <phoneticPr fontId="45" type="noConversion"/>
  </si>
  <si>
    <t>U079683</t>
    <phoneticPr fontId="45" type="noConversion"/>
  </si>
  <si>
    <t>0xC79683</t>
    <phoneticPr fontId="45" type="noConversion"/>
  </si>
  <si>
    <t>Invalid Data Received From AC/DC Converter Control Module "A" - Value of Signal Protection Calculation Incorrect</t>
    <phoneticPr fontId="45" type="noConversion"/>
  </si>
  <si>
    <t>U079687</t>
    <phoneticPr fontId="45" type="noConversion"/>
  </si>
  <si>
    <t>0xC79687</t>
    <phoneticPr fontId="45" type="noConversion"/>
  </si>
  <si>
    <t>Invalid Data Received From AC/DC Converter Control Module "A" - Missing Message</t>
    <phoneticPr fontId="45" type="noConversion"/>
  </si>
  <si>
    <t>Diagnostic Specification - DTC Data</t>
    <phoneticPr fontId="28" type="noConversion"/>
  </si>
  <si>
    <t>No.</t>
    <phoneticPr fontId="28" type="noConversion"/>
  </si>
  <si>
    <t>ECU Variants</t>
    <phoneticPr fontId="28" type="noConversion"/>
  </si>
  <si>
    <t xml:space="preserve"> DTC Traditional Chinese Meaning</t>
    <phoneticPr fontId="28" type="noConversion"/>
  </si>
  <si>
    <t xml:space="preserve"> DTC Simplified Chinese Meaning</t>
    <phoneticPr fontId="28" type="noConversion"/>
  </si>
  <si>
    <t>Possible Fault Causes(English)</t>
    <phoneticPr fontId="28" type="noConversion"/>
  </si>
  <si>
    <r>
      <t>Possible Fault Causes(Traditional Chinese)</t>
    </r>
    <r>
      <rPr>
        <b/>
        <i/>
        <sz val="12"/>
        <rFont val="宋体"/>
        <family val="3"/>
        <charset val="134"/>
      </rPr>
      <t>　</t>
    </r>
    <r>
      <rPr>
        <b/>
        <i/>
        <sz val="12"/>
        <rFont val="Arial"/>
        <family val="2"/>
      </rPr>
      <t xml:space="preserve">      </t>
    </r>
    <phoneticPr fontId="28" type="noConversion"/>
  </si>
  <si>
    <t xml:space="preserve">Possible Fault Causes(Simplified Chinese)      </t>
    <phoneticPr fontId="28" type="noConversion"/>
  </si>
  <si>
    <t>Corrective Action(English)</t>
    <phoneticPr fontId="28" type="noConversion"/>
  </si>
  <si>
    <t>Corrective Action(Traditional Chinese)</t>
    <phoneticPr fontId="28" type="noConversion"/>
  </si>
  <si>
    <t>Corrective Action(Simplified Chinese)</t>
    <phoneticPr fontId="28" type="noConversion"/>
  </si>
  <si>
    <t>DTC Severity</t>
    <phoneticPr fontId="28" type="noConversion"/>
  </si>
  <si>
    <t>Faults Attribute</t>
    <phoneticPr fontId="28" type="noConversion"/>
  </si>
  <si>
    <t>DTC Test Frequency</t>
    <phoneticPr fontId="28" type="noConversion"/>
  </si>
  <si>
    <t>FRS
Bit0 DTC-Detection criteria</t>
    <phoneticPr fontId="28" type="noConversion"/>
  </si>
  <si>
    <t>FRS
Bit0 DTC-Detection window</t>
    <phoneticPr fontId="28" type="noConversion"/>
  </si>
  <si>
    <t>FRS
Bit3 DTC-decision</t>
    <phoneticPr fontId="28" type="noConversion"/>
  </si>
  <si>
    <t>FRS
Bit0 DTC-Pass criteria</t>
    <phoneticPr fontId="28" type="noConversion"/>
  </si>
  <si>
    <t>FRS
Bit0 DTC-Pass window</t>
    <phoneticPr fontId="28" type="noConversion"/>
  </si>
  <si>
    <t>FRS
Fail safe operation 
during failure detection</t>
    <phoneticPr fontId="28" type="noConversion"/>
  </si>
  <si>
    <t>FRS
Fail safe operation 
after failure decision</t>
    <phoneticPr fontId="28" type="noConversion"/>
  </si>
  <si>
    <t>FRS
-Release condition 
during failure detection</t>
    <phoneticPr fontId="28" type="noConversion"/>
  </si>
  <si>
    <t>FRS
Release condition 
after  failure decision</t>
    <phoneticPr fontId="28" type="noConversion"/>
  </si>
  <si>
    <t>Bit3 DTC-Confirm  Automatic Fault Recovery</t>
    <phoneticPr fontId="28" type="noConversion"/>
  </si>
  <si>
    <t>Special Instruction</t>
    <phoneticPr fontId="28" type="noConversion"/>
  </si>
  <si>
    <t>DCU</t>
    <phoneticPr fontId="28" type="noConversion"/>
  </si>
  <si>
    <t>DTC-Test fail Condition</t>
    <phoneticPr fontId="28" type="noConversion"/>
  </si>
  <si>
    <t>DTC enable criteria</t>
    <phoneticPr fontId="28" type="noConversion"/>
  </si>
  <si>
    <t>DTC-Confirmed Condition</t>
    <phoneticPr fontId="28" type="noConversion"/>
  </si>
  <si>
    <t>DTC-Test pass condition</t>
    <phoneticPr fontId="28" type="noConversion"/>
  </si>
  <si>
    <t>DTC-Test pass enable criteria</t>
    <phoneticPr fontId="28" type="noConversion"/>
  </si>
  <si>
    <t xml:space="preserve">Action Taken after DTC-Test fail </t>
    <phoneticPr fontId="28" type="noConversion"/>
  </si>
  <si>
    <t xml:space="preserve">Action Taken after DTC-Confirm </t>
    <phoneticPr fontId="28" type="noConversion"/>
  </si>
  <si>
    <t>Action Release condition for DTC-Test fail</t>
    <phoneticPr fontId="28" type="noConversion"/>
  </si>
  <si>
    <t xml:space="preserve">Action Release condition for DTC-Confirm </t>
    <phoneticPr fontId="28" type="noConversion"/>
  </si>
  <si>
    <t>Functional classification
功能分类</t>
    <phoneticPr fontId="28" type="noConversion"/>
  </si>
  <si>
    <t>Operation cycle</t>
  </si>
  <si>
    <t>Failure counter threshold</t>
  </si>
  <si>
    <t>Aging counter threshold</t>
  </si>
  <si>
    <t>CARB ZEV</t>
    <phoneticPr fontId="28" type="noConversion"/>
  </si>
  <si>
    <t>J2012</t>
    <phoneticPr fontId="28" type="noConversion"/>
  </si>
  <si>
    <t>1</t>
    <phoneticPr fontId="45" type="noConversion"/>
  </si>
  <si>
    <t>與 EPS 失去通訊</t>
  </si>
  <si>
    <t>与 EPS 失去通讯</t>
  </si>
  <si>
    <t>1. CAN_H short to CAN_L
2. CAN_H or CAN_L short to Battery or Ground.
3. Transceiver fail</t>
  </si>
  <si>
    <t>1. CAN_H短接CAN_L
2. CAN_H 或 CAN_L 對電池或接地短路。
3.</t>
  </si>
  <si>
    <t>1. CAN_H短接CAN_L
2. CAN_H 或 CAN_L 对电池或接地短路。
3.</t>
  </si>
  <si>
    <t>Check Harness</t>
  </si>
  <si>
    <t>檢查線束</t>
  </si>
  <si>
    <t>检查线束</t>
  </si>
  <si>
    <t>0x40</t>
  </si>
  <si>
    <t>Communication type fault</t>
  </si>
  <si>
    <t>10ms</t>
  </si>
  <si>
    <t>Lost Communication with EPS over TBD sec</t>
  </si>
  <si>
    <t>After vehicle power state ~= OFF</t>
  </si>
  <si>
    <t>Receive EPS Any Frame</t>
  </si>
  <si>
    <t>Same as detection window.</t>
  </si>
  <si>
    <t>Inhibit APS Function</t>
  </si>
  <si>
    <t>A history DTC clears when the module operation cycle counter reaches the reset threshold of 40, without a repeat of the malfunction.</t>
  </si>
  <si>
    <t>none</t>
  </si>
  <si>
    <t>DRIVING_CYCLE</t>
  </si>
  <si>
    <t>40</t>
  </si>
  <si>
    <t>Manufacturer controlled</t>
    <phoneticPr fontId="28" type="noConversion"/>
  </si>
  <si>
    <t>2</t>
    <phoneticPr fontId="45" type="noConversion"/>
  </si>
  <si>
    <t>與 ESC 失去通訊</t>
  </si>
  <si>
    <t>与 ESC 失去通讯</t>
  </si>
  <si>
    <t>Lost Communication with ESC over TBD sec</t>
  </si>
  <si>
    <t>Power ON</t>
  </si>
  <si>
    <t>Receive ESC Any Frame</t>
  </si>
  <si>
    <t>輸入電源電壓過高</t>
  </si>
  <si>
    <t>输入电源电压过高</t>
  </si>
  <si>
    <t>Power Over Range or disconnected</t>
  </si>
  <si>
    <t>供電電源超過範圍或線束斷開</t>
  </si>
  <si>
    <t>供电电源超过范围或线束断开</t>
  </si>
  <si>
    <t>Check Power Source</t>
  </si>
  <si>
    <t>檢查供電電源</t>
  </si>
  <si>
    <t>检查供电电源</t>
  </si>
  <si>
    <t>0x20</t>
  </si>
  <si>
    <t>Power type fault</t>
  </si>
  <si>
    <t>100ms</t>
  </si>
  <si>
    <t>Battery voltage ≧ 16.5V for 5 sec</t>
  </si>
  <si>
    <t>Battery voltage &lt;16.0V for 5 sec</t>
  </si>
  <si>
    <t>Inhibit USS Function</t>
  </si>
  <si>
    <t>APS
(F29)V_USS_12V_S1</t>
  </si>
  <si>
    <t>輸入電源電壓過低</t>
  </si>
  <si>
    <t>输入电源电压过低</t>
  </si>
  <si>
    <t>Battery voltage ≦ 8.5V for 5 sec</t>
  </si>
  <si>
    <t>Battery voltage &gt;9.0V for 5 sec</t>
  </si>
  <si>
    <t>APS
(B29)V_USS_12V_S2</t>
  </si>
  <si>
    <t>電源失效 (USS_DSI3 &amp; USS_DSI4會失效)</t>
  </si>
  <si>
    <t>电源失效</t>
  </si>
  <si>
    <t>DSI3 收發器 1 失效</t>
  </si>
  <si>
    <t>DSI3 收发器 1 失效</t>
  </si>
  <si>
    <t>Transceiver fail</t>
  </si>
  <si>
    <t>收發器異常</t>
  </si>
  <si>
    <t>收发器异常</t>
  </si>
  <si>
    <t xml:space="preserve">1. 換件查修
2. 檢查線束
</t>
    <phoneticPr fontId="28" type="noConversion"/>
  </si>
  <si>
    <t>0x80</t>
  </si>
  <si>
    <t>Sensor type fault</t>
  </si>
  <si>
    <t>40ms</t>
  </si>
  <si>
    <t>Any DSI3 IC Status Word Signal Error</t>
  </si>
  <si>
    <t>All DSI3 IC Status Word Signal Normal</t>
  </si>
  <si>
    <t>8</t>
  </si>
  <si>
    <t>DSI3 收發器 2 失效</t>
  </si>
  <si>
    <t>DSI3 收发器 2 失效</t>
  </si>
  <si>
    <t>9</t>
  </si>
  <si>
    <t>FCL 超聲波傳感器異常</t>
  </si>
  <si>
    <t>FCL 超声波传感器异常</t>
  </si>
  <si>
    <t>1. Harness disconnected
2. FCL fault</t>
    <phoneticPr fontId="28" type="noConversion"/>
  </si>
  <si>
    <r>
      <rPr>
        <sz val="12"/>
        <rFont val="微軟正黑體"/>
        <family val="2"/>
        <charset val="136"/>
      </rPr>
      <t xml:space="preserve">1. 線束斷開
2. </t>
    </r>
    <r>
      <rPr>
        <sz val="12"/>
        <rFont val="Arial"/>
        <family val="2"/>
      </rPr>
      <t xml:space="preserve">FCL </t>
    </r>
    <r>
      <rPr>
        <sz val="12"/>
        <rFont val="Microsoft JhengHei"/>
        <family val="2"/>
      </rPr>
      <t>損壞</t>
    </r>
    <phoneticPr fontId="28" type="noConversion"/>
  </si>
  <si>
    <r>
      <t xml:space="preserve">1. </t>
    </r>
    <r>
      <rPr>
        <sz val="12"/>
        <rFont val="細明體"/>
        <family val="2"/>
        <charset val="136"/>
      </rPr>
      <t>线束断开</t>
    </r>
    <r>
      <rPr>
        <sz val="12"/>
        <rFont val="Arial"/>
        <family val="2"/>
      </rPr>
      <t xml:space="preserve">
2. FCL </t>
    </r>
    <r>
      <rPr>
        <sz val="12"/>
        <rFont val="細明體"/>
        <family val="2"/>
        <charset val="136"/>
      </rPr>
      <t>损坏</t>
    </r>
    <phoneticPr fontId="28" type="noConversion"/>
  </si>
  <si>
    <t>1. Check the harness.
2. Replace the FCL and check the function is normal or not.</t>
    <phoneticPr fontId="28" type="noConversion"/>
  </si>
  <si>
    <r>
      <rPr>
        <sz val="12"/>
        <rFont val="微軟正黑體"/>
        <family val="2"/>
        <charset val="136"/>
      </rPr>
      <t xml:space="preserve">1. 檢查 </t>
    </r>
    <r>
      <rPr>
        <sz val="12"/>
        <rFont val="Arial"/>
        <family val="2"/>
      </rPr>
      <t xml:space="preserve">FCL </t>
    </r>
    <r>
      <rPr>
        <sz val="12"/>
        <rFont val="微軟正黑體"/>
        <family val="2"/>
        <charset val="136"/>
      </rPr>
      <t>線束</t>
    </r>
    <r>
      <rPr>
        <sz val="12"/>
        <rFont val="Arial"/>
        <family val="2"/>
        <charset val="136"/>
      </rPr>
      <t xml:space="preserve">
2. </t>
    </r>
    <r>
      <rPr>
        <sz val="12"/>
        <rFont val="微軟正黑體"/>
        <family val="2"/>
        <charset val="136"/>
      </rPr>
      <t>FCL 換件後，確認功能是否正常。</t>
    </r>
    <phoneticPr fontId="28" type="noConversion"/>
  </si>
  <si>
    <r>
      <t xml:space="preserve">1. </t>
    </r>
    <r>
      <rPr>
        <sz val="12"/>
        <rFont val="細明體"/>
        <family val="2"/>
        <charset val="136"/>
      </rPr>
      <t>检查</t>
    </r>
    <r>
      <rPr>
        <sz val="12"/>
        <rFont val="Arial"/>
        <family val="2"/>
      </rPr>
      <t xml:space="preserve"> FCL </t>
    </r>
    <r>
      <rPr>
        <sz val="12"/>
        <rFont val="細明體"/>
        <family val="2"/>
        <charset val="136"/>
      </rPr>
      <t>线束</t>
    </r>
    <r>
      <rPr>
        <sz val="12"/>
        <rFont val="Arial"/>
        <family val="2"/>
      </rPr>
      <t xml:space="preserve">
2. FCL </t>
    </r>
    <r>
      <rPr>
        <sz val="12"/>
        <rFont val="細明體"/>
        <family val="2"/>
        <charset val="136"/>
      </rPr>
      <t>换件后，确认功能是否正常。</t>
    </r>
    <phoneticPr fontId="28" type="noConversion"/>
  </si>
  <si>
    <t>FCL USS Hardware or Communcation Error</t>
  </si>
  <si>
    <t>FCL USS Receive Response Frame</t>
  </si>
  <si>
    <t>10</t>
  </si>
  <si>
    <t>FML 超聲波傳感器異常</t>
  </si>
  <si>
    <t>FML 超声波传感器异常</t>
  </si>
  <si>
    <t>1. Harness disconnected
2. FML fault</t>
    <phoneticPr fontId="28" type="noConversion"/>
  </si>
  <si>
    <r>
      <rPr>
        <sz val="12"/>
        <rFont val="微軟正黑體"/>
        <family val="2"/>
        <charset val="136"/>
      </rPr>
      <t xml:space="preserve">1. 線束斷開
2. </t>
    </r>
    <r>
      <rPr>
        <sz val="12"/>
        <rFont val="Arial"/>
        <family val="2"/>
      </rPr>
      <t xml:space="preserve">FML </t>
    </r>
    <r>
      <rPr>
        <sz val="12"/>
        <rFont val="Microsoft JhengHei"/>
        <family val="2"/>
      </rPr>
      <t>損壞</t>
    </r>
    <phoneticPr fontId="28" type="noConversion"/>
  </si>
  <si>
    <r>
      <t xml:space="preserve">1. </t>
    </r>
    <r>
      <rPr>
        <sz val="12"/>
        <rFont val="細明體"/>
        <family val="2"/>
        <charset val="136"/>
      </rPr>
      <t>线束断开</t>
    </r>
    <r>
      <rPr>
        <sz val="12"/>
        <rFont val="Arial"/>
        <family val="2"/>
      </rPr>
      <t xml:space="preserve">
2. FML </t>
    </r>
    <r>
      <rPr>
        <sz val="12"/>
        <rFont val="細明體"/>
        <family val="2"/>
        <charset val="136"/>
      </rPr>
      <t>损坏</t>
    </r>
    <phoneticPr fontId="28" type="noConversion"/>
  </si>
  <si>
    <t>1. Check the harness.
2. Replace the FML and check the function is normal or not.</t>
    <phoneticPr fontId="28" type="noConversion"/>
  </si>
  <si>
    <r>
      <rPr>
        <sz val="12"/>
        <rFont val="微軟正黑體"/>
        <family val="2"/>
        <charset val="136"/>
      </rPr>
      <t xml:space="preserve">1. 檢查 </t>
    </r>
    <r>
      <rPr>
        <sz val="12"/>
        <rFont val="Arial"/>
        <family val="2"/>
      </rPr>
      <t xml:space="preserve">FML </t>
    </r>
    <r>
      <rPr>
        <sz val="12"/>
        <rFont val="微軟正黑體"/>
        <family val="2"/>
        <charset val="136"/>
      </rPr>
      <t>線束</t>
    </r>
    <r>
      <rPr>
        <sz val="12"/>
        <rFont val="Arial"/>
        <family val="2"/>
        <charset val="136"/>
      </rPr>
      <t xml:space="preserve">
2. </t>
    </r>
    <r>
      <rPr>
        <sz val="12"/>
        <rFont val="微軟正黑體"/>
        <family val="2"/>
        <charset val="136"/>
      </rPr>
      <t>FML 換件後，確認功能是否正常。</t>
    </r>
    <phoneticPr fontId="28" type="noConversion"/>
  </si>
  <si>
    <t>FML USS Hardware or Communcation Error</t>
  </si>
  <si>
    <t>FML USS Receive Response Frame</t>
  </si>
  <si>
    <t>11</t>
  </si>
  <si>
    <t>FMR 超聲波傳感器異常</t>
  </si>
  <si>
    <t>FMR 超声波传感器异常</t>
  </si>
  <si>
    <t>1. Harness disconnected
2. FMR fault</t>
    <phoneticPr fontId="28" type="noConversion"/>
  </si>
  <si>
    <r>
      <rPr>
        <sz val="12"/>
        <rFont val="微軟正黑體"/>
        <family val="2"/>
        <charset val="136"/>
      </rPr>
      <t xml:space="preserve">1. 線束斷開
2. </t>
    </r>
    <r>
      <rPr>
        <sz val="12"/>
        <rFont val="Arial"/>
        <family val="2"/>
      </rPr>
      <t xml:space="preserve">FMR </t>
    </r>
    <r>
      <rPr>
        <sz val="12"/>
        <rFont val="Microsoft JhengHei"/>
        <family val="2"/>
      </rPr>
      <t>損壞</t>
    </r>
    <phoneticPr fontId="28" type="noConversion"/>
  </si>
  <si>
    <r>
      <t xml:space="preserve">1. </t>
    </r>
    <r>
      <rPr>
        <sz val="12"/>
        <rFont val="細明體"/>
        <family val="2"/>
        <charset val="136"/>
      </rPr>
      <t>线束断开</t>
    </r>
    <r>
      <rPr>
        <sz val="12"/>
        <rFont val="Arial"/>
        <family val="2"/>
      </rPr>
      <t xml:space="preserve">
2. FMR </t>
    </r>
    <r>
      <rPr>
        <sz val="12"/>
        <rFont val="細明體"/>
        <family val="2"/>
        <charset val="136"/>
      </rPr>
      <t>损坏</t>
    </r>
    <phoneticPr fontId="28" type="noConversion"/>
  </si>
  <si>
    <t>1. Check the harness.
2. Replace the FMR and check the function is normal or not.</t>
    <phoneticPr fontId="28" type="noConversion"/>
  </si>
  <si>
    <r>
      <rPr>
        <sz val="12"/>
        <rFont val="微軟正黑體"/>
        <family val="2"/>
        <charset val="136"/>
      </rPr>
      <t xml:space="preserve">1. 檢查 </t>
    </r>
    <r>
      <rPr>
        <sz val="12"/>
        <rFont val="Arial"/>
        <family val="2"/>
      </rPr>
      <t xml:space="preserve">FMR </t>
    </r>
    <r>
      <rPr>
        <sz val="12"/>
        <rFont val="微軟正黑體"/>
        <family val="2"/>
        <charset val="136"/>
      </rPr>
      <t>線束</t>
    </r>
    <r>
      <rPr>
        <sz val="12"/>
        <rFont val="Arial"/>
        <family val="2"/>
        <charset val="136"/>
      </rPr>
      <t xml:space="preserve">
2. </t>
    </r>
    <r>
      <rPr>
        <sz val="12"/>
        <rFont val="微軟正黑體"/>
        <family val="2"/>
        <charset val="136"/>
      </rPr>
      <t>FMR 換件後，確認功能是否正常。</t>
    </r>
    <phoneticPr fontId="28" type="noConversion"/>
  </si>
  <si>
    <t>FMR USS Hardware or Communcation Error</t>
  </si>
  <si>
    <t>FMR USS Receive Response Frame</t>
  </si>
  <si>
    <t>12</t>
  </si>
  <si>
    <r>
      <t xml:space="preserve">FCR </t>
    </r>
    <r>
      <rPr>
        <sz val="12"/>
        <rFont val="微軟正黑體"/>
        <family val="2"/>
        <charset val="136"/>
      </rPr>
      <t>超聲波傳感器異常</t>
    </r>
    <phoneticPr fontId="28" type="noConversion"/>
  </si>
  <si>
    <t>FCR 超声波传感器异常</t>
  </si>
  <si>
    <t>1. Harness disconnected
2. FCR fault</t>
    <phoneticPr fontId="28" type="noConversion"/>
  </si>
  <si>
    <r>
      <rPr>
        <sz val="12"/>
        <rFont val="微軟正黑體"/>
        <family val="2"/>
        <charset val="136"/>
      </rPr>
      <t xml:space="preserve">1. 線束斷開
2. </t>
    </r>
    <r>
      <rPr>
        <sz val="12"/>
        <rFont val="Arial"/>
        <family val="2"/>
      </rPr>
      <t xml:space="preserve">FCR </t>
    </r>
    <r>
      <rPr>
        <sz val="12"/>
        <rFont val="Microsoft JhengHei"/>
        <family val="2"/>
      </rPr>
      <t>損壞</t>
    </r>
    <phoneticPr fontId="28" type="noConversion"/>
  </si>
  <si>
    <r>
      <t xml:space="preserve">1. </t>
    </r>
    <r>
      <rPr>
        <sz val="12"/>
        <rFont val="細明體"/>
        <family val="2"/>
        <charset val="136"/>
      </rPr>
      <t>线束断开</t>
    </r>
    <r>
      <rPr>
        <sz val="12"/>
        <rFont val="Arial"/>
        <family val="2"/>
      </rPr>
      <t xml:space="preserve">
2. FCR </t>
    </r>
    <r>
      <rPr>
        <sz val="12"/>
        <rFont val="細明體"/>
        <family val="2"/>
        <charset val="136"/>
      </rPr>
      <t>损坏</t>
    </r>
    <phoneticPr fontId="28" type="noConversion"/>
  </si>
  <si>
    <t>1. Check the harness.
2. Replace the FCR and check the function is normal or not.</t>
    <phoneticPr fontId="28" type="noConversion"/>
  </si>
  <si>
    <r>
      <rPr>
        <sz val="12"/>
        <rFont val="微軟正黑體"/>
        <family val="2"/>
        <charset val="136"/>
      </rPr>
      <t xml:space="preserve">1. 檢查 </t>
    </r>
    <r>
      <rPr>
        <sz val="12"/>
        <rFont val="Arial"/>
        <family val="2"/>
      </rPr>
      <t xml:space="preserve">FCR </t>
    </r>
    <r>
      <rPr>
        <sz val="12"/>
        <rFont val="微軟正黑體"/>
        <family val="2"/>
        <charset val="136"/>
      </rPr>
      <t>線束</t>
    </r>
    <r>
      <rPr>
        <sz val="12"/>
        <rFont val="Arial"/>
        <family val="2"/>
        <charset val="136"/>
      </rPr>
      <t xml:space="preserve">
2. </t>
    </r>
    <r>
      <rPr>
        <sz val="12"/>
        <rFont val="微軟正黑體"/>
        <family val="2"/>
        <charset val="136"/>
      </rPr>
      <t>FCR 換件後，確認功能是否正常。</t>
    </r>
    <phoneticPr fontId="28" type="noConversion"/>
  </si>
  <si>
    <t>FCR USS Hardware or Communcation Error</t>
  </si>
  <si>
    <t>FCR USS Receive Response Frame</t>
  </si>
  <si>
    <t>13</t>
  </si>
  <si>
    <t>RCL USS Status Failure</t>
    <phoneticPr fontId="28" type="noConversion"/>
  </si>
  <si>
    <t>RCL 超聲波傳感器異常</t>
  </si>
  <si>
    <t>RCL 超声波传感器异常</t>
  </si>
  <si>
    <t>1. Harness disconnected
2. RCL fault</t>
    <phoneticPr fontId="28" type="noConversion"/>
  </si>
  <si>
    <r>
      <rPr>
        <sz val="12"/>
        <rFont val="微軟正黑體"/>
        <family val="2"/>
        <charset val="136"/>
      </rPr>
      <t xml:space="preserve">1. 線束斷開
2. </t>
    </r>
    <r>
      <rPr>
        <sz val="12"/>
        <rFont val="Arial"/>
        <family val="2"/>
      </rPr>
      <t xml:space="preserve">RCL </t>
    </r>
    <r>
      <rPr>
        <sz val="12"/>
        <rFont val="Microsoft JhengHei"/>
        <family val="2"/>
      </rPr>
      <t>損壞</t>
    </r>
    <phoneticPr fontId="28" type="noConversion"/>
  </si>
  <si>
    <r>
      <t xml:space="preserve">1. </t>
    </r>
    <r>
      <rPr>
        <sz val="12"/>
        <rFont val="細明體"/>
        <family val="2"/>
        <charset val="136"/>
      </rPr>
      <t>线束断开</t>
    </r>
    <r>
      <rPr>
        <sz val="12"/>
        <rFont val="Arial"/>
        <family val="2"/>
      </rPr>
      <t xml:space="preserve">
2. RCL </t>
    </r>
    <r>
      <rPr>
        <sz val="12"/>
        <rFont val="細明體"/>
        <family val="2"/>
        <charset val="136"/>
      </rPr>
      <t>损坏</t>
    </r>
    <phoneticPr fontId="28" type="noConversion"/>
  </si>
  <si>
    <t>1. Check the harness.
2. Replace the RCL and check the function is normal or not.</t>
    <phoneticPr fontId="28" type="noConversion"/>
  </si>
  <si>
    <r>
      <rPr>
        <sz val="12"/>
        <rFont val="微軟正黑體"/>
        <family val="2"/>
        <charset val="136"/>
      </rPr>
      <t xml:space="preserve">1. 檢查 </t>
    </r>
    <r>
      <rPr>
        <sz val="12"/>
        <rFont val="Arial"/>
        <family val="2"/>
      </rPr>
      <t xml:space="preserve">RCL </t>
    </r>
    <r>
      <rPr>
        <sz val="12"/>
        <rFont val="微軟正黑體"/>
        <family val="2"/>
        <charset val="136"/>
      </rPr>
      <t>線束</t>
    </r>
    <r>
      <rPr>
        <sz val="12"/>
        <rFont val="Arial"/>
        <family val="2"/>
        <charset val="136"/>
      </rPr>
      <t xml:space="preserve">
2. </t>
    </r>
    <r>
      <rPr>
        <sz val="12"/>
        <rFont val="微軟正黑體"/>
        <family val="2"/>
        <charset val="136"/>
      </rPr>
      <t>RCL 換件後，確認功能是否正常。</t>
    </r>
    <phoneticPr fontId="28" type="noConversion"/>
  </si>
  <si>
    <t>RCL USS Hardware or Communcation Error</t>
  </si>
  <si>
    <t>RCL USS Receive Response Frame</t>
  </si>
  <si>
    <t>14</t>
  </si>
  <si>
    <t>RML USS Status Failure</t>
    <phoneticPr fontId="28" type="noConversion"/>
  </si>
  <si>
    <t>RML 超聲波傳感器異常</t>
  </si>
  <si>
    <t>RML 超声波传感器异常</t>
  </si>
  <si>
    <t>1. Harness disconnected
2. RML fault</t>
    <phoneticPr fontId="28" type="noConversion"/>
  </si>
  <si>
    <r>
      <rPr>
        <sz val="12"/>
        <rFont val="微軟正黑體"/>
        <family val="2"/>
        <charset val="136"/>
      </rPr>
      <t xml:space="preserve">1. 線束斷開
2. </t>
    </r>
    <r>
      <rPr>
        <sz val="12"/>
        <rFont val="Arial"/>
        <family val="2"/>
      </rPr>
      <t xml:space="preserve">RML </t>
    </r>
    <r>
      <rPr>
        <sz val="12"/>
        <rFont val="Microsoft JhengHei"/>
        <family val="2"/>
      </rPr>
      <t>損壞</t>
    </r>
    <phoneticPr fontId="28" type="noConversion"/>
  </si>
  <si>
    <r>
      <t xml:space="preserve">1. </t>
    </r>
    <r>
      <rPr>
        <sz val="12"/>
        <rFont val="細明體"/>
        <family val="2"/>
        <charset val="136"/>
      </rPr>
      <t>线束断开</t>
    </r>
    <r>
      <rPr>
        <sz val="12"/>
        <rFont val="Arial"/>
        <family val="2"/>
      </rPr>
      <t xml:space="preserve">
2. RML </t>
    </r>
    <r>
      <rPr>
        <sz val="12"/>
        <rFont val="細明體"/>
        <family val="2"/>
        <charset val="136"/>
      </rPr>
      <t>损坏</t>
    </r>
    <phoneticPr fontId="28" type="noConversion"/>
  </si>
  <si>
    <t>1. Check the harness.
2. Replace the RML and check the function is normal or not.</t>
    <phoneticPr fontId="28" type="noConversion"/>
  </si>
  <si>
    <r>
      <rPr>
        <sz val="12"/>
        <rFont val="微軟正黑體"/>
        <family val="2"/>
        <charset val="136"/>
      </rPr>
      <t xml:space="preserve">1. 檢查 </t>
    </r>
    <r>
      <rPr>
        <sz val="12"/>
        <rFont val="Arial"/>
        <family val="2"/>
      </rPr>
      <t xml:space="preserve">RML </t>
    </r>
    <r>
      <rPr>
        <sz val="12"/>
        <rFont val="微軟正黑體"/>
        <family val="2"/>
        <charset val="136"/>
      </rPr>
      <t>線束</t>
    </r>
    <r>
      <rPr>
        <sz val="12"/>
        <rFont val="Arial"/>
        <family val="2"/>
        <charset val="136"/>
      </rPr>
      <t xml:space="preserve">
2. </t>
    </r>
    <r>
      <rPr>
        <sz val="12"/>
        <rFont val="微軟正黑體"/>
        <family val="2"/>
        <charset val="136"/>
      </rPr>
      <t>RML 換件後，確認功能是否正常。</t>
    </r>
    <phoneticPr fontId="28" type="noConversion"/>
  </si>
  <si>
    <t>RML USS Hardware or Communcation Error</t>
  </si>
  <si>
    <t>RML USS Receive Response Frame</t>
  </si>
  <si>
    <t>RMR USS Status Failure</t>
    <phoneticPr fontId="28" type="noConversion"/>
  </si>
  <si>
    <t>RMR 超聲波傳感器異常</t>
  </si>
  <si>
    <t>RMR 超声波传感器异常</t>
  </si>
  <si>
    <t>1. Harness disconnected
2. RMR fault</t>
    <phoneticPr fontId="28" type="noConversion"/>
  </si>
  <si>
    <r>
      <rPr>
        <sz val="12"/>
        <rFont val="微軟正黑體"/>
        <family val="2"/>
        <charset val="136"/>
      </rPr>
      <t xml:space="preserve">1. 線束斷開
2. </t>
    </r>
    <r>
      <rPr>
        <sz val="12"/>
        <rFont val="Arial"/>
        <family val="2"/>
      </rPr>
      <t xml:space="preserve">RMR </t>
    </r>
    <r>
      <rPr>
        <sz val="12"/>
        <rFont val="Microsoft JhengHei"/>
        <family val="2"/>
      </rPr>
      <t>損壞</t>
    </r>
    <phoneticPr fontId="28" type="noConversion"/>
  </si>
  <si>
    <r>
      <t xml:space="preserve">1. </t>
    </r>
    <r>
      <rPr>
        <sz val="12"/>
        <rFont val="細明體"/>
        <family val="2"/>
        <charset val="136"/>
      </rPr>
      <t>线束断开</t>
    </r>
    <r>
      <rPr>
        <sz val="12"/>
        <rFont val="Arial"/>
        <family val="2"/>
      </rPr>
      <t xml:space="preserve">
2. RMR </t>
    </r>
    <r>
      <rPr>
        <sz val="12"/>
        <rFont val="細明體"/>
        <family val="2"/>
        <charset val="136"/>
      </rPr>
      <t>损坏</t>
    </r>
    <phoneticPr fontId="28" type="noConversion"/>
  </si>
  <si>
    <t>1. Check the harness.
2. Replace the RMR and check the function is normal or not.</t>
    <phoneticPr fontId="28" type="noConversion"/>
  </si>
  <si>
    <r>
      <rPr>
        <sz val="12"/>
        <rFont val="微軟正黑體"/>
        <family val="2"/>
        <charset val="136"/>
      </rPr>
      <t xml:space="preserve">1. 檢查 </t>
    </r>
    <r>
      <rPr>
        <sz val="12"/>
        <rFont val="Arial"/>
        <family val="2"/>
      </rPr>
      <t xml:space="preserve">RMR </t>
    </r>
    <r>
      <rPr>
        <sz val="12"/>
        <rFont val="微軟正黑體"/>
        <family val="2"/>
        <charset val="136"/>
      </rPr>
      <t>線束</t>
    </r>
    <r>
      <rPr>
        <sz val="12"/>
        <rFont val="Arial"/>
        <family val="2"/>
        <charset val="136"/>
      </rPr>
      <t xml:space="preserve">
2. </t>
    </r>
    <r>
      <rPr>
        <sz val="12"/>
        <rFont val="微軟正黑體"/>
        <family val="2"/>
        <charset val="136"/>
      </rPr>
      <t>RMR 換件後，確認功能是否正常。</t>
    </r>
    <phoneticPr fontId="28" type="noConversion"/>
  </si>
  <si>
    <t>RMR USS Hardware or Communcation Error</t>
  </si>
  <si>
    <t>RMR USS Receive Response Frame</t>
  </si>
  <si>
    <t>16</t>
  </si>
  <si>
    <t>RCR USS Status Failure</t>
    <phoneticPr fontId="28" type="noConversion"/>
  </si>
  <si>
    <t>RCR 超聲波傳感器異常</t>
  </si>
  <si>
    <t>RCR 超声波传感器异常</t>
  </si>
  <si>
    <t>1. Harness disconnected
2. RCR fault</t>
    <phoneticPr fontId="28" type="noConversion"/>
  </si>
  <si>
    <r>
      <rPr>
        <sz val="12"/>
        <rFont val="微軟正黑體"/>
        <family val="2"/>
        <charset val="136"/>
      </rPr>
      <t xml:space="preserve">1. 線束斷開
2. </t>
    </r>
    <r>
      <rPr>
        <sz val="12"/>
        <rFont val="Arial"/>
        <family val="2"/>
      </rPr>
      <t xml:space="preserve">RCR </t>
    </r>
    <r>
      <rPr>
        <sz val="12"/>
        <rFont val="Microsoft JhengHei"/>
        <family val="2"/>
      </rPr>
      <t>損壞</t>
    </r>
    <phoneticPr fontId="28" type="noConversion"/>
  </si>
  <si>
    <r>
      <t xml:space="preserve">1. </t>
    </r>
    <r>
      <rPr>
        <sz val="12"/>
        <rFont val="細明體"/>
        <family val="2"/>
        <charset val="136"/>
      </rPr>
      <t>线束断开</t>
    </r>
    <r>
      <rPr>
        <sz val="12"/>
        <rFont val="Arial"/>
        <family val="2"/>
      </rPr>
      <t xml:space="preserve">
2. RCR </t>
    </r>
    <r>
      <rPr>
        <sz val="12"/>
        <rFont val="細明體"/>
        <family val="2"/>
        <charset val="136"/>
      </rPr>
      <t>损坏</t>
    </r>
    <phoneticPr fontId="28" type="noConversion"/>
  </si>
  <si>
    <t>1. Check the harness.
2. Replace the RCR and check the function is normal or not.</t>
    <phoneticPr fontId="28" type="noConversion"/>
  </si>
  <si>
    <r>
      <rPr>
        <sz val="12"/>
        <rFont val="微軟正黑體"/>
        <family val="2"/>
        <charset val="136"/>
      </rPr>
      <t xml:space="preserve">1. 檢查 </t>
    </r>
    <r>
      <rPr>
        <sz val="12"/>
        <rFont val="Arial"/>
        <family val="2"/>
      </rPr>
      <t xml:space="preserve">RCR </t>
    </r>
    <r>
      <rPr>
        <sz val="12"/>
        <rFont val="微軟正黑體"/>
        <family val="2"/>
        <charset val="136"/>
      </rPr>
      <t>線束</t>
    </r>
    <r>
      <rPr>
        <sz val="12"/>
        <rFont val="Arial"/>
        <family val="2"/>
        <charset val="136"/>
      </rPr>
      <t xml:space="preserve">
2. </t>
    </r>
    <r>
      <rPr>
        <sz val="12"/>
        <rFont val="微軟正黑體"/>
        <family val="2"/>
        <charset val="136"/>
      </rPr>
      <t>RCR 換件後，確認功能是否正常。</t>
    </r>
    <phoneticPr fontId="28" type="noConversion"/>
  </si>
  <si>
    <t>RCR USS Hardware or Communcation Error</t>
  </si>
  <si>
    <t>RCR USS Receive Response Frame</t>
  </si>
  <si>
    <t>17</t>
  </si>
  <si>
    <t>FLL USS Status Failure</t>
    <phoneticPr fontId="28" type="noConversion"/>
  </si>
  <si>
    <t>FLL 超聲波傳感器異常</t>
  </si>
  <si>
    <t>FLL 超声波传感器异常</t>
  </si>
  <si>
    <t>1. Harness disconnected
2. FLL fault</t>
    <phoneticPr fontId="28" type="noConversion"/>
  </si>
  <si>
    <r>
      <rPr>
        <sz val="12"/>
        <rFont val="微軟正黑體"/>
        <family val="2"/>
        <charset val="136"/>
      </rPr>
      <t xml:space="preserve">1. 線束斷開
2. </t>
    </r>
    <r>
      <rPr>
        <sz val="12"/>
        <rFont val="Arial"/>
        <family val="2"/>
      </rPr>
      <t xml:space="preserve">FLL </t>
    </r>
    <r>
      <rPr>
        <sz val="12"/>
        <rFont val="Microsoft JhengHei"/>
        <family val="2"/>
      </rPr>
      <t>損壞</t>
    </r>
    <phoneticPr fontId="28" type="noConversion"/>
  </si>
  <si>
    <r>
      <t xml:space="preserve">1. </t>
    </r>
    <r>
      <rPr>
        <sz val="12"/>
        <rFont val="細明體"/>
        <family val="2"/>
        <charset val="136"/>
      </rPr>
      <t>线束断开</t>
    </r>
    <r>
      <rPr>
        <sz val="12"/>
        <rFont val="Arial"/>
        <family val="2"/>
      </rPr>
      <t xml:space="preserve">
2. FLL </t>
    </r>
    <r>
      <rPr>
        <sz val="12"/>
        <rFont val="細明體"/>
        <family val="2"/>
        <charset val="136"/>
      </rPr>
      <t>损坏</t>
    </r>
    <phoneticPr fontId="28" type="noConversion"/>
  </si>
  <si>
    <t>1. Check the harness.
2. Replace the FLL and check the function is normal or not.</t>
    <phoneticPr fontId="28" type="noConversion"/>
  </si>
  <si>
    <r>
      <rPr>
        <sz val="12"/>
        <rFont val="微軟正黑體"/>
        <family val="2"/>
        <charset val="136"/>
      </rPr>
      <t xml:space="preserve">1. 檢查 </t>
    </r>
    <r>
      <rPr>
        <sz val="12"/>
        <rFont val="Arial"/>
        <family val="2"/>
      </rPr>
      <t xml:space="preserve">FLL </t>
    </r>
    <r>
      <rPr>
        <sz val="12"/>
        <rFont val="微軟正黑體"/>
        <family val="2"/>
        <charset val="136"/>
      </rPr>
      <t>線束</t>
    </r>
    <r>
      <rPr>
        <sz val="12"/>
        <rFont val="Arial"/>
        <family val="2"/>
        <charset val="136"/>
      </rPr>
      <t xml:space="preserve">
2. </t>
    </r>
    <r>
      <rPr>
        <sz val="12"/>
        <rFont val="微軟正黑體"/>
        <family val="2"/>
        <charset val="136"/>
      </rPr>
      <t>FLL 換件後，確認功能是否正常。</t>
    </r>
    <phoneticPr fontId="28" type="noConversion"/>
  </si>
  <si>
    <t>FLL USS Hardware or Communcation Error</t>
  </si>
  <si>
    <t>FLL USS Receive Response Frame</t>
  </si>
  <si>
    <t>18</t>
  </si>
  <si>
    <t>FLR USS Status Failure</t>
    <phoneticPr fontId="28" type="noConversion"/>
  </si>
  <si>
    <t>FLR 超聲波傳感器異常</t>
  </si>
  <si>
    <t>FLR 超声波传感器异常</t>
  </si>
  <si>
    <t>1. Harness disconnected
2. FLR fault</t>
    <phoneticPr fontId="28" type="noConversion"/>
  </si>
  <si>
    <r>
      <rPr>
        <sz val="12"/>
        <rFont val="微軟正黑體"/>
        <family val="2"/>
        <charset val="136"/>
      </rPr>
      <t xml:space="preserve">1. 線束斷開
2. </t>
    </r>
    <r>
      <rPr>
        <sz val="12"/>
        <rFont val="Arial"/>
        <family val="2"/>
      </rPr>
      <t xml:space="preserve">FLR </t>
    </r>
    <r>
      <rPr>
        <sz val="12"/>
        <rFont val="Microsoft JhengHei"/>
        <family val="2"/>
      </rPr>
      <t>損壞</t>
    </r>
    <phoneticPr fontId="28" type="noConversion"/>
  </si>
  <si>
    <r>
      <t xml:space="preserve">1. </t>
    </r>
    <r>
      <rPr>
        <sz val="12"/>
        <rFont val="細明體"/>
        <family val="2"/>
        <charset val="136"/>
      </rPr>
      <t>线束断开</t>
    </r>
    <r>
      <rPr>
        <sz val="12"/>
        <rFont val="Arial"/>
        <family val="2"/>
      </rPr>
      <t xml:space="preserve">
2. FLR </t>
    </r>
    <r>
      <rPr>
        <sz val="12"/>
        <rFont val="細明體"/>
        <family val="2"/>
        <charset val="136"/>
      </rPr>
      <t>损坏</t>
    </r>
    <phoneticPr fontId="28" type="noConversion"/>
  </si>
  <si>
    <t>1. Check the harness.
2. Replace the FLR and check the function is normal or not.</t>
    <phoneticPr fontId="28" type="noConversion"/>
  </si>
  <si>
    <r>
      <rPr>
        <sz val="12"/>
        <rFont val="微軟正黑體"/>
        <family val="2"/>
        <charset val="136"/>
      </rPr>
      <t xml:space="preserve">1. 檢查 </t>
    </r>
    <r>
      <rPr>
        <sz val="12"/>
        <rFont val="Arial"/>
        <family val="2"/>
      </rPr>
      <t xml:space="preserve">FLR </t>
    </r>
    <r>
      <rPr>
        <sz val="12"/>
        <rFont val="微軟正黑體"/>
        <family val="2"/>
        <charset val="136"/>
      </rPr>
      <t>線束</t>
    </r>
    <r>
      <rPr>
        <sz val="12"/>
        <rFont val="Arial"/>
        <family val="2"/>
        <charset val="136"/>
      </rPr>
      <t xml:space="preserve">
2. </t>
    </r>
    <r>
      <rPr>
        <sz val="12"/>
        <rFont val="微軟正黑體"/>
        <family val="2"/>
        <charset val="136"/>
      </rPr>
      <t>FLR 換件後，確認功能是否正常。</t>
    </r>
    <phoneticPr fontId="28" type="noConversion"/>
  </si>
  <si>
    <t>FLR USS Hardware or Communcation Error</t>
  </si>
  <si>
    <t>FLR USS Receive Response Frame</t>
  </si>
  <si>
    <t>19</t>
  </si>
  <si>
    <t>RLL USS Status Failure</t>
    <phoneticPr fontId="28" type="noConversion"/>
  </si>
  <si>
    <t>RLL 超聲波傳感器異常</t>
  </si>
  <si>
    <t>RLL 超声波传感器异常</t>
  </si>
  <si>
    <t>1. Harness disconnected
2. RLL fault</t>
    <phoneticPr fontId="28" type="noConversion"/>
  </si>
  <si>
    <r>
      <rPr>
        <sz val="12"/>
        <rFont val="微軟正黑體"/>
        <family val="2"/>
        <charset val="136"/>
      </rPr>
      <t xml:space="preserve">1. 線束斷開
2. </t>
    </r>
    <r>
      <rPr>
        <sz val="12"/>
        <rFont val="Arial"/>
        <family val="2"/>
      </rPr>
      <t xml:space="preserve">RLL </t>
    </r>
    <r>
      <rPr>
        <sz val="12"/>
        <rFont val="Microsoft JhengHei"/>
        <family val="2"/>
      </rPr>
      <t>損壞</t>
    </r>
    <phoneticPr fontId="28" type="noConversion"/>
  </si>
  <si>
    <r>
      <t xml:space="preserve">1. </t>
    </r>
    <r>
      <rPr>
        <sz val="12"/>
        <rFont val="細明體"/>
        <family val="2"/>
        <charset val="136"/>
      </rPr>
      <t>线束断开</t>
    </r>
    <r>
      <rPr>
        <sz val="12"/>
        <rFont val="Arial"/>
        <family val="2"/>
      </rPr>
      <t xml:space="preserve">
2. RLL </t>
    </r>
    <r>
      <rPr>
        <sz val="12"/>
        <rFont val="細明體"/>
        <family val="2"/>
        <charset val="136"/>
      </rPr>
      <t>损坏</t>
    </r>
    <phoneticPr fontId="28" type="noConversion"/>
  </si>
  <si>
    <t>1. Check the harness.
2. Replace the RLL and check the function is normal or not.</t>
    <phoneticPr fontId="28" type="noConversion"/>
  </si>
  <si>
    <r>
      <rPr>
        <sz val="12"/>
        <rFont val="微軟正黑體"/>
        <family val="2"/>
        <charset val="136"/>
      </rPr>
      <t xml:space="preserve">1. 檢查 </t>
    </r>
    <r>
      <rPr>
        <sz val="12"/>
        <rFont val="Arial"/>
        <family val="2"/>
      </rPr>
      <t xml:space="preserve">RLL </t>
    </r>
    <r>
      <rPr>
        <sz val="12"/>
        <rFont val="微軟正黑體"/>
        <family val="2"/>
        <charset val="136"/>
      </rPr>
      <t>線束</t>
    </r>
    <r>
      <rPr>
        <sz val="12"/>
        <rFont val="Arial"/>
        <family val="2"/>
        <charset val="136"/>
      </rPr>
      <t xml:space="preserve">
2. </t>
    </r>
    <r>
      <rPr>
        <sz val="12"/>
        <rFont val="微軟正黑體"/>
        <family val="2"/>
        <charset val="136"/>
      </rPr>
      <t>RLL 換件後，確認功能是否正常。</t>
    </r>
    <phoneticPr fontId="28" type="noConversion"/>
  </si>
  <si>
    <t>RLL USS Hardware or Communcation Error</t>
  </si>
  <si>
    <t>RLL USS Receive Response Frame</t>
  </si>
  <si>
    <t>20</t>
  </si>
  <si>
    <t>RLR USS Status Failure</t>
    <phoneticPr fontId="28" type="noConversion"/>
  </si>
  <si>
    <t>RLR 超聲波傳感器異常</t>
  </si>
  <si>
    <t>RLR 超声波传感器异常</t>
  </si>
  <si>
    <t>1. Harness disconnected
2. RLR fault</t>
    <phoneticPr fontId="28" type="noConversion"/>
  </si>
  <si>
    <r>
      <rPr>
        <sz val="12"/>
        <rFont val="微軟正黑體"/>
        <family val="2"/>
        <charset val="136"/>
      </rPr>
      <t xml:space="preserve">1. 線束斷開
2. </t>
    </r>
    <r>
      <rPr>
        <sz val="12"/>
        <rFont val="Arial"/>
        <family val="2"/>
      </rPr>
      <t xml:space="preserve">RLR </t>
    </r>
    <r>
      <rPr>
        <sz val="12"/>
        <rFont val="Microsoft JhengHei"/>
        <family val="2"/>
      </rPr>
      <t>損壞</t>
    </r>
    <phoneticPr fontId="28" type="noConversion"/>
  </si>
  <si>
    <r>
      <t xml:space="preserve">1. </t>
    </r>
    <r>
      <rPr>
        <sz val="12"/>
        <rFont val="細明體"/>
        <family val="2"/>
        <charset val="136"/>
      </rPr>
      <t>线束断开</t>
    </r>
    <r>
      <rPr>
        <sz val="12"/>
        <rFont val="Arial"/>
        <family val="2"/>
      </rPr>
      <t xml:space="preserve">
2. RLR </t>
    </r>
    <r>
      <rPr>
        <sz val="12"/>
        <rFont val="細明體"/>
        <family val="2"/>
        <charset val="136"/>
      </rPr>
      <t>损坏</t>
    </r>
    <phoneticPr fontId="28" type="noConversion"/>
  </si>
  <si>
    <t>1. Check the harness.
2. Replace the RLR and check the function is normal or not.</t>
    <phoneticPr fontId="28" type="noConversion"/>
  </si>
  <si>
    <r>
      <rPr>
        <sz val="12"/>
        <rFont val="微軟正黑體"/>
        <family val="2"/>
        <charset val="136"/>
      </rPr>
      <t xml:space="preserve">1. 檢查 </t>
    </r>
    <r>
      <rPr>
        <sz val="12"/>
        <rFont val="Arial"/>
        <family val="2"/>
      </rPr>
      <t xml:space="preserve">RLR </t>
    </r>
    <r>
      <rPr>
        <sz val="12"/>
        <rFont val="微軟正黑體"/>
        <family val="2"/>
        <charset val="136"/>
      </rPr>
      <t>線束</t>
    </r>
    <r>
      <rPr>
        <sz val="12"/>
        <rFont val="Arial"/>
        <family val="2"/>
        <charset val="136"/>
      </rPr>
      <t xml:space="preserve">
2. </t>
    </r>
    <r>
      <rPr>
        <sz val="12"/>
        <rFont val="微軟正黑體"/>
        <family val="2"/>
        <charset val="136"/>
      </rPr>
      <t>RLR 換件後，確認功能是否正常。</t>
    </r>
    <phoneticPr fontId="28" type="noConversion"/>
  </si>
  <si>
    <t>RLR USS Hardware or Communcation Error</t>
  </si>
  <si>
    <t>RLR USS Receive Response Frame</t>
  </si>
  <si>
    <t>21</t>
  </si>
  <si>
    <t>FCL 超聲波傳感器信號開路</t>
  </si>
  <si>
    <t>FCL 超声波传感器信号开路</t>
  </si>
  <si>
    <t>Harness disconnected</t>
  </si>
  <si>
    <t>線束斷開</t>
  </si>
  <si>
    <t>线束断开</t>
  </si>
  <si>
    <t>FCL USS Open Circuits</t>
  </si>
  <si>
    <t>22</t>
  </si>
  <si>
    <t>FML 超聲波傳感器信號開路</t>
  </si>
  <si>
    <t>FML 超声波传感器信号开路</t>
  </si>
  <si>
    <t>FML USS Open Circuits</t>
  </si>
  <si>
    <t>23</t>
  </si>
  <si>
    <t>FMR 超聲波傳感器信號開路</t>
  </si>
  <si>
    <t>FMR 超声波传感器信号开路</t>
  </si>
  <si>
    <t>FMR USS Open Circuits</t>
  </si>
  <si>
    <t>24</t>
  </si>
  <si>
    <t>FCR 超聲波傳感器信號開路</t>
  </si>
  <si>
    <t>FCR 超声波传感器信号开路</t>
  </si>
  <si>
    <t>FCR USS Open Circuits</t>
  </si>
  <si>
    <t>25</t>
  </si>
  <si>
    <t>RCL 超聲波傳感器信號開路</t>
  </si>
  <si>
    <t>RCL 超声波传感器信号开路</t>
  </si>
  <si>
    <t>RCL USS Open Circuits</t>
  </si>
  <si>
    <t>26</t>
  </si>
  <si>
    <t>RML 超聲波傳感器信號開路</t>
  </si>
  <si>
    <t>RML 超声波传感器信号开路</t>
  </si>
  <si>
    <t>RML USS Open Circuits</t>
  </si>
  <si>
    <t>27</t>
  </si>
  <si>
    <t>RMR 超聲波傳感器信號開路</t>
  </si>
  <si>
    <t>RMR 超声波传感器信号开路</t>
  </si>
  <si>
    <t>RMR USS Open Circuits</t>
  </si>
  <si>
    <t>28</t>
  </si>
  <si>
    <t>RCR 超聲波傳感器信號開路</t>
  </si>
  <si>
    <t>RCR 超声波传感器信号开路</t>
  </si>
  <si>
    <t>RCR USS Open Circuits</t>
  </si>
  <si>
    <t>29</t>
  </si>
  <si>
    <t>FLL 超聲波傳感器信號開路</t>
  </si>
  <si>
    <t>FLL 超声波传感器信号开路</t>
  </si>
  <si>
    <t>FLL USS Open Circuits</t>
  </si>
  <si>
    <t>30</t>
  </si>
  <si>
    <t>FLR 超聲波傳感器信號開路</t>
  </si>
  <si>
    <t>FLR 超声波传感器信号开路</t>
  </si>
  <si>
    <t>FLR USS Open Circuits</t>
  </si>
  <si>
    <t>31</t>
  </si>
  <si>
    <t>RLL 超聲波傳感器信號開路</t>
  </si>
  <si>
    <t>RLL 超声波传感器信号开路</t>
  </si>
  <si>
    <t>RLL USS Open Circuits</t>
  </si>
  <si>
    <t>32</t>
  </si>
  <si>
    <t>RLR 超聲波傳感器信號開路</t>
  </si>
  <si>
    <t>RLR 超声波传感器信号开路</t>
  </si>
  <si>
    <t>RLR USS Open Circuits</t>
  </si>
  <si>
    <t>33</t>
  </si>
  <si>
    <t>右前方向燈故障</t>
  </si>
  <si>
    <t>右前方向灯故障</t>
  </si>
  <si>
    <t>1.TurnLamp Fail
2.ZoneDr turn lamp diver fail.
3.Hardwire between ZoneDr and Turn Lamp Fail.</t>
  </si>
  <si>
    <t>1.方向燈故障
2.ZoneDr 方向燈驅動器故障
3.ZoneDr至方向燈回路故障</t>
  </si>
  <si>
    <t>1.方向灯故障
2.ZoneDr 方向灯驱动器故障
3.ZoneDr至方向灯回路故障</t>
  </si>
  <si>
    <r>
      <t>1.Check Zone_FR</t>
    </r>
    <r>
      <rPr>
        <sz val="12"/>
        <rFont val="細明體"/>
        <family val="2"/>
        <charset val="136"/>
      </rPr>
      <t>：</t>
    </r>
    <r>
      <rPr>
        <sz val="12"/>
        <rFont val="Arial"/>
        <family val="2"/>
      </rPr>
      <t>Activating right turn lamp and measure whether the pin of front right turn lamp in Zone_FR outputs the battery voltage or not. (approximately 12V)
2.Check circuit</t>
    </r>
    <r>
      <rPr>
        <sz val="12"/>
        <rFont val="細明體"/>
        <family val="2"/>
        <charset val="136"/>
      </rPr>
      <t>：</t>
    </r>
    <r>
      <rPr>
        <sz val="12"/>
        <rFont val="Arial"/>
        <family val="2"/>
      </rPr>
      <t>Check the circuit of the front right turn lamp is conducting properly or not.
3.Check front right turn lamp</t>
    </r>
    <r>
      <rPr>
        <sz val="12"/>
        <rFont val="細明體"/>
        <family val="2"/>
        <charset val="136"/>
      </rPr>
      <t>：</t>
    </r>
    <r>
      <rPr>
        <sz val="12"/>
        <rFont val="Arial"/>
        <family val="2"/>
      </rPr>
      <t>Replace the front right turn lamp and check the function is normal or not.</t>
    </r>
  </si>
  <si>
    <r>
      <t>1.</t>
    </r>
    <r>
      <rPr>
        <sz val="12"/>
        <rFont val="微軟正黑體"/>
        <family val="2"/>
        <charset val="136"/>
      </rPr>
      <t>檢測</t>
    </r>
    <r>
      <rPr>
        <sz val="12"/>
        <rFont val="Arial"/>
        <family val="2"/>
      </rPr>
      <t>Zone_FR</t>
    </r>
    <r>
      <rPr>
        <sz val="12"/>
        <rFont val="微軟正黑體"/>
        <family val="2"/>
        <charset val="136"/>
      </rPr>
      <t>是否正常：開啟右方向燈後，量測</t>
    </r>
    <r>
      <rPr>
        <sz val="12"/>
        <rFont val="Arial"/>
        <family val="2"/>
      </rPr>
      <t>Zone_FR</t>
    </r>
    <r>
      <rPr>
        <sz val="12"/>
        <rFont val="微軟正黑體"/>
        <family val="2"/>
        <charset val="136"/>
      </rPr>
      <t>右前方向燈腳位是否有正常輸出電瓶電壓</t>
    </r>
    <r>
      <rPr>
        <sz val="12"/>
        <rFont val="Arial"/>
        <family val="2"/>
      </rPr>
      <t>(</t>
    </r>
    <r>
      <rPr>
        <sz val="12"/>
        <rFont val="微軟正黑體"/>
        <family val="2"/>
        <charset val="136"/>
      </rPr>
      <t>約</t>
    </r>
    <r>
      <rPr>
        <sz val="12"/>
        <rFont val="Arial"/>
        <family val="2"/>
      </rPr>
      <t>12V)</t>
    </r>
    <r>
      <rPr>
        <sz val="12"/>
        <rFont val="微軟正黑體"/>
        <family val="2"/>
        <charset val="136"/>
      </rPr>
      <t>。</t>
    </r>
    <r>
      <rPr>
        <sz val="12"/>
        <rFont val="Arial"/>
        <family val="2"/>
      </rPr>
      <t xml:space="preserve">
2.</t>
    </r>
    <r>
      <rPr>
        <sz val="12"/>
        <rFont val="微軟正黑體"/>
        <family val="2"/>
        <charset val="136"/>
      </rPr>
      <t>檢測迴路是否正常：檢查右前方向燈迴路是否導通。</t>
    </r>
    <r>
      <rPr>
        <sz val="12"/>
        <rFont val="Arial"/>
        <family val="2"/>
      </rPr>
      <t xml:space="preserve">
3.</t>
    </r>
    <r>
      <rPr>
        <sz val="12"/>
        <rFont val="微軟正黑體"/>
        <family val="2"/>
        <charset val="136"/>
      </rPr>
      <t>檢測右前方向燈是否正常：右前方向燈換件後，確認功能是否正常。</t>
    </r>
  </si>
  <si>
    <r>
      <t>1.</t>
    </r>
    <r>
      <rPr>
        <sz val="12"/>
        <rFont val="細明體"/>
        <family val="2"/>
        <charset val="136"/>
      </rPr>
      <t>检测</t>
    </r>
    <r>
      <rPr>
        <sz val="12"/>
        <rFont val="Arial"/>
        <family val="2"/>
      </rPr>
      <t>Zone_FR</t>
    </r>
    <r>
      <rPr>
        <sz val="12"/>
        <rFont val="細明體"/>
        <family val="2"/>
        <charset val="136"/>
      </rPr>
      <t>是否正常：开启右方向灯后，量测</t>
    </r>
    <r>
      <rPr>
        <sz val="12"/>
        <rFont val="Arial"/>
        <family val="2"/>
      </rPr>
      <t>Zone_FR</t>
    </r>
    <r>
      <rPr>
        <sz val="12"/>
        <rFont val="細明體"/>
        <family val="2"/>
        <charset val="136"/>
      </rPr>
      <t>右前方向灯脚位是否有正常输出电瓶电压</t>
    </r>
    <r>
      <rPr>
        <sz val="12"/>
        <rFont val="Arial"/>
        <family val="2"/>
      </rPr>
      <t>(</t>
    </r>
    <r>
      <rPr>
        <sz val="12"/>
        <rFont val="細明體"/>
        <family val="2"/>
        <charset val="136"/>
      </rPr>
      <t>约</t>
    </r>
    <r>
      <rPr>
        <sz val="12"/>
        <rFont val="Arial"/>
        <family val="2"/>
      </rPr>
      <t>12V)</t>
    </r>
    <r>
      <rPr>
        <sz val="12"/>
        <rFont val="細明體"/>
        <family val="2"/>
        <charset val="136"/>
      </rPr>
      <t>。</t>
    </r>
    <r>
      <rPr>
        <sz val="12"/>
        <rFont val="Arial"/>
        <family val="2"/>
      </rPr>
      <t xml:space="preserve">
2.</t>
    </r>
    <r>
      <rPr>
        <sz val="12"/>
        <rFont val="細明體"/>
        <family val="2"/>
        <charset val="136"/>
      </rPr>
      <t>检测迴路是否正常：检查右前方向灯迴路是否导通。</t>
    </r>
    <r>
      <rPr>
        <sz val="12"/>
        <rFont val="Arial"/>
        <family val="2"/>
      </rPr>
      <t xml:space="preserve">
3.</t>
    </r>
    <r>
      <rPr>
        <sz val="12"/>
        <rFont val="細明體"/>
        <family val="2"/>
        <charset val="136"/>
      </rPr>
      <t>检测右前方向灯是否正常：右前方向灯换件后，确认功能是否正常。</t>
    </r>
  </si>
  <si>
    <t>Voltage type fault</t>
  </si>
  <si>
    <t>Front Right Turn Lamp Current&lt;=TurnLampFrontRightThresholdCurrent</t>
  </si>
  <si>
    <t>Front Right Turn Lamp operating as Turn Lamp.</t>
  </si>
  <si>
    <t>Front Right Turn Lamp Current&gt;TurnLampFrontRightThresholdCurrent</t>
  </si>
  <si>
    <t>34</t>
  </si>
  <si>
    <t>右後方向燈故障</t>
  </si>
  <si>
    <t>右后方向灯故障</t>
  </si>
  <si>
    <t>1.TurnLamp Fail
2.ZoneFr turn lamp diver fail.
3.Hardwire between ZoneFr and Turn Lamp Fail.</t>
  </si>
  <si>
    <t>1.方向燈故障
2.ZoneFr 方向燈驅動器故障
3.ZoneFr至方向燈回路故障</t>
  </si>
  <si>
    <t>1.方向灯故障
2.ZoneFr 方向灯驱动器故障
3.ZoneFr至方向灯回路故障</t>
  </si>
  <si>
    <r>
      <t>1.Check Zone_DR</t>
    </r>
    <r>
      <rPr>
        <sz val="12"/>
        <rFont val="細明體"/>
        <family val="2"/>
        <charset val="136"/>
      </rPr>
      <t>：</t>
    </r>
    <r>
      <rPr>
        <sz val="12"/>
        <rFont val="Arial"/>
        <family val="2"/>
      </rPr>
      <t>Activating right turn lamp and measure whether the pin of rear right turn lamp in Zone_DR outputs the battery voltage or not. (approximately 12V)
2.Check circuit</t>
    </r>
    <r>
      <rPr>
        <sz val="12"/>
        <rFont val="細明體"/>
        <family val="2"/>
        <charset val="136"/>
      </rPr>
      <t>：</t>
    </r>
    <r>
      <rPr>
        <sz val="12"/>
        <rFont val="Arial"/>
        <family val="2"/>
      </rPr>
      <t>Check the circuit of the rear right turn lamp is conducting properly or not.
3.Check rear right turn lamp</t>
    </r>
    <r>
      <rPr>
        <sz val="12"/>
        <rFont val="細明體"/>
        <family val="2"/>
        <charset val="136"/>
      </rPr>
      <t>：</t>
    </r>
    <r>
      <rPr>
        <sz val="12"/>
        <rFont val="Arial"/>
        <family val="2"/>
      </rPr>
      <t>Replace the rear right turn lamp and check the function is normal or not.</t>
    </r>
  </si>
  <si>
    <r>
      <t>1.</t>
    </r>
    <r>
      <rPr>
        <sz val="12"/>
        <rFont val="細明體"/>
        <family val="2"/>
        <charset val="136"/>
      </rPr>
      <t>檢測</t>
    </r>
    <r>
      <rPr>
        <sz val="12"/>
        <rFont val="Arial"/>
        <family val="2"/>
      </rPr>
      <t>Zone_DR</t>
    </r>
    <r>
      <rPr>
        <sz val="12"/>
        <rFont val="細明體"/>
        <family val="2"/>
        <charset val="136"/>
      </rPr>
      <t>是否正常：開啟右方向燈後，量測</t>
    </r>
    <r>
      <rPr>
        <sz val="12"/>
        <rFont val="Arial"/>
        <family val="2"/>
      </rPr>
      <t>Zone_DR</t>
    </r>
    <r>
      <rPr>
        <sz val="12"/>
        <rFont val="細明體"/>
        <family val="2"/>
        <charset val="136"/>
      </rPr>
      <t>右後方向燈腳位是否有正常輸出電瓶電壓</t>
    </r>
    <r>
      <rPr>
        <sz val="12"/>
        <rFont val="Arial"/>
        <family val="2"/>
      </rPr>
      <t>(</t>
    </r>
    <r>
      <rPr>
        <sz val="12"/>
        <rFont val="細明體"/>
        <family val="2"/>
        <charset val="136"/>
      </rPr>
      <t>約</t>
    </r>
    <r>
      <rPr>
        <sz val="12"/>
        <rFont val="Arial"/>
        <family val="2"/>
      </rPr>
      <t>12V)</t>
    </r>
    <r>
      <rPr>
        <sz val="12"/>
        <rFont val="細明體"/>
        <family val="2"/>
        <charset val="136"/>
      </rPr>
      <t>。</t>
    </r>
    <r>
      <rPr>
        <sz val="12"/>
        <rFont val="Arial"/>
        <family val="2"/>
      </rPr>
      <t xml:space="preserve">
2.</t>
    </r>
    <r>
      <rPr>
        <sz val="12"/>
        <rFont val="細明體"/>
        <family val="2"/>
        <charset val="136"/>
      </rPr>
      <t>檢測迴路是否正常：檢查右後方向燈迴路是否導通。</t>
    </r>
    <r>
      <rPr>
        <sz val="12"/>
        <rFont val="Arial"/>
        <family val="2"/>
      </rPr>
      <t xml:space="preserve">
3.</t>
    </r>
    <r>
      <rPr>
        <sz val="12"/>
        <rFont val="細明體"/>
        <family val="2"/>
        <charset val="136"/>
      </rPr>
      <t>檢測右後方向燈是否正常：右後方向燈換件後，確認功能是否正常。</t>
    </r>
  </si>
  <si>
    <r>
      <t>1.</t>
    </r>
    <r>
      <rPr>
        <sz val="12"/>
        <rFont val="細明體"/>
        <family val="2"/>
        <charset val="136"/>
      </rPr>
      <t>检测</t>
    </r>
    <r>
      <rPr>
        <sz val="12"/>
        <rFont val="Arial"/>
        <family val="2"/>
      </rPr>
      <t>Zone_DR</t>
    </r>
    <r>
      <rPr>
        <sz val="12"/>
        <rFont val="細明體"/>
        <family val="2"/>
        <charset val="136"/>
      </rPr>
      <t>是否正常：开启右方向灯后，量测</t>
    </r>
    <r>
      <rPr>
        <sz val="12"/>
        <rFont val="Arial"/>
        <family val="2"/>
      </rPr>
      <t>Zone_DR</t>
    </r>
    <r>
      <rPr>
        <sz val="12"/>
        <rFont val="細明體"/>
        <family val="2"/>
        <charset val="136"/>
      </rPr>
      <t>右后方向灯脚位是否有正常输出电瓶电压</t>
    </r>
    <r>
      <rPr>
        <sz val="12"/>
        <rFont val="Arial"/>
        <family val="2"/>
      </rPr>
      <t>(</t>
    </r>
    <r>
      <rPr>
        <sz val="12"/>
        <rFont val="細明體"/>
        <family val="2"/>
        <charset val="136"/>
      </rPr>
      <t>约</t>
    </r>
    <r>
      <rPr>
        <sz val="12"/>
        <rFont val="Arial"/>
        <family val="2"/>
      </rPr>
      <t>12V)</t>
    </r>
    <r>
      <rPr>
        <sz val="12"/>
        <rFont val="細明體"/>
        <family val="2"/>
        <charset val="136"/>
      </rPr>
      <t>。</t>
    </r>
    <r>
      <rPr>
        <sz val="12"/>
        <rFont val="Arial"/>
        <family val="2"/>
      </rPr>
      <t xml:space="preserve">
2.</t>
    </r>
    <r>
      <rPr>
        <sz val="12"/>
        <rFont val="細明體"/>
        <family val="2"/>
        <charset val="136"/>
      </rPr>
      <t>检测迴路是否正常：检查右后方向灯迴路是否导通。</t>
    </r>
    <r>
      <rPr>
        <sz val="12"/>
        <rFont val="Arial"/>
        <family val="2"/>
      </rPr>
      <t xml:space="preserve">
3.</t>
    </r>
    <r>
      <rPr>
        <sz val="12"/>
        <rFont val="細明體"/>
        <family val="2"/>
        <charset val="136"/>
      </rPr>
      <t>检测右后方向灯是否正常：右后方向灯换件后，确认功能是否正常。</t>
    </r>
  </si>
  <si>
    <t>Rear Right Turn Lamp Current&lt;=TurnLampRearRightThresholdCurrent</t>
  </si>
  <si>
    <t>Rear Right Turn Lamp operating as Turn Lamp.</t>
  </si>
  <si>
    <t>Rear Right Turn Lamp Current&gt;TurnLampRearRightThresholdCurrent</t>
  </si>
  <si>
    <t>35</t>
  </si>
  <si>
    <t>左前方向燈故障</t>
  </si>
  <si>
    <t>左前方向灯故障</t>
  </si>
  <si>
    <r>
      <t>1.Check Zone_FR</t>
    </r>
    <r>
      <rPr>
        <sz val="12"/>
        <rFont val="細明體"/>
        <family val="2"/>
        <charset val="136"/>
      </rPr>
      <t>：</t>
    </r>
    <r>
      <rPr>
        <sz val="12"/>
        <rFont val="Arial"/>
        <family val="2"/>
      </rPr>
      <t>Activating left turn lamp and measure whether the pin of front left turn lamp in Zone_FR outputs the battery voltage or not. (approximately 12V)
2.Check circuit</t>
    </r>
    <r>
      <rPr>
        <sz val="12"/>
        <rFont val="細明體"/>
        <family val="2"/>
        <charset val="136"/>
      </rPr>
      <t>：</t>
    </r>
    <r>
      <rPr>
        <sz val="12"/>
        <rFont val="Arial"/>
        <family val="2"/>
      </rPr>
      <t>Check the circuit of the front left turn lamp is conducting properly or not.
3.Check front left turn lamp</t>
    </r>
    <r>
      <rPr>
        <sz val="12"/>
        <rFont val="細明體"/>
        <family val="2"/>
        <charset val="136"/>
      </rPr>
      <t>：</t>
    </r>
    <r>
      <rPr>
        <sz val="12"/>
        <rFont val="Arial"/>
        <family val="2"/>
      </rPr>
      <t>Replace the front left turn lamp and check the function is normal or not.</t>
    </r>
  </si>
  <si>
    <r>
      <t>1.</t>
    </r>
    <r>
      <rPr>
        <sz val="12"/>
        <rFont val="細明體"/>
        <family val="2"/>
        <charset val="136"/>
      </rPr>
      <t>檢測</t>
    </r>
    <r>
      <rPr>
        <sz val="12"/>
        <rFont val="Arial"/>
        <family val="2"/>
      </rPr>
      <t>Zone_FR</t>
    </r>
    <r>
      <rPr>
        <sz val="12"/>
        <rFont val="細明體"/>
        <family val="2"/>
        <charset val="136"/>
      </rPr>
      <t>是否正常：開啟左方向燈後，量測</t>
    </r>
    <r>
      <rPr>
        <sz val="12"/>
        <rFont val="Arial"/>
        <family val="2"/>
      </rPr>
      <t>Zone_FR</t>
    </r>
    <r>
      <rPr>
        <sz val="12"/>
        <rFont val="細明體"/>
        <family val="2"/>
        <charset val="136"/>
      </rPr>
      <t>左前方向燈腳位是否有正常輸出電瓶電壓</t>
    </r>
    <r>
      <rPr>
        <sz val="12"/>
        <rFont val="Arial"/>
        <family val="2"/>
      </rPr>
      <t>(</t>
    </r>
    <r>
      <rPr>
        <sz val="12"/>
        <rFont val="細明體"/>
        <family val="2"/>
        <charset val="136"/>
      </rPr>
      <t>約</t>
    </r>
    <r>
      <rPr>
        <sz val="12"/>
        <rFont val="Arial"/>
        <family val="2"/>
      </rPr>
      <t>12V)</t>
    </r>
    <r>
      <rPr>
        <sz val="12"/>
        <rFont val="細明體"/>
        <family val="2"/>
        <charset val="136"/>
      </rPr>
      <t>。</t>
    </r>
    <r>
      <rPr>
        <sz val="12"/>
        <rFont val="Arial"/>
        <family val="2"/>
      </rPr>
      <t xml:space="preserve">
2.</t>
    </r>
    <r>
      <rPr>
        <sz val="12"/>
        <rFont val="細明體"/>
        <family val="2"/>
        <charset val="136"/>
      </rPr>
      <t>檢測迴路是否正常：檢查左前方向燈迴路是否導通。</t>
    </r>
    <r>
      <rPr>
        <sz val="12"/>
        <rFont val="Arial"/>
        <family val="2"/>
      </rPr>
      <t xml:space="preserve">
3.</t>
    </r>
    <r>
      <rPr>
        <sz val="12"/>
        <rFont val="細明體"/>
        <family val="2"/>
        <charset val="136"/>
      </rPr>
      <t>檢測左前方向燈是否正常：左前方向燈換件後，確認功能是否正常。</t>
    </r>
  </si>
  <si>
    <r>
      <t>1.</t>
    </r>
    <r>
      <rPr>
        <sz val="12"/>
        <rFont val="細明體"/>
        <family val="2"/>
        <charset val="136"/>
      </rPr>
      <t>检测</t>
    </r>
    <r>
      <rPr>
        <sz val="12"/>
        <rFont val="Arial"/>
        <family val="2"/>
      </rPr>
      <t>Zone_FR</t>
    </r>
    <r>
      <rPr>
        <sz val="12"/>
        <rFont val="細明體"/>
        <family val="2"/>
        <charset val="136"/>
      </rPr>
      <t>是否正常：开启左方向灯后，量测</t>
    </r>
    <r>
      <rPr>
        <sz val="12"/>
        <rFont val="Arial"/>
        <family val="2"/>
      </rPr>
      <t>Zone_FR</t>
    </r>
    <r>
      <rPr>
        <sz val="12"/>
        <rFont val="細明體"/>
        <family val="2"/>
        <charset val="136"/>
      </rPr>
      <t>左前方向灯脚位是否有正常输出电瓶电压</t>
    </r>
    <r>
      <rPr>
        <sz val="12"/>
        <rFont val="Arial"/>
        <family val="2"/>
      </rPr>
      <t>(</t>
    </r>
    <r>
      <rPr>
        <sz val="12"/>
        <rFont val="細明體"/>
        <family val="2"/>
        <charset val="136"/>
      </rPr>
      <t>约</t>
    </r>
    <r>
      <rPr>
        <sz val="12"/>
        <rFont val="Arial"/>
        <family val="2"/>
      </rPr>
      <t>12V)</t>
    </r>
    <r>
      <rPr>
        <sz val="12"/>
        <rFont val="細明體"/>
        <family val="2"/>
        <charset val="136"/>
      </rPr>
      <t>。</t>
    </r>
    <r>
      <rPr>
        <sz val="12"/>
        <rFont val="Arial"/>
        <family val="2"/>
      </rPr>
      <t xml:space="preserve">
2.</t>
    </r>
    <r>
      <rPr>
        <sz val="12"/>
        <rFont val="細明體"/>
        <family val="2"/>
        <charset val="136"/>
      </rPr>
      <t>检测迴路是否正常：检查左前方向灯迴路是否导通。</t>
    </r>
    <r>
      <rPr>
        <sz val="12"/>
        <rFont val="Arial"/>
        <family val="2"/>
      </rPr>
      <t xml:space="preserve">
3.</t>
    </r>
    <r>
      <rPr>
        <sz val="12"/>
        <rFont val="細明體"/>
        <family val="2"/>
        <charset val="136"/>
      </rPr>
      <t>检测左前方向灯是否正常：左前方向灯换件后，确认功能是否正常。</t>
    </r>
  </si>
  <si>
    <t>Front Left Turn Lamp Current&lt;=TurnLampLeftRightThresholdCurrent</t>
  </si>
  <si>
    <t>Front Left Turn Lamp operating as Turn Lamp.</t>
  </si>
  <si>
    <t>Front Left Turn Lamp Current&gt;TurnLampLeftRightThresholdCurrent</t>
  </si>
  <si>
    <t>36</t>
  </si>
  <si>
    <t>左後方向燈故障</t>
  </si>
  <si>
    <t>左后方向灯故障</t>
  </si>
  <si>
    <r>
      <t>1.Check Zone_DR</t>
    </r>
    <r>
      <rPr>
        <sz val="12"/>
        <rFont val="細明體"/>
        <family val="2"/>
        <charset val="136"/>
      </rPr>
      <t>：</t>
    </r>
    <r>
      <rPr>
        <sz val="12"/>
        <rFont val="Arial"/>
        <family val="2"/>
      </rPr>
      <t>Activating left turn lamp and measure whether the pin of rear left turn lamp in Zone_DR outputs the battery voltage or not. (approximately 12V)
2.Check circuit</t>
    </r>
    <r>
      <rPr>
        <sz val="12"/>
        <rFont val="細明體"/>
        <family val="2"/>
        <charset val="136"/>
      </rPr>
      <t>：</t>
    </r>
    <r>
      <rPr>
        <sz val="12"/>
        <rFont val="Arial"/>
        <family val="2"/>
      </rPr>
      <t>Check the circuit of the rear left turn lamp is conducting properly or not.
3.Check rear left turn lamp</t>
    </r>
    <r>
      <rPr>
        <sz val="12"/>
        <rFont val="細明體"/>
        <family val="2"/>
        <charset val="136"/>
      </rPr>
      <t>：</t>
    </r>
    <r>
      <rPr>
        <sz val="12"/>
        <rFont val="Arial"/>
        <family val="2"/>
      </rPr>
      <t>Replace the rear left turn lamp and check the function is normal or not.</t>
    </r>
  </si>
  <si>
    <r>
      <t>1.</t>
    </r>
    <r>
      <rPr>
        <sz val="12"/>
        <rFont val="細明體"/>
        <family val="2"/>
        <charset val="136"/>
      </rPr>
      <t>檢測</t>
    </r>
    <r>
      <rPr>
        <sz val="12"/>
        <rFont val="Arial"/>
        <family val="2"/>
      </rPr>
      <t>Zone_DR</t>
    </r>
    <r>
      <rPr>
        <sz val="12"/>
        <rFont val="細明體"/>
        <family val="2"/>
        <charset val="136"/>
      </rPr>
      <t>是否正常：開啟左方向燈後，量測</t>
    </r>
    <r>
      <rPr>
        <sz val="12"/>
        <rFont val="Arial"/>
        <family val="2"/>
      </rPr>
      <t>Zone_DR</t>
    </r>
    <r>
      <rPr>
        <sz val="12"/>
        <rFont val="細明體"/>
        <family val="2"/>
        <charset val="136"/>
      </rPr>
      <t>左後方向燈腳位是否有正常輸出電瓶電壓</t>
    </r>
    <r>
      <rPr>
        <sz val="12"/>
        <rFont val="Arial"/>
        <family val="2"/>
      </rPr>
      <t>(</t>
    </r>
    <r>
      <rPr>
        <sz val="12"/>
        <rFont val="細明體"/>
        <family val="2"/>
        <charset val="136"/>
      </rPr>
      <t>約</t>
    </r>
    <r>
      <rPr>
        <sz val="12"/>
        <rFont val="Arial"/>
        <family val="2"/>
      </rPr>
      <t>12V)</t>
    </r>
    <r>
      <rPr>
        <sz val="12"/>
        <rFont val="細明體"/>
        <family val="2"/>
        <charset val="136"/>
      </rPr>
      <t>。</t>
    </r>
    <r>
      <rPr>
        <sz val="12"/>
        <rFont val="Arial"/>
        <family val="2"/>
      </rPr>
      <t xml:space="preserve">
2.</t>
    </r>
    <r>
      <rPr>
        <sz val="12"/>
        <rFont val="細明體"/>
        <family val="2"/>
        <charset val="136"/>
      </rPr>
      <t>檢測迴路是否正常：檢查左後方向燈迴路是否導通。</t>
    </r>
    <r>
      <rPr>
        <sz val="12"/>
        <rFont val="Arial"/>
        <family val="2"/>
      </rPr>
      <t xml:space="preserve">
3.</t>
    </r>
    <r>
      <rPr>
        <sz val="12"/>
        <rFont val="細明體"/>
        <family val="2"/>
        <charset val="136"/>
      </rPr>
      <t>檢測左後方向燈是否正常：左後方向燈換件後，確認功能是否正常。</t>
    </r>
  </si>
  <si>
    <r>
      <t>1.</t>
    </r>
    <r>
      <rPr>
        <sz val="12"/>
        <rFont val="細明體"/>
        <family val="2"/>
        <charset val="136"/>
      </rPr>
      <t>检测</t>
    </r>
    <r>
      <rPr>
        <sz val="12"/>
        <rFont val="Arial"/>
        <family val="2"/>
      </rPr>
      <t>Zone_DR</t>
    </r>
    <r>
      <rPr>
        <sz val="12"/>
        <rFont val="細明體"/>
        <family val="2"/>
        <charset val="136"/>
      </rPr>
      <t>是否正常：开启左方向灯后，量测</t>
    </r>
    <r>
      <rPr>
        <sz val="12"/>
        <rFont val="Arial"/>
        <family val="2"/>
      </rPr>
      <t>Zone_DR</t>
    </r>
    <r>
      <rPr>
        <sz val="12"/>
        <rFont val="細明體"/>
        <family val="2"/>
        <charset val="136"/>
      </rPr>
      <t>左后方向灯脚位是否有正常输出电瓶电压</t>
    </r>
    <r>
      <rPr>
        <sz val="12"/>
        <rFont val="Arial"/>
        <family val="2"/>
      </rPr>
      <t>(</t>
    </r>
    <r>
      <rPr>
        <sz val="12"/>
        <rFont val="細明體"/>
        <family val="2"/>
        <charset val="136"/>
      </rPr>
      <t>约</t>
    </r>
    <r>
      <rPr>
        <sz val="12"/>
        <rFont val="Arial"/>
        <family val="2"/>
      </rPr>
      <t>12V)</t>
    </r>
    <r>
      <rPr>
        <sz val="12"/>
        <rFont val="細明體"/>
        <family val="2"/>
        <charset val="136"/>
      </rPr>
      <t>。</t>
    </r>
    <r>
      <rPr>
        <sz val="12"/>
        <rFont val="Arial"/>
        <family val="2"/>
      </rPr>
      <t xml:space="preserve">
2.</t>
    </r>
    <r>
      <rPr>
        <sz val="12"/>
        <rFont val="細明體"/>
        <family val="2"/>
        <charset val="136"/>
      </rPr>
      <t>检测迴路是否正常：检查左后方向灯迴路是否导通。</t>
    </r>
    <r>
      <rPr>
        <sz val="12"/>
        <rFont val="Arial"/>
        <family val="2"/>
      </rPr>
      <t xml:space="preserve">
3.</t>
    </r>
    <r>
      <rPr>
        <sz val="12"/>
        <rFont val="細明體"/>
        <family val="2"/>
        <charset val="136"/>
      </rPr>
      <t>检测左后方向灯是否正常：左后方向灯换件后，确认功能是否正常。</t>
    </r>
  </si>
  <si>
    <t>Rear Left Turn Lamp Current&lt;=TurnLampRearLeftThresholdCurrent</t>
  </si>
  <si>
    <t>Rear Left Turn Lamp operating as Turn Lamp.</t>
  </si>
  <si>
    <t>Rear Left Turn Lamp Current&gt;TurnLampRearLeftThresholdCurrent</t>
  </si>
  <si>
    <t>37</t>
  </si>
  <si>
    <t>碰撞信號異常</t>
  </si>
  <si>
    <t>碰撞信号异常</t>
  </si>
  <si>
    <t>1.Crash signal Hardwire Fail.</t>
  </si>
  <si>
    <t>1.碰撞訊號時體線故障</t>
  </si>
  <si>
    <t>1.碰撞讯号时体线故障</t>
  </si>
  <si>
    <t>Check Hardwire Crash Signal circuit is conducting properly or not.</t>
  </si>
  <si>
    <t>檢查碰撞信號實體線路是否導通。</t>
  </si>
  <si>
    <t>检查碰撞信号实体线路是否导通。</t>
  </si>
  <si>
    <t xml:space="preserve">The Status and Hardwire Crash Signal and CAN Crash are not the same. </t>
  </si>
  <si>
    <t>CAN Crash Signal is Crash.</t>
  </si>
  <si>
    <t xml:space="preserve">The Status and Hardwire Crash Signal and CAN Crash are the same. </t>
  </si>
  <si>
    <t>Power OFF</t>
  </si>
  <si>
    <t>38</t>
  </si>
  <si>
    <t>乙太網開路</t>
  </si>
  <si>
    <t>以太网开路</t>
  </si>
  <si>
    <t>1.Ethernet cable fault
2.Ethernet node failure</t>
  </si>
  <si>
    <t>1、乙太網線纜故障
2、對端乙太網節點故障</t>
  </si>
  <si>
    <t>1、以太网线缆故障
2、对端以太网节点故障</t>
  </si>
  <si>
    <t>1.Check whether IVI connect to 4G LTE or Wi-Fi or not.
2.If vehicle kept no network, please press mode reset button on steering wheel for 5 seconds.
3.If vehicle kept no network, please lock the vehicle and wait 10 to 15 minutes.
4.If vehicle kept no network, please check whether the physical network cable is properly connected or damaged.</t>
    <phoneticPr fontId="28" type="noConversion"/>
  </si>
  <si>
    <r>
      <t>1.</t>
    </r>
    <r>
      <rPr>
        <sz val="12"/>
        <rFont val="微軟正黑體"/>
        <family val="2"/>
        <charset val="136"/>
      </rPr>
      <t>確認</t>
    </r>
    <r>
      <rPr>
        <sz val="12"/>
        <rFont val="Arial"/>
        <family val="2"/>
      </rPr>
      <t>IVI</t>
    </r>
    <r>
      <rPr>
        <sz val="12"/>
        <rFont val="微軟正黑體"/>
        <family val="2"/>
        <charset val="136"/>
      </rPr>
      <t>上是否有</t>
    </r>
    <r>
      <rPr>
        <sz val="12"/>
        <rFont val="Arial"/>
        <family val="2"/>
      </rPr>
      <t>4G LTE</t>
    </r>
    <r>
      <rPr>
        <sz val="12"/>
        <rFont val="微軟正黑體"/>
        <family val="2"/>
        <charset val="136"/>
      </rPr>
      <t>或是</t>
    </r>
    <r>
      <rPr>
        <sz val="12"/>
        <rFont val="Arial"/>
        <family val="2"/>
      </rPr>
      <t>Wi-Fi</t>
    </r>
    <r>
      <rPr>
        <sz val="12"/>
        <rFont val="微軟正黑體"/>
        <family val="2"/>
        <charset val="136"/>
      </rPr>
      <t>連線</t>
    </r>
    <r>
      <rPr>
        <sz val="12"/>
        <rFont val="Arial"/>
        <family val="2"/>
      </rPr>
      <t xml:space="preserve">
2.</t>
    </r>
    <r>
      <rPr>
        <sz val="12"/>
        <rFont val="微軟正黑體"/>
        <family val="2"/>
        <charset val="136"/>
      </rPr>
      <t>若仍沒有網路，長按方向盤</t>
    </r>
    <r>
      <rPr>
        <sz val="12"/>
        <rFont val="Arial"/>
        <family val="2"/>
      </rPr>
      <t>mode reset</t>
    </r>
    <r>
      <rPr>
        <sz val="12"/>
        <rFont val="微軟正黑體"/>
        <family val="2"/>
        <charset val="136"/>
      </rPr>
      <t>後確認是否有網路</t>
    </r>
    <r>
      <rPr>
        <sz val="12"/>
        <rFont val="Arial"/>
        <family val="2"/>
      </rPr>
      <t xml:space="preserve">
3.</t>
    </r>
    <r>
      <rPr>
        <sz val="12"/>
        <rFont val="微軟正黑體"/>
        <family val="2"/>
        <charset val="136"/>
      </rPr>
      <t>若仍沒有網路，讓車輛上鎖後靜置</t>
    </r>
    <r>
      <rPr>
        <sz val="12"/>
        <rFont val="Arial"/>
        <family val="2"/>
      </rPr>
      <t>10~15</t>
    </r>
    <r>
      <rPr>
        <sz val="12"/>
        <rFont val="微軟正黑體"/>
        <family val="2"/>
        <charset val="136"/>
      </rPr>
      <t>分鐘後確認是否有網路</t>
    </r>
    <r>
      <rPr>
        <sz val="12"/>
        <rFont val="Arial"/>
        <family val="2"/>
      </rPr>
      <t xml:space="preserve">
4.</t>
    </r>
    <r>
      <rPr>
        <sz val="12"/>
        <rFont val="微軟正黑體"/>
        <family val="2"/>
        <charset val="136"/>
      </rPr>
      <t>若仍沒有網路，確認實體網路線是否連接正常</t>
    </r>
    <phoneticPr fontId="28" type="noConversion"/>
  </si>
  <si>
    <r>
      <t>1.</t>
    </r>
    <r>
      <rPr>
        <sz val="12"/>
        <rFont val="微軟正黑體"/>
        <family val="2"/>
        <charset val="136"/>
      </rPr>
      <t>确认</t>
    </r>
    <r>
      <rPr>
        <sz val="12"/>
        <rFont val="Arial"/>
        <family val="2"/>
      </rPr>
      <t>IVI</t>
    </r>
    <r>
      <rPr>
        <sz val="12"/>
        <rFont val="微軟正黑體"/>
        <family val="2"/>
        <charset val="136"/>
      </rPr>
      <t>上是否有</t>
    </r>
    <r>
      <rPr>
        <sz val="12"/>
        <rFont val="Arial"/>
        <family val="2"/>
      </rPr>
      <t>4G LTE</t>
    </r>
    <r>
      <rPr>
        <sz val="12"/>
        <rFont val="微軟正黑體"/>
        <family val="2"/>
        <charset val="136"/>
      </rPr>
      <t>或是</t>
    </r>
    <r>
      <rPr>
        <sz val="12"/>
        <rFont val="Arial"/>
        <family val="2"/>
      </rPr>
      <t>Wi-Fi</t>
    </r>
    <r>
      <rPr>
        <sz val="12"/>
        <rFont val="微軟正黑體"/>
        <family val="2"/>
        <charset val="136"/>
      </rPr>
      <t>连线</t>
    </r>
    <r>
      <rPr>
        <sz val="12"/>
        <rFont val="Arial"/>
        <family val="2"/>
      </rPr>
      <t xml:space="preserve">
2.</t>
    </r>
    <r>
      <rPr>
        <sz val="12"/>
        <rFont val="微軟正黑體"/>
        <family val="2"/>
        <charset val="136"/>
      </rPr>
      <t>若仍没有网路，长按方向盘</t>
    </r>
    <r>
      <rPr>
        <sz val="12"/>
        <rFont val="Arial"/>
        <family val="2"/>
      </rPr>
      <t>mode reset</t>
    </r>
    <r>
      <rPr>
        <sz val="12"/>
        <rFont val="微軟正黑體"/>
        <family val="2"/>
        <charset val="136"/>
      </rPr>
      <t>后确认是否有网路</t>
    </r>
    <r>
      <rPr>
        <sz val="12"/>
        <rFont val="Arial"/>
        <family val="2"/>
      </rPr>
      <t xml:space="preserve">
3.</t>
    </r>
    <r>
      <rPr>
        <sz val="12"/>
        <rFont val="微軟正黑體"/>
        <family val="2"/>
        <charset val="136"/>
      </rPr>
      <t>若仍没有网路，让车辆上锁后静置</t>
    </r>
    <r>
      <rPr>
        <sz val="12"/>
        <rFont val="Arial"/>
        <family val="2"/>
      </rPr>
      <t>10~15</t>
    </r>
    <r>
      <rPr>
        <sz val="12"/>
        <rFont val="微軟正黑體"/>
        <family val="2"/>
        <charset val="136"/>
      </rPr>
      <t>分钟后确认是否有网路</t>
    </r>
    <r>
      <rPr>
        <sz val="12"/>
        <rFont val="Arial"/>
        <family val="2"/>
      </rPr>
      <t xml:space="preserve">
4.</t>
    </r>
    <r>
      <rPr>
        <sz val="12"/>
        <rFont val="微軟正黑體"/>
        <family val="2"/>
        <charset val="136"/>
      </rPr>
      <t>若仍没有网路，确认实体网路线是否连接正常</t>
    </r>
    <phoneticPr fontId="28" type="noConversion"/>
  </si>
  <si>
    <t>&lt;10ms</t>
  </si>
  <si>
    <t>PHY module not detected</t>
  </si>
  <si>
    <t>ECU not in sleep mode.</t>
  </si>
  <si>
    <t>PHY module not detected continues for 1 sec</t>
  </si>
  <si>
    <t>PHY module can be detected</t>
  </si>
  <si>
    <t>reset PHY module</t>
  </si>
  <si>
    <t>Unable to self recover</t>
  </si>
  <si>
    <t>WAKEUP_CYCLE</t>
  </si>
  <si>
    <t>39</t>
  </si>
  <si>
    <t>與 TBox 失去通訊</t>
  </si>
  <si>
    <t>与 TBox 失去通讯</t>
  </si>
  <si>
    <t>The relevant ECU damage</t>
  </si>
  <si>
    <t>相關ECU損壞</t>
  </si>
  <si>
    <t>相关ECU损坏</t>
  </si>
  <si>
    <t>1.Press mode reset button on steering wheel for 5 seconds.
2.After reconnecting the T-Box cable, confirm if it has reconnected.
3.Replace the T-Box to check if the issue is isolated to a single unit.</t>
    <phoneticPr fontId="28" type="noConversion"/>
  </si>
  <si>
    <r>
      <t>1.</t>
    </r>
    <r>
      <rPr>
        <sz val="12"/>
        <rFont val="微軟正黑體"/>
        <family val="2"/>
        <charset val="136"/>
      </rPr>
      <t>長按方向盤</t>
    </r>
    <r>
      <rPr>
        <sz val="12"/>
        <rFont val="Arial"/>
        <family val="2"/>
      </rPr>
      <t>mode reset</t>
    </r>
    <r>
      <rPr>
        <sz val="12"/>
        <rFont val="微軟正黑體"/>
        <family val="2"/>
        <charset val="136"/>
      </rPr>
      <t>後確認是否有重新連線。</t>
    </r>
    <r>
      <rPr>
        <sz val="12"/>
        <rFont val="Arial"/>
        <family val="2"/>
      </rPr>
      <t xml:space="preserve">
2.T-Box</t>
    </r>
    <r>
      <rPr>
        <sz val="12"/>
        <rFont val="微軟正黑體"/>
        <family val="2"/>
        <charset val="136"/>
      </rPr>
      <t>連接線重新插拔後確認是否有重新連線。</t>
    </r>
    <r>
      <rPr>
        <sz val="12"/>
        <rFont val="Arial"/>
        <family val="2"/>
      </rPr>
      <t xml:space="preserve">
3.</t>
    </r>
    <r>
      <rPr>
        <sz val="12"/>
        <rFont val="微軟正黑體"/>
        <family val="2"/>
        <charset val="136"/>
      </rPr>
      <t>更換</t>
    </r>
    <r>
      <rPr>
        <sz val="12"/>
        <rFont val="Arial"/>
        <family val="2"/>
      </rPr>
      <t>T-Box</t>
    </r>
    <r>
      <rPr>
        <sz val="12"/>
        <rFont val="微軟正黑體"/>
        <family val="2"/>
        <charset val="136"/>
      </rPr>
      <t>交叉層別是否為單件異常。</t>
    </r>
    <phoneticPr fontId="28" type="noConversion"/>
  </si>
  <si>
    <r>
      <t>1.</t>
    </r>
    <r>
      <rPr>
        <sz val="12"/>
        <rFont val="微軟正黑體"/>
        <family val="2"/>
        <charset val="136"/>
      </rPr>
      <t>长按方向盘</t>
    </r>
    <r>
      <rPr>
        <sz val="12"/>
        <rFont val="Arial"/>
        <family val="2"/>
      </rPr>
      <t>mode reset</t>
    </r>
    <r>
      <rPr>
        <sz val="12"/>
        <rFont val="微軟正黑體"/>
        <family val="2"/>
        <charset val="136"/>
      </rPr>
      <t>后确认是否有重新连线。</t>
    </r>
    <r>
      <rPr>
        <sz val="12"/>
        <rFont val="Arial"/>
        <family val="2"/>
      </rPr>
      <t xml:space="preserve">
2.T-Box</t>
    </r>
    <r>
      <rPr>
        <sz val="12"/>
        <rFont val="微軟正黑體"/>
        <family val="2"/>
        <charset val="136"/>
      </rPr>
      <t>连接线重新插拔后确认是否有重新连线。</t>
    </r>
    <r>
      <rPr>
        <sz val="12"/>
        <rFont val="Arial"/>
        <family val="2"/>
      </rPr>
      <t xml:space="preserve">
3.</t>
    </r>
    <r>
      <rPr>
        <sz val="12"/>
        <rFont val="微軟正黑體"/>
        <family val="2"/>
        <charset val="136"/>
      </rPr>
      <t>更换</t>
    </r>
    <r>
      <rPr>
        <sz val="12"/>
        <rFont val="Arial"/>
        <family val="2"/>
      </rPr>
      <t>T-Box</t>
    </r>
    <r>
      <rPr>
        <sz val="12"/>
        <rFont val="微軟正黑體"/>
        <family val="2"/>
        <charset val="136"/>
      </rPr>
      <t>交叉层别是否为单件异常。</t>
    </r>
    <phoneticPr fontId="28" type="noConversion"/>
  </si>
  <si>
    <t xml:space="preserve">Lost Communication with TBox </t>
  </si>
  <si>
    <t>Lost Communication with TBox over 500ms</t>
  </si>
  <si>
    <t>Receive TBox Any Frame</t>
  </si>
  <si>
    <t>No</t>
  </si>
  <si>
    <t>與 DKC 失去通訊</t>
  </si>
  <si>
    <t>与 DKC 失去通讯</t>
  </si>
  <si>
    <t>無</t>
  </si>
  <si>
    <t>无</t>
    <phoneticPr fontId="28" type="noConversion"/>
  </si>
  <si>
    <t xml:space="preserve">Lost Communication with DKC </t>
  </si>
  <si>
    <t>Lost Communication with DKC over 500ms</t>
  </si>
  <si>
    <t>Receive DKC Any Frame</t>
  </si>
  <si>
    <t>41</t>
  </si>
  <si>
    <t>與雲端伺服器失去通訊</t>
  </si>
  <si>
    <t>与云云服务器失去通讯</t>
  </si>
  <si>
    <t>1.The relevant ECU damage
2.The relevant Cloud damage</t>
  </si>
  <si>
    <t>1.相關ECU損壞
2.相關雲端伺服器損壞</t>
  </si>
  <si>
    <t>1.相关ECU损坏
2.相关云云服务器损坏</t>
  </si>
  <si>
    <t xml:space="preserve">Lost Communication with cloud server </t>
  </si>
  <si>
    <t>Lost Communication with cloud server over 500ms</t>
  </si>
  <si>
    <t>Receive cloud server any response</t>
  </si>
  <si>
    <t>42</t>
  </si>
  <si>
    <t>B100501</t>
  </si>
  <si>
    <r>
      <t xml:space="preserve">BMS: B2E </t>
    </r>
    <r>
      <rPr>
        <sz val="12"/>
        <rFont val="MS Gothic"/>
        <family val="3"/>
        <charset val="128"/>
      </rPr>
      <t>回應超時</t>
    </r>
    <phoneticPr fontId="28" type="noConversion"/>
  </si>
  <si>
    <t>Communication abnormality</t>
    <phoneticPr fontId="28" type="noConversion"/>
  </si>
  <si>
    <t>通訊異常</t>
    <phoneticPr fontId="28" type="noConversion"/>
  </si>
  <si>
    <t>通讯异常</t>
    <phoneticPr fontId="28" type="noConversion"/>
  </si>
  <si>
    <t>Check EVCC is unable to receive BMS's CAN message (B2E 0x144156F4) when BMS_WAKEUP (A+) is high.</t>
  </si>
  <si>
    <t>communication period
(A+ high)</t>
  </si>
  <si>
    <t>The testFail detected for 10 times. (each system wake-up counts as one cycle)</t>
  </si>
  <si>
    <t>BMS message received</t>
  </si>
  <si>
    <t>communication period</t>
  </si>
  <si>
    <t>CHARGING_CYCLE</t>
  </si>
  <si>
    <t>43</t>
  </si>
  <si>
    <r>
      <rPr>
        <sz val="12"/>
        <rFont val="MS Gothic"/>
        <family val="3"/>
        <charset val="128"/>
      </rPr>
      <t>無法進入充電狀態</t>
    </r>
    <r>
      <rPr>
        <sz val="12"/>
        <rFont val="Arial"/>
        <family val="2"/>
      </rPr>
      <t xml:space="preserve"> (S2</t>
    </r>
    <r>
      <rPr>
        <sz val="12"/>
        <rFont val="Microsoft JhengHei"/>
        <family val="2"/>
      </rPr>
      <t>接合失敗</t>
    </r>
    <r>
      <rPr>
        <sz val="12"/>
        <rFont val="Arial"/>
        <family val="2"/>
      </rPr>
      <t>)</t>
    </r>
    <phoneticPr fontId="28" type="noConversion"/>
  </si>
  <si>
    <r>
      <rPr>
        <sz val="12"/>
        <rFont val="Microsoft YaHei"/>
        <family val="3"/>
        <charset val="134"/>
      </rPr>
      <t>无法进入充电状态</t>
    </r>
    <r>
      <rPr>
        <sz val="12"/>
        <rFont val="Arial"/>
        <family val="3"/>
      </rPr>
      <t xml:space="preserve"> (S2</t>
    </r>
    <r>
      <rPr>
        <sz val="12"/>
        <rFont val="Microsoft YaHei"/>
        <family val="3"/>
        <charset val="134"/>
      </rPr>
      <t>接合失败</t>
    </r>
    <r>
      <rPr>
        <sz val="12"/>
        <rFont val="Arial"/>
        <family val="3"/>
      </rPr>
      <t>)</t>
    </r>
    <phoneticPr fontId="28" type="noConversion"/>
  </si>
  <si>
    <t>1. Fusion hardware abnormality (CP pin abnormality) 2. CP wire circuit abnormality</t>
    <phoneticPr fontId="28" type="noConversion"/>
  </si>
  <si>
    <t>1、Fusion硬體異常(CP腳位異常)
2. CP 電線回路異常</t>
  </si>
  <si>
    <t>1. Confirm EVSE can charge other vehicles
2. Reconnect the battery. If AC or DC charging fails, replace it with FDC.</t>
    <phoneticPr fontId="28" type="noConversion"/>
  </si>
  <si>
    <r>
      <rPr>
        <sz val="12"/>
        <rFont val="微軟正黑體"/>
        <family val="2"/>
        <charset val="136"/>
      </rPr>
      <t>1. 確認</t>
    </r>
    <r>
      <rPr>
        <sz val="12"/>
        <rFont val="Arial"/>
        <family val="2"/>
      </rPr>
      <t>EVSE</t>
    </r>
    <r>
      <rPr>
        <sz val="12"/>
        <rFont val="細明體"/>
        <family val="2"/>
        <charset val="136"/>
      </rPr>
      <t xml:space="preserve">可以對其他車輛充電
2. </t>
    </r>
    <r>
      <rPr>
        <sz val="12"/>
        <rFont val="微軟正黑體"/>
        <family val="2"/>
        <charset val="136"/>
      </rPr>
      <t>重新上下電瓶電，若都無法</t>
    </r>
    <r>
      <rPr>
        <sz val="12"/>
        <rFont val="Arial"/>
        <family val="2"/>
      </rPr>
      <t>AC</t>
    </r>
    <r>
      <rPr>
        <sz val="12"/>
        <rFont val="細明體"/>
        <family val="2"/>
        <charset val="136"/>
      </rPr>
      <t>、</t>
    </r>
    <r>
      <rPr>
        <sz val="12"/>
        <rFont val="Arial"/>
        <family val="2"/>
      </rPr>
      <t>DC</t>
    </r>
    <r>
      <rPr>
        <sz val="12"/>
        <rFont val="細明體"/>
        <family val="2"/>
        <charset val="136"/>
      </rPr>
      <t>充電則換</t>
    </r>
    <r>
      <rPr>
        <sz val="12"/>
        <rFont val="Arial"/>
        <family val="2"/>
      </rPr>
      <t xml:space="preserve"> FDC</t>
    </r>
    <phoneticPr fontId="28" type="noConversion"/>
  </si>
  <si>
    <r>
      <rPr>
        <sz val="12"/>
        <rFont val="細明體"/>
        <family val="2"/>
        <charset val="136"/>
      </rPr>
      <t>1. 确认</t>
    </r>
    <r>
      <rPr>
        <sz val="12"/>
        <rFont val="Arial"/>
        <family val="2"/>
      </rPr>
      <t>EVSE</t>
    </r>
    <r>
      <rPr>
        <sz val="12"/>
        <rFont val="細明體"/>
        <family val="2"/>
        <charset val="136"/>
      </rPr>
      <t>可以对其他车辆充电
2. 重新上下电瓶电，若都无法</t>
    </r>
    <r>
      <rPr>
        <sz val="12"/>
        <rFont val="Arial"/>
        <family val="2"/>
      </rPr>
      <t>AC</t>
    </r>
    <r>
      <rPr>
        <sz val="12"/>
        <rFont val="細明體"/>
        <family val="2"/>
        <charset val="136"/>
      </rPr>
      <t>、</t>
    </r>
    <r>
      <rPr>
        <sz val="12"/>
        <rFont val="Arial"/>
        <family val="2"/>
      </rPr>
      <t>DC</t>
    </r>
    <r>
      <rPr>
        <sz val="12"/>
        <rFont val="細明體"/>
        <family val="2"/>
        <charset val="136"/>
      </rPr>
      <t>充电则换</t>
    </r>
    <r>
      <rPr>
        <sz val="12"/>
        <rFont val="Arial"/>
        <family val="2"/>
      </rPr>
      <t xml:space="preserve"> FDC</t>
    </r>
    <phoneticPr fontId="28" type="noConversion"/>
  </si>
  <si>
    <t>Electrical failure</t>
  </si>
  <si>
    <t>After S2 switching, the target state cannot be reached within 10ms</t>
  </si>
  <si>
    <t>After controlling S2</t>
  </si>
  <si>
    <t>The testFail detected for 3 times. (from entering charging to leaving charging is counted as one charge)</t>
  </si>
  <si>
    <t>reach target state</t>
  </si>
  <si>
    <t>charging mode</t>
  </si>
  <si>
    <t>44</t>
  </si>
  <si>
    <r>
      <rPr>
        <sz val="12"/>
        <rFont val="MS Gothic"/>
        <family val="3"/>
        <charset val="128"/>
      </rPr>
      <t>無法進入充電待命狀態</t>
    </r>
    <r>
      <rPr>
        <sz val="12"/>
        <rFont val="Arial"/>
        <family val="3"/>
      </rPr>
      <t>(S2</t>
    </r>
    <r>
      <rPr>
        <sz val="12"/>
        <rFont val="Microsoft JhengHei"/>
        <family val="3"/>
      </rPr>
      <t>斷開失敗</t>
    </r>
    <r>
      <rPr>
        <sz val="12"/>
        <rFont val="Arial"/>
        <family val="3"/>
      </rPr>
      <t>)</t>
    </r>
    <phoneticPr fontId="28" type="noConversion"/>
  </si>
  <si>
    <r>
      <rPr>
        <sz val="12"/>
        <rFont val="Microsoft YaHei"/>
        <family val="3"/>
        <charset val="134"/>
      </rPr>
      <t>无法进入充电待命状态</t>
    </r>
    <r>
      <rPr>
        <sz val="12"/>
        <rFont val="Arial"/>
        <family val="3"/>
      </rPr>
      <t>(S2</t>
    </r>
    <r>
      <rPr>
        <sz val="12"/>
        <rFont val="Microsoft YaHei"/>
        <family val="3"/>
        <charset val="134"/>
      </rPr>
      <t>断开失败</t>
    </r>
    <r>
      <rPr>
        <sz val="12"/>
        <rFont val="Arial"/>
        <family val="3"/>
      </rPr>
      <t>)</t>
    </r>
    <phoneticPr fontId="28" type="noConversion"/>
  </si>
  <si>
    <t>1. Fusion hardware abnormality (CP pin abnormality) 2. CP wire circuit abnormality</t>
  </si>
  <si>
    <t>45</t>
  </si>
  <si>
    <t>Fusion 內部 PLC通訊模組失效</t>
  </si>
  <si>
    <t>Fusion hardware exception (PLC module exception)</t>
  </si>
  <si>
    <t>Fusion硬體異常(PLC模組異常)</t>
  </si>
  <si>
    <t>Cannot get PLC firmware version or cannot init PLC module</t>
  </si>
  <si>
    <t xml:space="preserve"> At EVCC start up</t>
  </si>
  <si>
    <t>The testFail detected for 3 times. (each system wake-up counts as one cycle)</t>
  </si>
  <si>
    <t>PLC communication is normal</t>
  </si>
  <si>
    <t>46</t>
  </si>
  <si>
    <t>B100505</t>
  </si>
  <si>
    <t>Fusion 內部 PWM模組失效</t>
  </si>
  <si>
    <t>Fusion hardware abnormality (PWM module abnormality)</t>
  </si>
  <si>
    <t>Fusion硬體異常(PWM模組異常)</t>
  </si>
  <si>
    <t>Unable to initiate the PWM capture function</t>
  </si>
  <si>
    <t>After starting PWM detection</t>
  </si>
  <si>
    <t>Complete the PWM start-up configuration</t>
  </si>
  <si>
    <t>47</t>
  </si>
  <si>
    <t>PLC 訊號傳送異常</t>
  </si>
  <si>
    <t>1. PLC module abnormality 2. External surge interference</t>
  </si>
  <si>
    <t>1. PLC模組異常
2. 外部突波干擾</t>
  </si>
  <si>
    <t>Recharging and powering off the battery</t>
  </si>
  <si>
    <t>電瓶重新上下電</t>
  </si>
  <si>
    <t>PLC is not responding and re-try fail</t>
  </si>
  <si>
    <t>When charging</t>
  </si>
  <si>
    <t>The testFail detected for 1 times. (from entering charging to leaving charging is counted as one charge)</t>
  </si>
  <si>
    <t>PLC transmission is normal</t>
  </si>
  <si>
    <t>48</t>
  </si>
  <si>
    <t>BMS通訊異常</t>
  </si>
  <si>
    <t>BMS communication handover abnormal</t>
  </si>
  <si>
    <t>BMS通訊交握異常</t>
  </si>
  <si>
    <t>500ms</t>
  </si>
  <si>
    <t>No B2E signal
 BmsChoiceChargeMode=DC 5 second timeout</t>
  </si>
  <si>
    <t>Communication with BMS is normal</t>
  </si>
  <si>
    <t>49</t>
  </si>
  <si>
    <t>BMS_WAKEUP 信號無法設定高凖位</t>
  </si>
  <si>
    <t>BMS_WAKEUP 信号无法设定高凖位</t>
  </si>
  <si>
    <t>1. Fusionu hardware abnormality (BMS_WAKEUP pin abnormality) 2. BMS_WAKEUP wire circuit abnormality</t>
  </si>
  <si>
    <t>1、Fusionu硬體異常
2. BMS_WAKEUP電線迴路異常</t>
  </si>
  <si>
    <t>1、Fusionu硬件异常
2. BMS_WAKEUP电线回路异常</t>
  </si>
  <si>
    <t>After BMS_WAKEUP (A+) switching, the target state cannot be reached within 10ms</t>
  </si>
  <si>
    <t>When changing A+ status</t>
  </si>
  <si>
    <t>BMS_WAKEUP 信號無法設定低凖位</t>
  </si>
  <si>
    <t>BMS_WAKEUP 信号无法设定低凖位</t>
  </si>
  <si>
    <t>1. Fusionu hardware abnormality (BMS_WAKEUP pin abnormality) 2. BMS_WAKEUP line circuit abnormality</t>
  </si>
  <si>
    <t>51</t>
  </si>
  <si>
    <t>充電樁電壓凖位異常</t>
  </si>
  <si>
    <t>The charging pile is abnormal</t>
  </si>
  <si>
    <t>充電樁異常</t>
  </si>
  <si>
    <t>The CP voltage of the charging pile exceeds the standard value
(CpFault != NO_ERROR)</t>
  </si>
  <si>
    <t>CP voltage level is normal</t>
  </si>
  <si>
    <t>52</t>
  </si>
  <si>
    <t>充電樁頻率異常</t>
  </si>
  <si>
    <t>1. The charging pile is abnormal. 2.Charging gun abnormality.</t>
  </si>
  <si>
    <t>1. 充電樁異常
2. 充電槍異常</t>
  </si>
  <si>
    <t>Charging pile frequency exceeds standard value
(_PlcChargeEnd = 0xC)
PwmFreqOK = False</t>
  </si>
  <si>
    <t>CP voltage frequency is normal</t>
  </si>
  <si>
    <t>53</t>
  </si>
  <si>
    <t>BMS充電異常停止</t>
  </si>
  <si>
    <t>1. The vehicle status does not allow charging.
2. BMS abnormality.</t>
  </si>
  <si>
    <t>1. 車輛狀態不允許充電
2. BMS 異常</t>
  </si>
  <si>
    <t>(BST) SPN3512 = 1 or (BST) SPN3513 = 1</t>
  </si>
  <si>
    <t>The testFail detected for 1 time. (from entering charging to leaving charging is counted as one charge)</t>
  </si>
  <si>
    <t>Communication is normal</t>
  </si>
  <si>
    <t>54</t>
  </si>
  <si>
    <r>
      <t>EVSE</t>
    </r>
    <r>
      <rPr>
        <sz val="12"/>
        <rFont val="MS Gothic"/>
        <family val="3"/>
        <charset val="128"/>
      </rPr>
      <t>充電異常通知停止充電</t>
    </r>
    <r>
      <rPr>
        <sz val="12"/>
        <rFont val="Arial"/>
        <family val="2"/>
      </rPr>
      <t xml:space="preserve"> (EVSE</t>
    </r>
    <r>
      <rPr>
        <sz val="12"/>
        <rFont val="Microsoft JhengHei"/>
        <family val="2"/>
      </rPr>
      <t>回覆</t>
    </r>
    <r>
      <rPr>
        <sz val="12"/>
        <rFont val="Arial"/>
        <family val="2"/>
      </rPr>
      <t>FAILED</t>
    </r>
    <r>
      <rPr>
        <sz val="12"/>
        <rFont val="Microsoft JhengHei"/>
        <family val="2"/>
      </rPr>
      <t>字串</t>
    </r>
    <r>
      <rPr>
        <sz val="12"/>
        <rFont val="Arial"/>
        <family val="2"/>
      </rPr>
      <t>)</t>
    </r>
    <phoneticPr fontId="28" type="noConversion"/>
  </si>
  <si>
    <r>
      <t>EVSE</t>
    </r>
    <r>
      <rPr>
        <sz val="12"/>
        <rFont val="細明體"/>
        <family val="2"/>
        <charset val="136"/>
      </rPr>
      <t>充电异常通知停止充电</t>
    </r>
    <r>
      <rPr>
        <sz val="12"/>
        <rFont val="Arial"/>
        <family val="2"/>
      </rPr>
      <t xml:space="preserve"> (EVSE</t>
    </r>
    <r>
      <rPr>
        <sz val="12"/>
        <rFont val="細明體"/>
        <family val="2"/>
        <charset val="136"/>
      </rPr>
      <t>回覆</t>
    </r>
    <r>
      <rPr>
        <sz val="12"/>
        <rFont val="Arial"/>
        <family val="2"/>
      </rPr>
      <t>FAILED</t>
    </r>
    <r>
      <rPr>
        <sz val="12"/>
        <rFont val="細明體"/>
        <family val="2"/>
        <charset val="136"/>
      </rPr>
      <t>字串</t>
    </r>
    <r>
      <rPr>
        <sz val="12"/>
        <rFont val="Arial"/>
        <family val="2"/>
      </rPr>
      <t>)</t>
    </r>
    <phoneticPr fontId="28" type="noConversion"/>
  </si>
  <si>
    <t>The charging pile is abnormal.</t>
  </si>
  <si>
    <t>_PlcChargeEnd = 3</t>
  </si>
  <si>
    <t>55</t>
  </si>
  <si>
    <t>充電通訊交握異常 (充電樁V2G訊號異常 timeout)</t>
  </si>
  <si>
    <t>充電通訊交握異常 (充電樁V2G訊號異常 Timeout )</t>
  </si>
  <si>
    <t>The charging pile is abnormal.</t>
    <phoneticPr fontId="28" type="noConversion"/>
  </si>
  <si>
    <t>充電樁異常</t>
    <phoneticPr fontId="28" type="noConversion"/>
  </si>
  <si>
    <t>充电桩异常</t>
    <phoneticPr fontId="28" type="noConversion"/>
  </si>
  <si>
    <t>_PlcChargeEnd = 2</t>
  </si>
  <si>
    <t>56</t>
  </si>
  <si>
    <r>
      <rPr>
        <sz val="12"/>
        <rFont val="MS Gothic"/>
        <family val="3"/>
        <charset val="128"/>
      </rPr>
      <t>充電通訊交握異常</t>
    </r>
    <r>
      <rPr>
        <sz val="12"/>
        <rFont val="Arial"/>
        <family val="2"/>
      </rPr>
      <t xml:space="preserve"> (</t>
    </r>
    <r>
      <rPr>
        <sz val="12"/>
        <rFont val="Microsoft JhengHei"/>
        <family val="2"/>
        <charset val="136"/>
      </rPr>
      <t>無法與</t>
    </r>
    <r>
      <rPr>
        <sz val="12"/>
        <rFont val="MS Gothic"/>
        <family val="3"/>
        <charset val="128"/>
      </rPr>
      <t>充電樁</t>
    </r>
    <r>
      <rPr>
        <sz val="12"/>
        <rFont val="Microsoft JhengHei"/>
        <family val="3"/>
      </rPr>
      <t>建立</t>
    </r>
    <r>
      <rPr>
        <sz val="12"/>
        <rFont val="Arial"/>
        <family val="2"/>
      </rPr>
      <t>SLAC</t>
    </r>
    <r>
      <rPr>
        <sz val="12"/>
        <rFont val="Microsoft JhengHei"/>
        <family val="2"/>
      </rPr>
      <t>連線</t>
    </r>
    <r>
      <rPr>
        <sz val="12"/>
        <rFont val="Arial"/>
        <family val="2"/>
      </rPr>
      <t>)</t>
    </r>
    <phoneticPr fontId="28" type="noConversion"/>
  </si>
  <si>
    <r>
      <rPr>
        <sz val="12"/>
        <rFont val="Microsoft YaHei"/>
        <family val="3"/>
        <charset val="134"/>
      </rPr>
      <t>充电通讯交握异常</t>
    </r>
    <r>
      <rPr>
        <sz val="12"/>
        <rFont val="Arial"/>
        <family val="3"/>
      </rPr>
      <t xml:space="preserve"> (</t>
    </r>
    <r>
      <rPr>
        <sz val="12"/>
        <rFont val="Microsoft YaHei"/>
        <family val="3"/>
        <charset val="134"/>
      </rPr>
      <t>无法与充电桩建立</t>
    </r>
    <r>
      <rPr>
        <sz val="12"/>
        <rFont val="Arial"/>
        <family val="3"/>
      </rPr>
      <t>SLAC</t>
    </r>
    <r>
      <rPr>
        <sz val="12"/>
        <rFont val="Microsoft YaHei"/>
        <family val="3"/>
        <charset val="134"/>
      </rPr>
      <t>连线</t>
    </r>
    <r>
      <rPr>
        <sz val="12"/>
        <rFont val="Arial"/>
        <family val="3"/>
      </rPr>
      <t>)</t>
    </r>
    <phoneticPr fontId="28" type="noConversion"/>
  </si>
  <si>
    <t>1. The charging pile is abnormal. 2. External surge interference.</t>
  </si>
  <si>
    <t>1. 充電樁異常
2. 外部突波干擾</t>
  </si>
  <si>
    <t>1. 充電樁異常
3. 外部突波干擾</t>
  </si>
  <si>
    <t>SlacState = FAILED</t>
  </si>
  <si>
    <t>57</t>
  </si>
  <si>
    <r>
      <rPr>
        <sz val="12"/>
        <rFont val="MS Gothic"/>
        <family val="3"/>
        <charset val="128"/>
      </rPr>
      <t>充電通訊交握異常</t>
    </r>
    <r>
      <rPr>
        <sz val="12"/>
        <rFont val="Arial"/>
        <family val="2"/>
      </rPr>
      <t xml:space="preserve"> (</t>
    </r>
    <r>
      <rPr>
        <sz val="12"/>
        <rFont val="MS Gothic"/>
        <family val="3"/>
        <charset val="128"/>
      </rPr>
      <t>充電樁</t>
    </r>
    <r>
      <rPr>
        <sz val="12"/>
        <rFont val="Arial"/>
        <family val="2"/>
      </rPr>
      <t>SLAC</t>
    </r>
    <r>
      <rPr>
        <sz val="12"/>
        <rFont val="Microsoft JhengHei"/>
        <family val="3"/>
      </rPr>
      <t>階段</t>
    </r>
    <r>
      <rPr>
        <sz val="12"/>
        <rFont val="Arial"/>
        <family val="3"/>
      </rPr>
      <t>re-try</t>
    </r>
    <r>
      <rPr>
        <sz val="12"/>
        <rFont val="Microsoft JhengHei"/>
        <family val="3"/>
      </rPr>
      <t>後仍無法建立連線</t>
    </r>
    <r>
      <rPr>
        <sz val="12"/>
        <rFont val="Arial"/>
        <family val="2"/>
      </rPr>
      <t>)</t>
    </r>
    <phoneticPr fontId="28" type="noConversion"/>
  </si>
  <si>
    <r>
      <rPr>
        <sz val="12"/>
        <rFont val="Microsoft YaHei"/>
        <family val="3"/>
        <charset val="134"/>
      </rPr>
      <t>充电通讯交握异常</t>
    </r>
    <r>
      <rPr>
        <sz val="12"/>
        <rFont val="Arial"/>
        <family val="3"/>
      </rPr>
      <t xml:space="preserve"> (</t>
    </r>
    <r>
      <rPr>
        <sz val="12"/>
        <rFont val="Microsoft YaHei"/>
        <family val="3"/>
        <charset val="134"/>
      </rPr>
      <t>充电桩</t>
    </r>
    <r>
      <rPr>
        <sz val="12"/>
        <rFont val="Arial"/>
        <family val="3"/>
      </rPr>
      <t>SLAC</t>
    </r>
    <r>
      <rPr>
        <sz val="12"/>
        <rFont val="Microsoft YaHei"/>
        <family val="3"/>
        <charset val="134"/>
      </rPr>
      <t>阶段</t>
    </r>
    <r>
      <rPr>
        <sz val="12"/>
        <rFont val="Arial"/>
        <family val="3"/>
      </rPr>
      <t>re-try</t>
    </r>
    <r>
      <rPr>
        <sz val="12"/>
        <rFont val="Microsoft YaHei"/>
        <family val="3"/>
        <charset val="134"/>
      </rPr>
      <t>后仍无法建立连线</t>
    </r>
    <r>
      <rPr>
        <sz val="12"/>
        <rFont val="Arial"/>
        <family val="3"/>
      </rPr>
      <t>)</t>
    </r>
    <phoneticPr fontId="28" type="noConversion"/>
  </si>
  <si>
    <t>TT_matching_repetition timeout</t>
  </si>
  <si>
    <t>58</t>
  </si>
  <si>
    <t>充電通訊交握異常 (充電樁SLAC訊號衰減超出範圍)</t>
  </si>
  <si>
    <t xml:space="preserve"> EVSE_NOT_FOUND
(Average_Attenuation  &gt; 45)</t>
  </si>
  <si>
    <t>59</t>
  </si>
  <si>
    <t>充電通訊交握異常 (充電樁SLAC 封包不符規範)</t>
  </si>
  <si>
    <t>charging pile SLAC packet does not comply with ISO standards</t>
  </si>
  <si>
    <t>60</t>
  </si>
  <si>
    <t>充電通訊交握異常 (充電樁 SDP 超時)</t>
  </si>
  <si>
    <t>SDP timeout</t>
  </si>
  <si>
    <t>61</t>
  </si>
  <si>
    <t>充電通訊交握異常 (充電樁 SDP 封包異常)</t>
  </si>
  <si>
    <t>Charging pile SDP packet abnormality</t>
  </si>
  <si>
    <t>62</t>
  </si>
  <si>
    <t>充電通訊交握異常 (充電樁 V2G 封包不符規範)</t>
  </si>
  <si>
    <t>charging pile V2G packet does not comply with ISO standards
(_PlcChargeEnd = 0xE)</t>
  </si>
  <si>
    <t>63</t>
  </si>
  <si>
    <t>充電通訊交握異常 (充電樁 TCP 封包異常)</t>
  </si>
  <si>
    <t>charging pile TCP packet abnormal</t>
  </si>
  <si>
    <t>充電通訊交握異常 (CpPwmDuty 5% 異常)</t>
  </si>
  <si>
    <t>充电通讯交握异常 (CpPwmDuty 5% 异常)</t>
  </si>
  <si>
    <t>_PlcChargeEnd = 4</t>
  </si>
  <si>
    <t>65</t>
  </si>
  <si>
    <t>充電通訊交握異常 (充電樁V2G訊號異常: Authorization  60Sec Timeout)</t>
  </si>
  <si>
    <t>充電通訊交握異常 (充電樁V2G訊號異常:Authorization  60Sec Timeout)</t>
  </si>
  <si>
    <t>_PlcChargeEnd = 5</t>
  </si>
  <si>
    <t>66</t>
  </si>
  <si>
    <t>充電通訊交握異常 (充電樁V2G訊號異常: ChargeParameterDiscovery timeout )</t>
  </si>
  <si>
    <t>充電通訊交握異常 (充電樁V2G訊號異常:ChargeParameterDiscovery Timeout  )</t>
  </si>
  <si>
    <t>_PlcChargeEnd = 6</t>
  </si>
  <si>
    <t>67</t>
  </si>
  <si>
    <t>充電通訊交握異常 (充電樁V2G訊號異常: InsulationCheck 40Sec timeout)</t>
  </si>
  <si>
    <t>充電通訊交握異常 (充電樁V2G訊號異常:InsulationCheck 40Sec Timeout)</t>
  </si>
  <si>
    <t>_PlcChargeEnd = 7</t>
  </si>
  <si>
    <t>68</t>
  </si>
  <si>
    <t>充電通訊交握異常 (充電樁V2G訊號異常: Precharge timeout)</t>
  </si>
  <si>
    <t>充電通訊交握異常 (充電樁V2G訊號異常:Precharge Timeout)</t>
  </si>
  <si>
    <t>_PlcChargeEnd = 8</t>
  </si>
  <si>
    <t>69</t>
  </si>
  <si>
    <t>充電通訊交握異常 (SALC-CM_SLAC_PARM 連線超時)</t>
  </si>
  <si>
    <t>充电通讯交握异常 (SALC-CM_SLAC_PARM 连线超时)</t>
  </si>
  <si>
    <t>re-try counter &gt; C_EV_match_retry(3)</t>
  </si>
  <si>
    <t>70</t>
  </si>
  <si>
    <t>充電通訊交握異常 (CM_ATTEN CHAR.IND 連線超時)</t>
  </si>
  <si>
    <t>充电通讯交握异常 (CM_ATTEN CHAR.IND 连线超时)</t>
  </si>
  <si>
    <t>Timer_TT_EV_atten_results (1200ms)</t>
  </si>
  <si>
    <t>71</t>
  </si>
  <si>
    <t>充電通訊交握異常 (SALC-CM_SLAC_MATCH 連線超時)</t>
  </si>
  <si>
    <t>充电通讯交握异常 (SALC-CM_SLAC_MATCH 连线超时)</t>
  </si>
  <si>
    <t>re-try counter &gt; C_EV_match_retry</t>
  </si>
  <si>
    <t>72</t>
  </si>
  <si>
    <t>充電通訊交握異常 (SLAC-CM_SET KEY連線超時)</t>
  </si>
  <si>
    <t>充电通讯交握异常 (SLAC-CM_SET KEY连线超时)</t>
  </si>
  <si>
    <t>SetKey TimeOut (500ms)</t>
  </si>
  <si>
    <t>73</t>
  </si>
  <si>
    <t>充電通訊交握異常 (SLAC-Dlink連線超時)</t>
  </si>
  <si>
    <t>充电通讯交握异常 (SLAC-Dlink连线超时)</t>
  </si>
  <si>
    <t>D-LINK_READY_LINK_ETABLISHED TimeOut (12000ms) ?
Timer_TT_match_join</t>
  </si>
  <si>
    <t>74</t>
  </si>
  <si>
    <t>充電通訊交握異常 (TCP/TLS 連線超時)</t>
  </si>
  <si>
    <t>充电通讯交握异常 (TCP/TLS 连线超时)</t>
  </si>
  <si>
    <t>SetupTimer &gt;= 20 Sec</t>
  </si>
  <si>
    <t>75</t>
  </si>
  <si>
    <t>充電通訊交握異常 (V2G SessionSetup 20sec超時)</t>
  </si>
  <si>
    <t>充电通讯交握异常 (V2G SessionSetup 20sec超时)</t>
  </si>
  <si>
    <t>_PlcChargeEnd = 9
SetupTimer &gt;= 20 Sec</t>
  </si>
  <si>
    <t>76</t>
  </si>
  <si>
    <t>充電通訊交握異常 (BMS DC連線超時)</t>
  </si>
  <si>
    <t>充电通讯交握异常 (BMS DC连线超时)</t>
  </si>
  <si>
    <t>_PlcChargeEnd = 0xA
WaitGBDCTimer &gt; 10 Sec ? (BmsChoiceChargeMode)</t>
  </si>
  <si>
    <t>77</t>
  </si>
  <si>
    <t>充電通訊交握異常 (ChargeParameterDiscoveryRes參數錯誤)</t>
  </si>
  <si>
    <t>充电通讯交握异常 (ChargeParameterDiscoveryRes参数错误)</t>
  </si>
  <si>
    <t>_PlcChargeEnd = B</t>
  </si>
  <si>
    <t>78</t>
  </si>
  <si>
    <t>充電通訊交握異常 (Plugin NG)</t>
  </si>
  <si>
    <t>充电通讯交握异常 (Plugin NG)</t>
  </si>
  <si>
    <t>_PlcChargeEnd = D</t>
  </si>
  <si>
    <t>79</t>
  </si>
  <si>
    <t>充電通訊交握異常 (PaymentOptions或ServiceCategory錯誤)</t>
  </si>
  <si>
    <t>充电通讯交握异常 (PaymentOptions或ServiceCategory错误)</t>
  </si>
  <si>
    <t>_PlcChargeEnd = F</t>
  </si>
  <si>
    <t>80</t>
  </si>
  <si>
    <t>充電通訊交握異常 (EnergyTransferType錯誤)</t>
  </si>
  <si>
    <t>充电通讯交握异常 (EnergyTransferType错误)</t>
  </si>
  <si>
    <t>_PlcChargeEnd = 0x10</t>
  </si>
  <si>
    <t>81</t>
  </si>
  <si>
    <r>
      <rPr>
        <sz val="12"/>
        <rFont val="微軟正黑體"/>
        <family val="2"/>
        <charset val="136"/>
      </rPr>
      <t>充電通訊交握異常</t>
    </r>
    <r>
      <rPr>
        <sz val="12"/>
        <rFont val="Arial"/>
        <family val="2"/>
      </rPr>
      <t xml:space="preserve"> (SAScheduleTupleID</t>
    </r>
    <r>
      <rPr>
        <sz val="12"/>
        <rFont val="微軟正黑體"/>
        <family val="2"/>
        <charset val="136"/>
      </rPr>
      <t>錯誤</t>
    </r>
    <r>
      <rPr>
        <sz val="12"/>
        <rFont val="Arial"/>
        <family val="2"/>
      </rPr>
      <t>)</t>
    </r>
    <phoneticPr fontId="28" type="noConversion"/>
  </si>
  <si>
    <r>
      <rPr>
        <sz val="12"/>
        <rFont val="微軟正黑體"/>
        <family val="2"/>
        <charset val="136"/>
      </rPr>
      <t>充电通讯交握异常</t>
    </r>
    <r>
      <rPr>
        <sz val="12"/>
        <rFont val="Arial"/>
        <family val="2"/>
      </rPr>
      <t xml:space="preserve"> (SAScheduleTupleID</t>
    </r>
    <r>
      <rPr>
        <sz val="12"/>
        <rFont val="微軟正黑體"/>
        <family val="2"/>
        <charset val="136"/>
      </rPr>
      <t>错误</t>
    </r>
    <r>
      <rPr>
        <sz val="12"/>
        <rFont val="Arial"/>
        <family val="2"/>
      </rPr>
      <t>)</t>
    </r>
    <phoneticPr fontId="28" type="noConversion"/>
  </si>
  <si>
    <t>_PlcChargeEnd = 0x11</t>
  </si>
  <si>
    <t>82</t>
  </si>
  <si>
    <t>充電通訊交握異常 (BmsChoiceChargeMode超時)</t>
  </si>
  <si>
    <t>充电通讯交握异常 (BmsChoiceChargeMode超时)</t>
  </si>
  <si>
    <t>_EvChargeEnd = 2</t>
  </si>
  <si>
    <t>83</t>
  </si>
  <si>
    <t>充電通訊交握異常 (BHM超時)</t>
  </si>
  <si>
    <t>充电通讯交握异常 (BHM超时)</t>
  </si>
  <si>
    <t>84</t>
  </si>
  <si>
    <t>充電通訊交握異常 (TimeoutRxBRM 超時)</t>
  </si>
  <si>
    <t>充电通讯交握异常 (TimeoutRxBRM 超时)</t>
  </si>
  <si>
    <t>85</t>
  </si>
  <si>
    <t>充電通訊交握異常 (TimeoutRxBCP 超時)</t>
  </si>
  <si>
    <t>充电通讯交握异常 (TimeoutRxBCP 超时)</t>
  </si>
  <si>
    <t>86</t>
  </si>
  <si>
    <t>充電通訊交握異常 (TimeoutRxBRO 超時)</t>
  </si>
  <si>
    <t>充电通讯交握异常 (TimeoutRxBRO 超时)</t>
  </si>
  <si>
    <t>87</t>
  </si>
  <si>
    <t>充電通訊交握異常 (TimeoutRxBCS 超時)</t>
  </si>
  <si>
    <t>充电通讯交握异常 (TimeoutRxBCS 超时)</t>
  </si>
  <si>
    <t>88</t>
  </si>
  <si>
    <t>充電通訊交握異常 (TimeoutRxBCL 超時)</t>
  </si>
  <si>
    <t>充电通讯交握异常 (TimeoutRxBCL 超时)</t>
  </si>
  <si>
    <t>89</t>
  </si>
  <si>
    <t>充電通訊交握異常 (TimeoutRxBST 超時)</t>
  </si>
  <si>
    <t>充电通讯交握异常 (TimeoutRxBST 超时)</t>
  </si>
  <si>
    <t>90</t>
  </si>
  <si>
    <t>充電通訊交握異常 (TimeRxBSD 超時)</t>
  </si>
  <si>
    <t>充电通讯交握异常 (TimeRxBSD 超时)</t>
  </si>
  <si>
    <t>91</t>
  </si>
  <si>
    <t>0x900532</t>
    <phoneticPr fontId="28" type="noConversion"/>
  </si>
  <si>
    <r>
      <rPr>
        <sz val="12"/>
        <rFont val="MS Gothic"/>
        <family val="3"/>
        <charset val="128"/>
      </rPr>
      <t>充電通訊交握異常</t>
    </r>
    <r>
      <rPr>
        <sz val="12"/>
        <rFont val="Arial"/>
        <family val="2"/>
      </rPr>
      <t xml:space="preserve"> (</t>
    </r>
    <r>
      <rPr>
        <sz val="12"/>
        <rFont val="Microsoft JhengHei"/>
        <family val="2"/>
        <charset val="136"/>
      </rPr>
      <t>停充階段</t>
    </r>
    <r>
      <rPr>
        <sz val="12"/>
        <rFont val="Arial"/>
        <family val="2"/>
      </rPr>
      <t>S2</t>
    </r>
    <r>
      <rPr>
        <sz val="12"/>
        <rFont val="MS Gothic"/>
        <family val="3"/>
        <charset val="128"/>
      </rPr>
      <t>斷開超時</t>
    </r>
    <r>
      <rPr>
        <sz val="12"/>
        <rFont val="Arial"/>
        <family val="2"/>
      </rPr>
      <t>)</t>
    </r>
    <phoneticPr fontId="28" type="noConversion"/>
  </si>
  <si>
    <r>
      <rPr>
        <sz val="12"/>
        <rFont val="MS Gothic"/>
        <family val="3"/>
        <charset val="128"/>
      </rPr>
      <t>充</t>
    </r>
    <r>
      <rPr>
        <sz val="12"/>
        <rFont val="Microsoft YaHei"/>
        <family val="2"/>
        <charset val="134"/>
      </rPr>
      <t>电通讯交握异常</t>
    </r>
    <r>
      <rPr>
        <sz val="12"/>
        <rFont val="Arial"/>
        <family val="2"/>
      </rPr>
      <t xml:space="preserve"> (</t>
    </r>
    <r>
      <rPr>
        <sz val="12"/>
        <rFont val="細明體"/>
        <family val="3"/>
        <charset val="136"/>
      </rPr>
      <t>停充阶段</t>
    </r>
    <r>
      <rPr>
        <sz val="12"/>
        <rFont val="Arial"/>
        <family val="2"/>
      </rPr>
      <t>S2</t>
    </r>
    <r>
      <rPr>
        <sz val="12"/>
        <rFont val="MS Gothic"/>
        <family val="3"/>
        <charset val="128"/>
      </rPr>
      <t>断开超</t>
    </r>
    <r>
      <rPr>
        <sz val="12"/>
        <rFont val="Microsoft YaHei"/>
        <family val="2"/>
        <charset val="134"/>
      </rPr>
      <t>时</t>
    </r>
    <r>
      <rPr>
        <sz val="12"/>
        <rFont val="Arial"/>
        <family val="2"/>
      </rPr>
      <t>)</t>
    </r>
    <phoneticPr fontId="28" type="noConversion"/>
  </si>
  <si>
    <t>92</t>
  </si>
  <si>
    <t>充電通訊交握異常 (V2gState切到OFF超時)</t>
  </si>
  <si>
    <t>充电通讯交握异常 (V2gState切到OFF超时)</t>
  </si>
  <si>
    <t>93</t>
  </si>
  <si>
    <t>充電通訊交握異常 (TimeoutRxCRM00超時)</t>
  </si>
  <si>
    <t>充电通讯交握异常 (TimeoutRxCRM00超时)</t>
  </si>
  <si>
    <t>_EvChargeEnd = 3</t>
  </si>
  <si>
    <t>94</t>
  </si>
  <si>
    <t>充電通訊交握異常 (TimeoutRxCRMAA超時)</t>
  </si>
  <si>
    <t>充电通讯交握异常 (TimeoutRxCRMAA超时)</t>
  </si>
  <si>
    <t>95</t>
  </si>
  <si>
    <t>B100536</t>
    <phoneticPr fontId="28" type="noConversion"/>
  </si>
  <si>
    <r>
      <rPr>
        <sz val="12"/>
        <rFont val="MS Gothic"/>
        <family val="3"/>
        <charset val="128"/>
      </rPr>
      <t>充電通訊交握異常</t>
    </r>
    <r>
      <rPr>
        <sz val="12"/>
        <rFont val="Arial"/>
        <family val="2"/>
      </rPr>
      <t xml:space="preserve"> (TimeoutRxCTSCML</t>
    </r>
    <r>
      <rPr>
        <sz val="12"/>
        <rFont val="MS Gothic"/>
        <family val="3"/>
        <charset val="128"/>
      </rPr>
      <t>超時</t>
    </r>
    <r>
      <rPr>
        <sz val="12"/>
        <rFont val="Arial"/>
        <family val="2"/>
      </rPr>
      <t>)</t>
    </r>
    <phoneticPr fontId="28" type="noConversion"/>
  </si>
  <si>
    <r>
      <rPr>
        <sz val="12"/>
        <rFont val="MS Gothic"/>
        <family val="3"/>
        <charset val="128"/>
      </rPr>
      <t>充</t>
    </r>
    <r>
      <rPr>
        <sz val="12"/>
        <rFont val="Microsoft YaHei"/>
        <family val="2"/>
        <charset val="134"/>
      </rPr>
      <t>电通讯交握异常</t>
    </r>
    <r>
      <rPr>
        <sz val="12"/>
        <rFont val="Arial"/>
        <family val="2"/>
      </rPr>
      <t xml:space="preserve"> (TimeoutRxCTSCML</t>
    </r>
    <r>
      <rPr>
        <sz val="12"/>
        <rFont val="MS Gothic"/>
        <family val="3"/>
        <charset val="128"/>
      </rPr>
      <t>超</t>
    </r>
    <r>
      <rPr>
        <sz val="12"/>
        <rFont val="Microsoft YaHei"/>
        <family val="2"/>
        <charset val="134"/>
      </rPr>
      <t>时</t>
    </r>
    <r>
      <rPr>
        <sz val="12"/>
        <rFont val="Arial"/>
        <family val="2"/>
      </rPr>
      <t>)</t>
    </r>
    <phoneticPr fontId="28" type="noConversion"/>
  </si>
  <si>
    <t>96</t>
  </si>
  <si>
    <r>
      <rPr>
        <sz val="12"/>
        <rFont val="MS Gothic"/>
        <family val="3"/>
        <charset val="128"/>
      </rPr>
      <t>充電通訊交握異常</t>
    </r>
    <r>
      <rPr>
        <sz val="12"/>
        <rFont val="Arial"/>
        <family val="2"/>
      </rPr>
      <t xml:space="preserve"> (BEM:</t>
    </r>
    <r>
      <rPr>
        <sz val="12"/>
        <rFont val="Microsoft JhengHei"/>
        <family val="2"/>
      </rPr>
      <t>非預期異常</t>
    </r>
    <r>
      <rPr>
        <sz val="12"/>
        <rFont val="Arial"/>
        <family val="2"/>
      </rPr>
      <t>)</t>
    </r>
    <phoneticPr fontId="28" type="noConversion"/>
  </si>
  <si>
    <r>
      <rPr>
        <sz val="12"/>
        <rFont val="MS Gothic"/>
        <family val="3"/>
        <charset val="128"/>
      </rPr>
      <t>充</t>
    </r>
    <r>
      <rPr>
        <sz val="12"/>
        <rFont val="Microsoft YaHei"/>
        <family val="2"/>
        <charset val="134"/>
      </rPr>
      <t>电通讯交握异常</t>
    </r>
    <r>
      <rPr>
        <sz val="12"/>
        <rFont val="Arial"/>
        <family val="2"/>
      </rPr>
      <t xml:space="preserve"> (BEM:</t>
    </r>
    <r>
      <rPr>
        <sz val="12"/>
        <rFont val="Microsoft YaHei"/>
        <family val="2"/>
        <charset val="134"/>
      </rPr>
      <t>非预期异常</t>
    </r>
    <r>
      <rPr>
        <sz val="12"/>
        <rFont val="Arial"/>
        <family val="2"/>
      </rPr>
      <t>)</t>
    </r>
    <phoneticPr fontId="28" type="noConversion"/>
  </si>
  <si>
    <t>97</t>
  </si>
  <si>
    <t>充電通訊交握異常 (TimeoutRxCRO超時)</t>
  </si>
  <si>
    <t>充电通讯交握异常 (TimeoutRxCRO超时)</t>
  </si>
  <si>
    <t>98</t>
  </si>
  <si>
    <t>充電通訊交握異常 (TimeoutRxCCS超時)</t>
  </si>
  <si>
    <t>充电通讯交握异常 (TimeoutRxCCS超时)</t>
  </si>
  <si>
    <t>99</t>
  </si>
  <si>
    <t>充電通訊交握異常 (TimeoutRxCST超時)</t>
  </si>
  <si>
    <t>充电通讯交握异常 (TimeoutRxCST超时)</t>
  </si>
  <si>
    <t>100</t>
  </si>
  <si>
    <t>B10053B</t>
    <phoneticPr fontId="28" type="noConversion"/>
  </si>
  <si>
    <r>
      <t>EVSE</t>
    </r>
    <r>
      <rPr>
        <sz val="12"/>
        <rFont val="微軟正黑體"/>
        <family val="2"/>
        <charset val="136"/>
      </rPr>
      <t>充電</t>
    </r>
    <r>
      <rPr>
        <sz val="12"/>
        <rFont val="Microsoft JhengHei"/>
        <family val="2"/>
      </rPr>
      <t>結束的</t>
    </r>
    <r>
      <rPr>
        <sz val="12"/>
        <rFont val="微軟正黑體"/>
        <family val="2"/>
        <charset val="136"/>
      </rPr>
      <t>電流</t>
    </r>
    <r>
      <rPr>
        <sz val="12"/>
        <rFont val="Microsoft JhengHei"/>
        <family val="2"/>
      </rPr>
      <t>沒</t>
    </r>
    <r>
      <rPr>
        <sz val="12"/>
        <rFont val="微軟正黑體"/>
        <family val="2"/>
        <charset val="136"/>
      </rPr>
      <t>降</t>
    </r>
    <r>
      <rPr>
        <sz val="12"/>
        <rFont val="Microsoft JhengHei"/>
        <family val="2"/>
      </rPr>
      <t>到</t>
    </r>
    <r>
      <rPr>
        <sz val="12"/>
        <rFont val="微軟正黑體"/>
        <family val="2"/>
        <charset val="136"/>
      </rPr>
      <t>最小值</t>
    </r>
    <r>
      <rPr>
        <sz val="12"/>
        <rFont val="Microsoft JhengHei"/>
        <family val="2"/>
        <charset val="136"/>
      </rPr>
      <t>以下</t>
    </r>
    <phoneticPr fontId="28" type="noConversion"/>
  </si>
  <si>
    <r>
      <t>EVSE</t>
    </r>
    <r>
      <rPr>
        <sz val="12"/>
        <rFont val="細明體"/>
        <family val="2"/>
        <charset val="136"/>
      </rPr>
      <t>充电结束的电流没降到最小值以下</t>
    </r>
    <phoneticPr fontId="28" type="noConversion"/>
  </si>
  <si>
    <t>EVSEMinimumCurrentLimit * 1.2
&gt; EVSEPresentCurrent ?</t>
    <phoneticPr fontId="28" type="noConversion"/>
  </si>
  <si>
    <t>101</t>
  </si>
  <si>
    <r>
      <rPr>
        <sz val="12"/>
        <rFont val="MS Gothic"/>
        <family val="3"/>
        <charset val="128"/>
      </rPr>
      <t>充電</t>
    </r>
    <r>
      <rPr>
        <sz val="12"/>
        <rFont val="Microsoft JhengHei"/>
        <family val="3"/>
      </rPr>
      <t>線絕緣異常</t>
    </r>
    <phoneticPr fontId="28" type="noConversion"/>
  </si>
  <si>
    <t>充电线绝缘异常</t>
  </si>
  <si>
    <t>_PlcChargeEnd = IsolationFault  (0x11)</t>
    <phoneticPr fontId="28" type="noConversion"/>
  </si>
  <si>
    <t>102</t>
  </si>
  <si>
    <r>
      <rPr>
        <sz val="12"/>
        <rFont val="MS Gothic"/>
        <family val="3"/>
        <charset val="128"/>
      </rPr>
      <t>充電</t>
    </r>
    <r>
      <rPr>
        <sz val="12"/>
        <rFont val="Microsoft JhengHei"/>
        <family val="3"/>
      </rPr>
      <t>樁緊急停止</t>
    </r>
    <phoneticPr fontId="28" type="noConversion"/>
  </si>
  <si>
    <t>充电桩紧急停止</t>
    <phoneticPr fontId="28" type="noConversion"/>
  </si>
  <si>
    <t>_PlcChargeEnd = 
EVSE_EmergencyShutdown"(0x13)</t>
    <phoneticPr fontId="28" type="noConversion"/>
  </si>
  <si>
    <t>103</t>
  </si>
  <si>
    <t>CAN 1 總線關閉</t>
  </si>
  <si>
    <t>CAN 1 总线关闭</t>
  </si>
  <si>
    <t>1.	CAN_H short to CAN_L
2.	CAN_H or CAN_L short to Battery or Ground.
3.	Transceiver fail</t>
  </si>
  <si>
    <r>
      <t>1. CAN_H</t>
    </r>
    <r>
      <rPr>
        <sz val="12"/>
        <rFont val="微軟正黑體"/>
        <family val="2"/>
        <charset val="136"/>
      </rPr>
      <t>短接</t>
    </r>
    <r>
      <rPr>
        <sz val="12"/>
        <rFont val="Arial"/>
        <family val="2"/>
      </rPr>
      <t xml:space="preserve">CAN_L
2. CAN_H </t>
    </r>
    <r>
      <rPr>
        <sz val="12"/>
        <rFont val="微軟正黑體"/>
        <family val="2"/>
        <charset val="136"/>
      </rPr>
      <t>或</t>
    </r>
    <r>
      <rPr>
        <sz val="12"/>
        <rFont val="Arial"/>
        <family val="2"/>
      </rPr>
      <t xml:space="preserve"> CAN_L </t>
    </r>
    <r>
      <rPr>
        <sz val="12"/>
        <rFont val="微軟正黑體"/>
        <family val="2"/>
        <charset val="136"/>
      </rPr>
      <t>對電池或接地短路。</t>
    </r>
    <phoneticPr fontId="28" type="noConversion"/>
  </si>
  <si>
    <t>ECU detected bus off.</t>
  </si>
  <si>
    <t>ECU BUS OFF state continues for 1 sec.</t>
  </si>
  <si>
    <t>ECU detected no bus off.</t>
  </si>
  <si>
    <t>Execute two level bus-off recovery according to FSE-F00500.</t>
  </si>
  <si>
    <t>aging Counter reach to 40.</t>
  </si>
  <si>
    <t xml:space="preserve">(F12)CAN_1_L 
(F13)CAN_1_H </t>
  </si>
  <si>
    <t>104</t>
  </si>
  <si>
    <t>CAN 2 總線關閉</t>
  </si>
  <si>
    <t>CAN 2 总线关闭</t>
  </si>
  <si>
    <t>ECU not in sleep mode.</t>
    <phoneticPr fontId="45" type="noConversion"/>
  </si>
  <si>
    <t xml:space="preserve">(IP19)CAN_2_L 
(IP20)CAN_2_H </t>
  </si>
  <si>
    <t>105</t>
  </si>
  <si>
    <t>CAN 3 總線關閉</t>
  </si>
  <si>
    <t>CAN 3 总线关闭</t>
  </si>
  <si>
    <t xml:space="preserve">(F14)CAN_3_L 
(F15)CAN_3_H </t>
  </si>
  <si>
    <t>106</t>
  </si>
  <si>
    <t>CAN 4 總線關閉</t>
  </si>
  <si>
    <t>CAN 4 总线关闭</t>
  </si>
  <si>
    <t xml:space="preserve">(IP21)CAN_4_L 
(IP22)CAN_4_H </t>
  </si>
  <si>
    <t>107</t>
  </si>
  <si>
    <t>CAN 5 總線關閉</t>
  </si>
  <si>
    <t>CAN 5 总线关闭</t>
  </si>
  <si>
    <t>(IP26)CAN_5_L (CAN_T-BOX_L)
(IP27)CAN_5_H (CAN_T-BOX_H)</t>
  </si>
  <si>
    <t>108</t>
  </si>
  <si>
    <t>CAN 6 總線關閉</t>
  </si>
  <si>
    <t>CAN 6 总线关闭</t>
  </si>
  <si>
    <t>(IP24)CAN_6_L (CAN_OBD_L)
(IP25)CAN_6_H (CAN_OBD_H)</t>
  </si>
  <si>
    <t>109</t>
  </si>
  <si>
    <t>CAN GBDC 總線關閉</t>
  </si>
  <si>
    <t>CAN GBDC 总线关闭</t>
  </si>
  <si>
    <t>(F21)CAN_GBDC1 L
(F22)CAN_GBDC1 H</t>
  </si>
  <si>
    <t>110</t>
  </si>
  <si>
    <r>
      <t xml:space="preserve">FUSION_B+ </t>
    </r>
    <r>
      <rPr>
        <sz val="12"/>
        <rFont val="微軟正黑體"/>
        <family val="2"/>
        <charset val="136"/>
      </rPr>
      <t>輸入電源電壓過高</t>
    </r>
    <phoneticPr fontId="28" type="noConversion"/>
  </si>
  <si>
    <t>Power Over Range</t>
  </si>
  <si>
    <t>供電電源超過範圍</t>
  </si>
  <si>
    <t>供电电源超过范围</t>
  </si>
  <si>
    <r>
      <rPr>
        <sz val="12"/>
        <rFont val="微軟正黑體"/>
        <family val="2"/>
        <charset val="136"/>
      </rPr>
      <t>檢查</t>
    </r>
    <r>
      <rPr>
        <sz val="12"/>
        <rFont val="Arial"/>
        <family val="2"/>
      </rPr>
      <t>CCU</t>
    </r>
    <r>
      <rPr>
        <sz val="12"/>
        <rFont val="Microsoft JhengHei"/>
        <family val="2"/>
      </rPr>
      <t>輸出</t>
    </r>
    <r>
      <rPr>
        <sz val="12"/>
        <rFont val="微軟正黑體"/>
        <family val="2"/>
        <charset val="136"/>
      </rPr>
      <t>供電</t>
    </r>
    <r>
      <rPr>
        <sz val="12"/>
        <rFont val="Arial"/>
        <family val="2"/>
        <charset val="136"/>
      </rPr>
      <t xml:space="preserve"> (</t>
    </r>
    <r>
      <rPr>
        <sz val="12"/>
        <rFont val="Microsoft JhengHei"/>
        <family val="2"/>
      </rPr>
      <t>接近</t>
    </r>
    <r>
      <rPr>
        <sz val="12"/>
        <rFont val="Arial"/>
        <family val="2"/>
        <charset val="136"/>
      </rPr>
      <t>B</t>
    </r>
    <r>
      <rPr>
        <sz val="12"/>
        <rFont val="Arial"/>
        <family val="2"/>
      </rPr>
      <t>+</t>
    </r>
    <r>
      <rPr>
        <sz val="12"/>
        <rFont val="Microsoft JhengHei"/>
        <family val="2"/>
      </rPr>
      <t>電壓</t>
    </r>
    <r>
      <rPr>
        <sz val="12"/>
        <rFont val="Arial"/>
        <family val="2"/>
      </rPr>
      <t>)</t>
    </r>
    <phoneticPr fontId="28" type="noConversion"/>
  </si>
  <si>
    <t>(F01)FUSION_B2+
(F02)FUSION_B1+</t>
  </si>
  <si>
    <t>111</t>
  </si>
  <si>
    <t>FUSION_B+ 輸入電源電壓過低</t>
  </si>
  <si>
    <r>
      <rPr>
        <sz val="12"/>
        <rFont val="微軟正黑體"/>
        <family val="2"/>
        <charset val="136"/>
      </rPr>
      <t>檢查</t>
    </r>
    <r>
      <rPr>
        <sz val="12"/>
        <rFont val="Arial"/>
        <family val="2"/>
      </rPr>
      <t>CCU</t>
    </r>
    <r>
      <rPr>
        <sz val="12"/>
        <rFont val="Microsoft JhengHei"/>
        <family val="2"/>
      </rPr>
      <t>輸出</t>
    </r>
    <r>
      <rPr>
        <sz val="12"/>
        <rFont val="微軟正黑體"/>
        <family val="2"/>
        <charset val="136"/>
      </rPr>
      <t>供電</t>
    </r>
    <r>
      <rPr>
        <sz val="12"/>
        <rFont val="Arial"/>
        <family val="2"/>
        <charset val="136"/>
      </rPr>
      <t xml:space="preserve">  (</t>
    </r>
    <r>
      <rPr>
        <sz val="12"/>
        <rFont val="細明體"/>
        <family val="2"/>
        <charset val="136"/>
      </rPr>
      <t>接近</t>
    </r>
    <r>
      <rPr>
        <sz val="12"/>
        <rFont val="Arial"/>
        <family val="2"/>
        <charset val="136"/>
      </rPr>
      <t>B+</t>
    </r>
    <r>
      <rPr>
        <sz val="12"/>
        <rFont val="細明體"/>
        <family val="2"/>
        <charset val="136"/>
      </rPr>
      <t>電壓</t>
    </r>
    <r>
      <rPr>
        <sz val="12"/>
        <rFont val="Arial"/>
        <family val="2"/>
        <charset val="136"/>
      </rPr>
      <t>)</t>
    </r>
    <phoneticPr fontId="28" type="noConversion"/>
  </si>
  <si>
    <t>112</t>
  </si>
  <si>
    <t>FDC 失效安全觸發</t>
  </si>
  <si>
    <t>FDC 失效安全触发</t>
  </si>
  <si>
    <t>1. FDC hardware is damaged(I2C communicatioin fail, PMIC failure)
2. FDC system operation abnormal</t>
  </si>
  <si>
    <t>1. FDC 硬體損壞(I2C 通訊異常, 電源管理 IC 異常)
2. FDC 系統運行異常</t>
  </si>
  <si>
    <t>1. FDC 硬体损坏(I2C 通讯异常, 电源管理 IC 异常)
2. FDC 系统运行异常</t>
  </si>
  <si>
    <t>1. Check if FDC hardware is damaged
2. Replace FDC</t>
  </si>
  <si>
    <r>
      <t xml:space="preserve">1. </t>
    </r>
    <r>
      <rPr>
        <sz val="12"/>
        <rFont val="微軟正黑體"/>
        <family val="2"/>
        <charset val="136"/>
      </rPr>
      <t>置換</t>
    </r>
    <r>
      <rPr>
        <sz val="12"/>
        <rFont val="Arial"/>
        <family val="2"/>
      </rPr>
      <t xml:space="preserve"> FDC
2. </t>
    </r>
    <r>
      <rPr>
        <sz val="12"/>
        <rFont val="微軟正黑體"/>
        <family val="2"/>
        <charset val="136"/>
      </rPr>
      <t>檢查是否有其他異常故障碼。</t>
    </r>
    <phoneticPr fontId="28" type="noConversion"/>
  </si>
  <si>
    <t>1. 检查Fusion硬体是否损坏
2. 置换 FDC</t>
  </si>
  <si>
    <t>0x40</t>
    <phoneticPr fontId="45" type="noConversion"/>
  </si>
  <si>
    <t>Fusion system fault.</t>
  </si>
  <si>
    <t>Event trigger</t>
  </si>
  <si>
    <t>Fusion wake-up from a PMIC watchdog reset event</t>
  </si>
  <si>
    <t>Fusion wake-up</t>
  </si>
  <si>
    <t>Fusion wake-up from a WISR event</t>
  </si>
  <si>
    <t>113</t>
  </si>
  <si>
    <t>FDC 未知原因喚醒</t>
  </si>
  <si>
    <t>FDC 未知原因唤醒</t>
  </si>
  <si>
    <t>Fusion wake-up detect unknow PMIC boot reason</t>
  </si>
  <si>
    <t>Fusion wake-up detect correct PMIC boot reason</t>
  </si>
  <si>
    <t>114</t>
  </si>
  <si>
    <t>FDC 電源重啟喚醒</t>
  </si>
  <si>
    <t>FDC 电源重启唤醒</t>
  </si>
  <si>
    <t>1. FDC power supply reset
2. HV battery is unable charge LV battery which causes run out of battery.
3. Intentionally or accidentally disconnect the battery</t>
  </si>
  <si>
    <t>1. 人為 FDC 供電重啟
2. 小電瓶電壓過低
3. 供電系統異常</t>
  </si>
  <si>
    <t>1. Check the HV battery to LV battery charging system.
2. Check the connection of LV battery.
3. Check if another DTC show up.</t>
  </si>
  <si>
    <t>1. 檢查小電瓶是否損壞或電量過低。
2. 檢查電源相關迴路是否有異常。
3. 檢查是否有其他異常故障碼。</t>
  </si>
  <si>
    <t>1. 检查小电瓶是否损坏或电量过低。
2. 检查电源相关回路是否有异常。
3. 检查是否有其他异常故障码。</t>
  </si>
  <si>
    <t>Fusion wake-up detect code-start</t>
  </si>
  <si>
    <t>115</t>
  </si>
  <si>
    <t>FDC PMIC standby timer 喚醒</t>
  </si>
  <si>
    <t>FDC PMIC standby timer 唤醒</t>
  </si>
  <si>
    <t>FDC general wake-up soure not triggered</t>
  </si>
  <si>
    <t>FDC 一般喚醒源未曾正確觸發</t>
  </si>
  <si>
    <t>FDC 一般唤醒源未曾正确触发</t>
  </si>
  <si>
    <t>1. Check if FDC hardware is damaged
2. Replace FDC
3. Check if another DTC show up.</t>
  </si>
  <si>
    <t>1. 检查Fusion硬体是否损坏
2. 置换 FDC
3. 检查是否有其他异常故障码。</t>
  </si>
  <si>
    <t>Fusion wake-up from standby timer</t>
  </si>
  <si>
    <t>116</t>
  </si>
  <si>
    <t>FDC 12V load switch 回報異常</t>
  </si>
  <si>
    <t>FDC 12V load switch 回报异常</t>
  </si>
  <si>
    <t>1. FDC hardware is damaged(I2C communicatioin fail)
2. FDC power supply abnormal</t>
  </si>
  <si>
    <t>1. FDC 硬體損壞
2. 供電系統異常</t>
  </si>
  <si>
    <t>1. FDC 硬体损坏
2. 供电系统异常</t>
  </si>
  <si>
    <t>1. Check the HV battery to LV battery charging system.
2. Check the connection of LV battery.
3. Check if another DTC show up.
4. Check if FDC hardware is damaged
5. Replace FDC</t>
  </si>
  <si>
    <r>
      <t xml:space="preserve">1. </t>
    </r>
    <r>
      <rPr>
        <sz val="12"/>
        <rFont val="微軟正黑體"/>
        <family val="2"/>
        <charset val="136"/>
      </rPr>
      <t xml:space="preserve">檢查小電瓶是否損壞或電量過低。
</t>
    </r>
    <r>
      <rPr>
        <sz val="12"/>
        <rFont val="Arial"/>
        <family val="2"/>
      </rPr>
      <t xml:space="preserve">2. </t>
    </r>
    <r>
      <rPr>
        <sz val="12"/>
        <rFont val="微軟正黑體"/>
        <family val="2"/>
        <charset val="136"/>
      </rPr>
      <t xml:space="preserve">檢查電源相關迴路是否有異常。
</t>
    </r>
    <r>
      <rPr>
        <sz val="12"/>
        <rFont val="Arial"/>
        <family val="2"/>
      </rPr>
      <t xml:space="preserve">3. </t>
    </r>
    <r>
      <rPr>
        <sz val="12"/>
        <rFont val="微軟正黑體"/>
        <family val="2"/>
        <charset val="136"/>
      </rPr>
      <t xml:space="preserve">檢查是否有其他異常故障碼。
</t>
    </r>
    <r>
      <rPr>
        <sz val="12"/>
        <rFont val="Arial"/>
        <family val="2"/>
      </rPr>
      <t xml:space="preserve">4. </t>
    </r>
    <r>
      <rPr>
        <sz val="12"/>
        <rFont val="微軟正黑體"/>
        <family val="2"/>
        <charset val="136"/>
      </rPr>
      <t>置換</t>
    </r>
    <r>
      <rPr>
        <sz val="12"/>
        <rFont val="Arial"/>
        <family val="2"/>
      </rPr>
      <t xml:space="preserve"> FDC</t>
    </r>
    <phoneticPr fontId="28" type="noConversion"/>
  </si>
  <si>
    <t>1. 检查小电瓶是否损坏或电量过低。
2. 检查电源相关回路是否有异常。
3. 检查是否有其他异常故障码。
4. 检查Fusion硬体是否损坏
5. 置换 FDC。</t>
  </si>
  <si>
    <t>IO expander U28 read P12V_FAULT == LOW</t>
  </si>
  <si>
    <t>Fusion running</t>
  </si>
  <si>
    <t>IO expander U28 read P12V_FAULT == HIGH</t>
  </si>
  <si>
    <t>None</t>
  </si>
  <si>
    <t>117</t>
  </si>
  <si>
    <t>FDC IO expander U26 通訊失敗</t>
  </si>
  <si>
    <t>FDC IO expander U26 通讯失败</t>
  </si>
  <si>
    <t>FDC hardware is damaged(I2C communicatioin fail, IO expander U26 malfunction)</t>
  </si>
  <si>
    <t>FDC 硬體損壞(I2C 通訊異常, IO expander U26 部件故障)</t>
  </si>
  <si>
    <t>FDC 硬体损坏(I2C 通讯异常, IO expander U26 部件故障)</t>
  </si>
  <si>
    <r>
      <t xml:space="preserve">1. </t>
    </r>
    <r>
      <rPr>
        <sz val="12"/>
        <rFont val="細明體"/>
        <family val="2"/>
        <charset val="136"/>
      </rPr>
      <t>檢查</t>
    </r>
    <r>
      <rPr>
        <sz val="12"/>
        <rFont val="Arial"/>
        <family val="2"/>
      </rPr>
      <t>Fusion</t>
    </r>
    <r>
      <rPr>
        <sz val="12"/>
        <rFont val="細明體"/>
        <family val="2"/>
        <charset val="136"/>
      </rPr>
      <t>硬體是否損壞</t>
    </r>
    <r>
      <rPr>
        <sz val="12"/>
        <rFont val="Arial"/>
        <family val="2"/>
      </rPr>
      <t xml:space="preserve">
2. </t>
    </r>
    <r>
      <rPr>
        <sz val="12"/>
        <rFont val="細明體"/>
        <family val="2"/>
        <charset val="136"/>
      </rPr>
      <t>置換</t>
    </r>
    <r>
      <rPr>
        <sz val="12"/>
        <rFont val="Arial"/>
        <family val="2"/>
      </rPr>
      <t xml:space="preserve"> FDC</t>
    </r>
    <phoneticPr fontId="28" type="noConversion"/>
  </si>
  <si>
    <t>50ms</t>
  </si>
  <si>
    <t>IO expander read/write fail</t>
  </si>
  <si>
    <t>IO expander read/write success</t>
  </si>
  <si>
    <t>I2C0 re-initialization</t>
  </si>
  <si>
    <t>118</t>
  </si>
  <si>
    <t>FDC IO expander U27 通訊失敗</t>
  </si>
  <si>
    <t>FDC IO expander U27 通讯失败</t>
  </si>
  <si>
    <t>FDC hardware is damaged(I2C communicatioin fail, IO expander U27 malfunction)</t>
  </si>
  <si>
    <t>FDC 硬體損壞(I2C 通訊異常, IO expander U27 部件故障)</t>
  </si>
  <si>
    <t>FDC 硬体损坏(I2C 通讯异常, IO expander U27 部件故障)</t>
  </si>
  <si>
    <t>119</t>
  </si>
  <si>
    <t>FDC IO expander U28 通訊失敗</t>
  </si>
  <si>
    <t>FDC IO expander U28 通讯失败</t>
  </si>
  <si>
    <t>FDC hardware is damaged(I2C communicatioin fail, IO expander U28 malfunction)</t>
  </si>
  <si>
    <t>FDC 硬體損壞(I2C 通訊異常, IO expander U28 部件故障)</t>
  </si>
  <si>
    <t>FDC 硬体损坏(I2C 通讯异常, IO expander U28 部件故障)</t>
  </si>
  <si>
    <t>120</t>
  </si>
  <si>
    <t>FDC TPMS 通訊異常</t>
  </si>
  <si>
    <t>FDC TPMS 通讯异常</t>
  </si>
  <si>
    <t>FDC hardware is damaged(SPI communication fail, TPMS parts malfunction)</t>
  </si>
  <si>
    <t>FDC 硬體損壞(SPI 通訊異常, TPMS 部件異常)</t>
  </si>
  <si>
    <t>FDC 硬体损坏(SPI 通讯异常, TPMS 部件异常)</t>
  </si>
  <si>
    <t>TPMS read/write fail</t>
  </si>
  <si>
    <t>TPMS read/write success</t>
  </si>
  <si>
    <t>121</t>
  </si>
  <si>
    <t>FDC DSI3 通訊異常</t>
  </si>
  <si>
    <t>FDC DSI3 通讯异常</t>
  </si>
  <si>
    <t>FDC hardware is damaged(SPI communication fail, DSI3 parts malfunction)</t>
  </si>
  <si>
    <t>FDC 硬體損壞(SPI 通訊異常, DSI3 部件異常)</t>
  </si>
  <si>
    <t>FDC 硬体损坏(SPI 通讯异常, DSI3 部件异常)</t>
  </si>
  <si>
    <t>DSI3 read/write fail</t>
  </si>
  <si>
    <t>DSI3 read/write success</t>
  </si>
  <si>
    <t>122</t>
  </si>
  <si>
    <t>FDC IMU 通訊異常</t>
  </si>
  <si>
    <t>FDC IMU 通讯异常</t>
  </si>
  <si>
    <t>FDC hardware is damaged(SPI communication fail, IMU parts malfunction)</t>
  </si>
  <si>
    <t>FDC 硬體損壞(SPI 通訊異常, IMU 部件異常)</t>
  </si>
  <si>
    <t>FDC 硬体损坏(SPI 通讯异常, IMU 部件异常)</t>
  </si>
  <si>
    <t>IMU read/write fail</t>
  </si>
  <si>
    <t>IMU read/write success</t>
  </si>
  <si>
    <t>123</t>
  </si>
  <si>
    <t>FDC I2C0 通訊異常</t>
  </si>
  <si>
    <t>FDC I2C0 通讯异常</t>
  </si>
  <si>
    <t>124</t>
  </si>
  <si>
    <t>FDC EEPROM 鍵值儲存讀取異常</t>
  </si>
  <si>
    <t>FDC EEPROM 键值储存读取异常</t>
  </si>
  <si>
    <t>FDC hardware is damaged(I2C4 communication fail, EEPROM part malfunction)</t>
  </si>
  <si>
    <t>FDC 硬體損壞(I2C4 通訊異常, EEPROM 部件異常)</t>
  </si>
  <si>
    <t>FDC 硬体损坏(I2C4 通讯异常, EEPROM 部件异常)</t>
  </si>
  <si>
    <t>EEPROM read/write/verify fail</t>
  </si>
  <si>
    <t>125</t>
  </si>
  <si>
    <r>
      <t xml:space="preserve">CAN 1 </t>
    </r>
    <r>
      <rPr>
        <sz val="12"/>
        <rFont val="微軟正黑體"/>
        <family val="2"/>
        <charset val="136"/>
      </rPr>
      <t>总线关闭</t>
    </r>
    <phoneticPr fontId="28" type="noConversion"/>
  </si>
  <si>
    <t>0x22</t>
    <phoneticPr fontId="28" type="noConversion"/>
  </si>
  <si>
    <t>V</t>
    <phoneticPr fontId="28" type="noConversion"/>
  </si>
  <si>
    <t>ISO/SAE controlled</t>
    <phoneticPr fontId="28" type="noConversion"/>
  </si>
  <si>
    <t>126</t>
  </si>
  <si>
    <t>127</t>
  </si>
  <si>
    <t>128</t>
  </si>
  <si>
    <t>129</t>
  </si>
  <si>
    <t>130</t>
  </si>
  <si>
    <t>131</t>
  </si>
  <si>
    <t>(F21)CAN_GBDC1 L
(F22)CAN_GBDC1 H</t>
    <phoneticPr fontId="28" type="noConversion"/>
  </si>
  <si>
    <t>132</t>
  </si>
  <si>
    <t>CAN DKC bus off failure</t>
  </si>
  <si>
    <r>
      <t xml:space="preserve">CAN DKC </t>
    </r>
    <r>
      <rPr>
        <sz val="12"/>
        <rFont val="微軟正黑體"/>
        <family val="2"/>
        <charset val="136"/>
      </rPr>
      <t>總線關閉</t>
    </r>
    <phoneticPr fontId="28" type="noConversion"/>
  </si>
  <si>
    <r>
      <t xml:space="preserve">CAN DKC </t>
    </r>
    <r>
      <rPr>
        <sz val="12"/>
        <rFont val="微軟正黑體"/>
        <family val="2"/>
        <charset val="136"/>
      </rPr>
      <t>总线关闭</t>
    </r>
    <phoneticPr fontId="28" type="noConversion"/>
  </si>
  <si>
    <t>133</t>
  </si>
  <si>
    <t>U00288F</t>
  </si>
  <si>
    <t>0xC0288F</t>
    <phoneticPr fontId="28" type="noConversion"/>
  </si>
  <si>
    <t>CAN 1 Communcation Bus Error</t>
  </si>
  <si>
    <t>CAN 1 通訊異常</t>
    <phoneticPr fontId="28" type="noConversion"/>
  </si>
  <si>
    <t>CAN 1 通讯异常</t>
    <phoneticPr fontId="28" type="noConversion"/>
  </si>
  <si>
    <t>1. CAN hardware failure, including CAN-H and CAN-L;
2. Bus line is broken;
3. Bus is interfered;
4. Random hardware failure of other network node;</t>
    <phoneticPr fontId="28" type="noConversion"/>
  </si>
  <si>
    <t>1. CAN硬體故障，包括CAN-H和CAN-L；
2. 匯流排線路斷線；
3. 匯流排受到幹擾；
4. 其他網路節點隨機硬體失效；</t>
    <phoneticPr fontId="28" type="noConversion"/>
  </si>
  <si>
    <t>1. CAN硬件故障，包括CAN-H和CAN-L；
2. 总线线路断线；
3. 总线受到干扰；
4. 其他网络节点随机硬件失效；</t>
    <phoneticPr fontId="28" type="noConversion"/>
  </si>
  <si>
    <t>1. Check the connector contact status 
2. Check for broken lines 
3. Check whether ECU power supply is abnormal(Same 12Vbattery voltage)
4. Confirm whether there is any noise interference caused by non-original power equipment</t>
    <phoneticPr fontId="28" type="noConversion"/>
  </si>
  <si>
    <t>1.檢查連接器接觸狀態
2.檢查線路破損
3.檢查控制器供電是否異常(同12V電瓶電壓)
4.確認是否有非原廠功率設備導致雜訊干擾</t>
    <phoneticPr fontId="28" type="noConversion"/>
  </si>
  <si>
    <t>1.检查连接器接触状态
2.检查线路破损
3.检查控制器供电是否异常(同12V电瓶电压)
4.确认是否有非原厂功率设备导致噪声干扰</t>
    <phoneticPr fontId="28" type="noConversion"/>
  </si>
  <si>
    <t>ECU CAN controller Tx or Rx error count &gt; 0.</t>
  </si>
  <si>
    <t>Vehicle power state is in ON or Ready.</t>
  </si>
  <si>
    <t>ECU CAN controller Tx and Rx error count = 0.</t>
  </si>
  <si>
    <t>None.</t>
  </si>
  <si>
    <t>aging Counter reach to 20.</t>
  </si>
  <si>
    <t>Smart factory</t>
    <phoneticPr fontId="28" type="noConversion"/>
  </si>
  <si>
    <t>20</t>
    <phoneticPr fontId="28" type="noConversion"/>
  </si>
  <si>
    <t>134</t>
  </si>
  <si>
    <t>U00378F</t>
  </si>
  <si>
    <t>0xC0378F</t>
    <phoneticPr fontId="28" type="noConversion"/>
  </si>
  <si>
    <t>CAN 2 通訊異常</t>
    <phoneticPr fontId="28" type="noConversion"/>
  </si>
  <si>
    <t>CAN 2 通讯异常</t>
    <phoneticPr fontId="28" type="noConversion"/>
  </si>
  <si>
    <t>135</t>
  </si>
  <si>
    <t>U00468F</t>
  </si>
  <si>
    <t>0xC0468F</t>
    <phoneticPr fontId="28" type="noConversion"/>
  </si>
  <si>
    <t>CAN 3 通訊異常</t>
    <phoneticPr fontId="28" type="noConversion"/>
  </si>
  <si>
    <t>CAN 3 通讯异常</t>
    <phoneticPr fontId="28" type="noConversion"/>
  </si>
  <si>
    <t>136</t>
  </si>
  <si>
    <t>U00558F</t>
  </si>
  <si>
    <t>0xC0558F</t>
    <phoneticPr fontId="28" type="noConversion"/>
  </si>
  <si>
    <t>CAN 4 通訊異常</t>
    <phoneticPr fontId="28" type="noConversion"/>
  </si>
  <si>
    <t>CAN 4 通讯异常</t>
    <phoneticPr fontId="28" type="noConversion"/>
  </si>
  <si>
    <t>137</t>
  </si>
  <si>
    <t>U00648F</t>
  </si>
  <si>
    <t>0xC0648F</t>
    <phoneticPr fontId="28" type="noConversion"/>
  </si>
  <si>
    <t>CAN 5 通訊異常</t>
    <phoneticPr fontId="28" type="noConversion"/>
  </si>
  <si>
    <t>CAN 5 通讯异常</t>
    <phoneticPr fontId="28" type="noConversion"/>
  </si>
  <si>
    <t>138</t>
  </si>
  <si>
    <t>U00808F</t>
  </si>
  <si>
    <t>0xC0808F</t>
    <phoneticPr fontId="28" type="noConversion"/>
  </si>
  <si>
    <t>CAN 6 通訊異常</t>
    <phoneticPr fontId="28" type="noConversion"/>
  </si>
  <si>
    <t>CAN 6 通讯异常</t>
    <phoneticPr fontId="28" type="noConversion"/>
  </si>
  <si>
    <t>139</t>
  </si>
  <si>
    <t>U00898F</t>
  </si>
  <si>
    <t>0xC0898F</t>
    <phoneticPr fontId="28" type="noConversion"/>
  </si>
  <si>
    <t>CAN GBDC Communcation Bus Error</t>
  </si>
  <si>
    <t>CAN GBDC 通訊異常</t>
    <phoneticPr fontId="28" type="noConversion"/>
  </si>
  <si>
    <t>CAN GBDC 通讯异常</t>
    <phoneticPr fontId="28" type="noConversion"/>
  </si>
  <si>
    <t>140</t>
  </si>
  <si>
    <t>U00928F</t>
  </si>
  <si>
    <t>0xC0928F</t>
    <phoneticPr fontId="28" type="noConversion"/>
  </si>
  <si>
    <t>CAN DKC Communcation Bus Error</t>
  </si>
  <si>
    <t>CAN DKC 通訊異常</t>
    <phoneticPr fontId="28" type="noConversion"/>
  </si>
  <si>
    <t>CAN DKC1 通讯异常</t>
    <phoneticPr fontId="28" type="noConversion"/>
  </si>
  <si>
    <t>141</t>
  </si>
  <si>
    <t>MDA初始化失敗</t>
  </si>
  <si>
    <t>MDA初始化失败</t>
  </si>
  <si>
    <t>FDC initialization failed. Possible reasons are:
(1)FDC software abnormality
(2)FDC hardware is damaged</t>
  </si>
  <si>
    <t>MDA初始化失敗，可能原因為：
(1)FDC軟體異常
(2)FDC硬體損壞</t>
  </si>
  <si>
    <t>MDA初始化失败，可能原因为：
(1)FDC软件异常
(2)FDC硬件损坏</t>
  </si>
  <si>
    <t>1. Temporarily remove battery for a while (5~10s) and connect it back to restarting fusion domain controller.</t>
  </si>
  <si>
    <r>
      <t>(1)</t>
    </r>
    <r>
      <rPr>
        <sz val="12"/>
        <rFont val="微軟正黑體"/>
        <family val="2"/>
        <charset val="136"/>
      </rPr>
      <t>分析</t>
    </r>
    <r>
      <rPr>
        <sz val="12"/>
        <rFont val="Arial"/>
        <family val="2"/>
      </rPr>
      <t>OTA</t>
    </r>
    <r>
      <rPr>
        <sz val="12"/>
        <rFont val="微軟正黑體"/>
        <family val="2"/>
        <charset val="136"/>
      </rPr>
      <t>相關</t>
    </r>
    <r>
      <rPr>
        <sz val="12"/>
        <rFont val="Arial"/>
        <family val="2"/>
      </rPr>
      <t>log</t>
    </r>
    <r>
      <rPr>
        <sz val="12"/>
        <rFont val="微軟正黑體"/>
        <family val="2"/>
        <charset val="136"/>
      </rPr>
      <t xml:space="preserve">檔。
</t>
    </r>
    <r>
      <rPr>
        <sz val="12"/>
        <rFont val="Arial"/>
        <family val="2"/>
      </rPr>
      <t>(2)</t>
    </r>
    <r>
      <rPr>
        <sz val="12"/>
        <rFont val="微軟正黑體"/>
        <family val="2"/>
        <charset val="136"/>
      </rPr>
      <t>透過診斷器刷新</t>
    </r>
    <r>
      <rPr>
        <sz val="12"/>
        <rFont val="Arial"/>
        <family val="2"/>
      </rPr>
      <t>FDC</t>
    </r>
    <r>
      <rPr>
        <sz val="12"/>
        <rFont val="微軟正黑體"/>
        <family val="2"/>
        <charset val="136"/>
      </rPr>
      <t xml:space="preserve">軟體。
</t>
    </r>
    <r>
      <rPr>
        <sz val="12"/>
        <rFont val="Arial"/>
        <family val="2"/>
      </rPr>
      <t>(3)</t>
    </r>
    <r>
      <rPr>
        <sz val="12"/>
        <rFont val="微軟正黑體"/>
        <family val="2"/>
        <charset val="136"/>
      </rPr>
      <t>更換</t>
    </r>
    <r>
      <rPr>
        <sz val="12"/>
        <rFont val="Arial"/>
        <family val="2"/>
      </rPr>
      <t>FDC</t>
    </r>
    <r>
      <rPr>
        <sz val="12"/>
        <rFont val="微軟正黑體"/>
        <family val="2"/>
        <charset val="136"/>
      </rPr>
      <t>主機。</t>
    </r>
    <phoneticPr fontId="28" type="noConversion"/>
  </si>
  <si>
    <r>
      <t>(1)</t>
    </r>
    <r>
      <rPr>
        <sz val="12"/>
        <rFont val="微軟正黑體"/>
        <family val="2"/>
        <charset val="136"/>
      </rPr>
      <t>分析</t>
    </r>
    <r>
      <rPr>
        <sz val="12"/>
        <rFont val="Arial"/>
        <family val="2"/>
      </rPr>
      <t>OTA</t>
    </r>
    <r>
      <rPr>
        <sz val="12"/>
        <rFont val="微軟正黑體"/>
        <family val="2"/>
        <charset val="136"/>
      </rPr>
      <t>相关</t>
    </r>
    <r>
      <rPr>
        <sz val="12"/>
        <rFont val="Arial"/>
        <family val="2"/>
      </rPr>
      <t>log</t>
    </r>
    <r>
      <rPr>
        <sz val="12"/>
        <rFont val="微軟正黑體"/>
        <family val="2"/>
        <charset val="136"/>
      </rPr>
      <t xml:space="preserve">档。
</t>
    </r>
    <r>
      <rPr>
        <sz val="12"/>
        <rFont val="Arial"/>
        <family val="2"/>
      </rPr>
      <t>(2)</t>
    </r>
    <r>
      <rPr>
        <sz val="12"/>
        <rFont val="微軟正黑體"/>
        <family val="2"/>
        <charset val="136"/>
      </rPr>
      <t>透过诊断器刷新</t>
    </r>
    <r>
      <rPr>
        <sz val="12"/>
        <rFont val="Arial"/>
        <family val="2"/>
      </rPr>
      <t>FDC</t>
    </r>
    <r>
      <rPr>
        <sz val="12"/>
        <rFont val="微軟正黑體"/>
        <family val="2"/>
        <charset val="136"/>
      </rPr>
      <t xml:space="preserve">软件。
</t>
    </r>
    <r>
      <rPr>
        <sz val="12"/>
        <rFont val="Arial"/>
        <family val="2"/>
      </rPr>
      <t>(3)</t>
    </r>
    <r>
      <rPr>
        <sz val="12"/>
        <rFont val="微軟正黑體"/>
        <family val="2"/>
        <charset val="136"/>
      </rPr>
      <t>更换</t>
    </r>
    <r>
      <rPr>
        <sz val="12"/>
        <rFont val="Arial"/>
        <family val="2"/>
      </rPr>
      <t>FDC</t>
    </r>
    <r>
      <rPr>
        <sz val="12"/>
        <rFont val="微軟正黑體"/>
        <family val="2"/>
        <charset val="136"/>
      </rPr>
      <t>主机。</t>
    </r>
    <phoneticPr fontId="28" type="noConversion"/>
  </si>
  <si>
    <t>Software fault</t>
  </si>
  <si>
    <t>none, should clear this DTC by diagnostic tool.</t>
  </si>
  <si>
    <t>UPDATE_CYCLE</t>
  </si>
  <si>
    <t>142</t>
  </si>
  <si>
    <t>MDA服務運作同步檢查失敗</t>
  </si>
  <si>
    <t>MDA服务运作同步检查失败</t>
  </si>
  <si>
    <t>MDA service alive check failed. Possible reasons are:
(1)FDC software abnormality
(2)FDC hardware is damaged</t>
  </si>
  <si>
    <t>(1)分析OTA相關log檔。
(2)透過診斷器刷新FDC軟體。
(3)更換FDC主機。</t>
  </si>
  <si>
    <t>(1)分析OTA相关log档。
(2)透过诊断器刷新FDC软件。
(3)更换FDC主机。</t>
  </si>
  <si>
    <t>143</t>
  </si>
  <si>
    <t>更新程式異常中止(電源非ON)</t>
  </si>
  <si>
    <t>更新程序异常中止(电源非ON)</t>
  </si>
  <si>
    <t>The power status switches away from the ON state due to other important reasons. Possible reasons are:
(1) The large power system is abnormal, causing the VCU to forcefully unload the large power.
(2) The SOC of the large power supply has been lower than 20%, causing the VCU to forcefully unload the large power supply.</t>
  </si>
  <si>
    <t>電源狀態因其他重要原因而切換離開ON的狀態，可能原因為：
(1)大電力系統異常，導致VCU強制卸載大電。
(2)大電SOC已低於20%，導致VCU強制卸載大電。</t>
  </si>
  <si>
    <t>电源状态因其他重要原因而切换离开ON的状态，可能原因为：
(1)大电力系统异常，导致VCU强制卸载大电。
(2)大电SOC已低于20%，导致VCU强制卸载大电。</t>
  </si>
  <si>
    <t>(1) Check the large power system lines.
(2) Check whether the large power system controller is abnormal or damaged.</t>
  </si>
  <si>
    <t>(1)檢查大電力系統線路。
(2)檢查大電力系統控制器是否異常或損壞。</t>
  </si>
  <si>
    <t>(1)检查大电力系统线路。
(2)检查大电力系统控制器是否异常或损坏。</t>
  </si>
  <si>
    <t>Vehicle system fault.</t>
  </si>
  <si>
    <t>Power Sta is 100ms.</t>
  </si>
  <si>
    <t>144</t>
  </si>
  <si>
    <t>更新程式異常中止(電源非Standby)</t>
  </si>
  <si>
    <t>更新程序异常中止(电源非Standby)</t>
  </si>
  <si>
    <t>电源状态因其他重要原因而切换离开Standby的状态，可能原因为：
(1)小电瓶电压过低，导致VCU强制切除小电供应。</t>
  </si>
  <si>
    <t>電源狀態因其他重要原因而切換離開Standby的狀態，可能原因為：
(1)小電瓶電壓過低，導致VCU強制切除小電供應。</t>
  </si>
  <si>
    <t>(1) Check whether the small battery is damaged or the battery is too low.
(2) Check whether the VCU has other abnormal fault codes.</t>
  </si>
  <si>
    <t>(1)檢查小電瓶是否損壞或電量過低。
(2)檢查VCU是否有其他異常故障碼。</t>
  </si>
  <si>
    <t>(1)检查小电瓶是否损坏或电量过低。
(2)检查VCU是否有其他异常故障码。</t>
  </si>
  <si>
    <t>145</t>
  </si>
  <si>
    <t>更新程式異常中止(與MDA失去通訊)</t>
  </si>
  <si>
    <t>更新程式异常中止(与MDA失去通讯)</t>
  </si>
  <si>
    <t>The update process aborted abnormally. Possible reasons are:
(1)FDC hardware is damaged
(2)FDC software abnormality</t>
  </si>
  <si>
    <t>更新程序異常中止，可能原因為：
(1)FDC硬體損壞
(2)FDC軟體異常</t>
  </si>
  <si>
    <t>更新程序异常中止，可能原因为：
(1)FDC硬体损坏
(2)FDC软体异常</t>
  </si>
  <si>
    <t>(1) Analyze OTA related log files.
(2) Refresh the FDC software through the diagnostic tool.
(3) Replace the FDC host.</t>
  </si>
  <si>
    <t>146</t>
  </si>
  <si>
    <t>OTA更新控制器失敗</t>
  </si>
  <si>
    <t>OTA更新控制器失败</t>
  </si>
  <si>
    <t>The controller update failed. Possible reasons are:
(1) The controller hardware is damaged
(2) The controller software is abnormal
(3) The controller’s power supply is abnormal
(4) The CAN bus to which the controller belongs is abnormal</t>
  </si>
  <si>
    <t>控制器更新失敗，可能原因為：
(1)該控制器硬體損壞
(2)該控制器軟體異常
(3)該控制器電源異常
(4)該控制器所屬CAN總線異常</t>
  </si>
  <si>
    <t>控制器更新失败，可能原因为：
(1)该控制器硬体损坏
(2)该控制器电源状态异常
(3)该控制器所属CAN总线异常</t>
  </si>
  <si>
    <t>(1) Check whether the ECU wiring harness and CAN communication status are normal.
(2) Check the CAN communication between ECU and FDC.
(3) Use diagnostic tools to refresh the ECU.
(4) Replace the ECU</t>
  </si>
  <si>
    <t>(1)檢查ECU線束及CAN通訊狀態是否正常。
(2) 檢查ECU與FDC間的CAN通訊。
(3) 用診斷工具刷新ECU。
(4)更換該ECU</t>
  </si>
  <si>
    <t>(1)检查ECU线束及CAN通讯状态是否正常。
(2) 检查ECU与FDC间的CAN通讯。
(3) 用诊断工具刷新ECU。
(4)更换该ECU</t>
  </si>
  <si>
    <t>Software fault
Hardware fault</t>
  </si>
  <si>
    <t>147</t>
  </si>
  <si>
    <t>FDC存取空間異常</t>
  </si>
  <si>
    <t>FDC存取空间异常</t>
  </si>
  <si>
    <t>FDC access space is abnormal. Possible reasons are:
(1)FDC software abnormality
(2)FDC hardware is damaged</t>
  </si>
  <si>
    <t>FDC存取空間異常，可能原因為：
(1)FDC軟體異常
(2)FDC硬體損壞</t>
  </si>
  <si>
    <t>FDC存取空间异常，可能原因为：
(1)FDC软体异常
(2)FDC硬体损坏</t>
  </si>
  <si>
    <t>148</t>
  </si>
  <si>
    <t>FDC_THCM_APTCWarning_Sta</t>
  </si>
  <si>
    <t>HV isoimpedance絕緣阻抗異常</t>
  </si>
  <si>
    <t>高壓絕緣阻抗異常</t>
  </si>
  <si>
    <t>HV isoimpedance abnormal</t>
  </si>
  <si>
    <r>
      <rPr>
        <sz val="12"/>
        <rFont val="細明體"/>
        <family val="2"/>
        <charset val="136"/>
      </rPr>
      <t>高壓</t>
    </r>
    <r>
      <rPr>
        <sz val="12"/>
        <rFont val="Arial"/>
        <family val="2"/>
      </rPr>
      <t xml:space="preserve"> </t>
    </r>
    <r>
      <rPr>
        <sz val="12"/>
        <rFont val="Microsoft JhengHei"/>
        <family val="2"/>
      </rPr>
      <t>絕緣阻抗異常</t>
    </r>
  </si>
  <si>
    <t>Step1:check APTC wiring 
Step2:check APTC isoimpedance</t>
  </si>
  <si>
    <r>
      <t>1.</t>
    </r>
    <r>
      <rPr>
        <sz val="12"/>
        <rFont val="Microsoft JhengHei"/>
        <family val="2"/>
      </rPr>
      <t>檢查</t>
    </r>
    <r>
      <rPr>
        <sz val="12"/>
        <rFont val="Arial"/>
        <family val="2"/>
      </rPr>
      <t>Air PTC</t>
    </r>
    <r>
      <rPr>
        <sz val="12"/>
        <rFont val="Microsoft JhengHei"/>
        <family val="2"/>
      </rPr>
      <t>線路</t>
    </r>
    <r>
      <rPr>
        <sz val="12"/>
        <rFont val="Arial"/>
        <family val="2"/>
      </rPr>
      <t xml:space="preserve">
2.</t>
    </r>
    <r>
      <rPr>
        <sz val="12"/>
        <rFont val="Microsoft JhengHei"/>
        <family val="2"/>
      </rPr>
      <t>檢查</t>
    </r>
    <r>
      <rPr>
        <sz val="12"/>
        <rFont val="Arial"/>
        <family val="2"/>
      </rPr>
      <t>Air PTC</t>
    </r>
    <r>
      <rPr>
        <sz val="12"/>
        <rFont val="細明體"/>
        <family val="2"/>
        <charset val="136"/>
      </rPr>
      <t>線路</t>
    </r>
    <r>
      <rPr>
        <sz val="12"/>
        <rFont val="Microsoft JhengHei"/>
        <family val="2"/>
      </rPr>
      <t>絕緣阻抗</t>
    </r>
  </si>
  <si>
    <t>Load type fault</t>
  </si>
  <si>
    <t>100 ms</t>
  </si>
  <si>
    <t>FDC_THCM_APTCWarning_Sta=1</t>
  </si>
  <si>
    <t>when vehicle power state is not OFF</t>
  </si>
  <si>
    <t>FDC_THCM_APTCWarning_Sta=1 for 2S</t>
  </si>
  <si>
    <t>FDC_THCM_APTCWarning_Sta=0 for 2S</t>
  </si>
  <si>
    <t xml:space="preserve">1. IVI popup warning
2. recover air ptc function after the DTC clean up </t>
  </si>
  <si>
    <t>History DTC is always exist unless the software or calibration files  is updated.</t>
  </si>
  <si>
    <t>149</t>
  </si>
  <si>
    <t>0x500B01</t>
    <phoneticPr fontId="28" type="noConversion"/>
  </si>
  <si>
    <t>左前輪胎壓過低</t>
  </si>
  <si>
    <t>左前轮胎压过低</t>
  </si>
  <si>
    <t>1.Tire pressure less than the low pressure threshold.
2.Punctured tire.
3.When the temperature changes greatly, the tire pressure calibrate function is not used in time.</t>
  </si>
  <si>
    <t>1.胎壓值低於低壓報警門檻。
2.爆胎。
3.當氣溫變化較大時，沒有及時使用胎壓校正正功能。</t>
  </si>
  <si>
    <t>1.胎压值低于低压报警门坎。
2.爆胎。
3.当气温变化较大时，没有及时使用胎压校正正功能。</t>
  </si>
  <si>
    <t>Check whether the left front tire pressure is lower than the minimum tire pressure of 210kPa (30.45psi), or there is a sudden change in tire pressure (tire puncture)
Please check the tires and make sure the left front tire pressure is adjusted to the factory tire pressure of 42psi</t>
    <phoneticPr fontId="28" type="noConversion"/>
  </si>
  <si>
    <t>確認左前輪胎胎壓是否低於最低胎壓210kPa(30.45psi)，或胎壓有急遽變化(輪胎戳穿)
請檢查輪胎，確保左前胎壓調整至出廠胎壓42psi</t>
    <phoneticPr fontId="28" type="noConversion"/>
  </si>
  <si>
    <r>
      <rPr>
        <sz val="12"/>
        <rFont val="MS Gothic"/>
        <family val="3"/>
        <charset val="128"/>
      </rPr>
      <t>确</t>
    </r>
    <r>
      <rPr>
        <sz val="12"/>
        <rFont val="Microsoft YaHei"/>
        <family val="2"/>
        <charset val="134"/>
      </rPr>
      <t>认左前轮胎胎压是否低于最低胎压</t>
    </r>
    <r>
      <rPr>
        <sz val="12"/>
        <rFont val="Arial"/>
        <family val="2"/>
      </rPr>
      <t>210kPa(30.45psi)</t>
    </r>
    <r>
      <rPr>
        <sz val="12"/>
        <rFont val="MS Gothic"/>
        <family val="3"/>
        <charset val="128"/>
      </rPr>
      <t>，或胎</t>
    </r>
    <r>
      <rPr>
        <sz val="12"/>
        <rFont val="Microsoft YaHei"/>
        <family val="2"/>
        <charset val="134"/>
      </rPr>
      <t>压有急遽变化</t>
    </r>
    <r>
      <rPr>
        <sz val="12"/>
        <rFont val="Arial"/>
        <family val="2"/>
      </rPr>
      <t>(</t>
    </r>
    <r>
      <rPr>
        <sz val="12"/>
        <rFont val="Microsoft YaHei"/>
        <family val="2"/>
        <charset val="134"/>
      </rPr>
      <t>轮胎戳穿</t>
    </r>
    <r>
      <rPr>
        <sz val="12"/>
        <rFont val="Arial"/>
        <family val="2"/>
      </rPr>
      <t>)</t>
    </r>
    <r>
      <rPr>
        <sz val="12"/>
        <rFont val="Arial"/>
        <family val="3"/>
        <charset val="128"/>
      </rPr>
      <t xml:space="preserve">
</t>
    </r>
    <r>
      <rPr>
        <sz val="12"/>
        <rFont val="細明體"/>
        <family val="3"/>
        <charset val="136"/>
      </rPr>
      <t>请检查轮胎，确保左前胎压调整至出厂胎压</t>
    </r>
    <r>
      <rPr>
        <sz val="12"/>
        <rFont val="Arial"/>
        <family val="3"/>
        <charset val="128"/>
      </rPr>
      <t>42psi</t>
    </r>
    <phoneticPr fontId="28" type="noConversion"/>
  </si>
  <si>
    <t>tire pressure type fault</t>
  </si>
  <si>
    <t>Left Forward Wheel Pressure is less than or equal to the low pressure threshold.</t>
  </si>
  <si>
    <t>When PwrSta =STANDBY or =ON or =READY</t>
  </si>
  <si>
    <t>The testFail detected for 3 times.</t>
  </si>
  <si>
    <t>Left Forward Wheel Pressure is more than (the low pressure threshold)+2psi.</t>
  </si>
  <si>
    <t>150</t>
  </si>
  <si>
    <t>右前輪胎壓過低</t>
  </si>
  <si>
    <t>右前轮胎压过低</t>
  </si>
  <si>
    <t>Check whether the tire pressure of the right front tire is lower than the minimum tire pressure of 210kPa (30.45psi), or there is a sudden change in tire pressure (tire puncture)
Please check the tires and make sure the right front tire pressure is adjusted to the factory tire pressure of 42psi</t>
    <phoneticPr fontId="28" type="noConversion"/>
  </si>
  <si>
    <t>確認右前輪胎胎壓是否低於最低胎壓210kPa(30.45psi)，或胎壓有急遽變化(輪胎戳穿)
請檢查輪胎，確保右前胎壓調整至出廠胎壓42psi</t>
    <phoneticPr fontId="28" type="noConversion"/>
  </si>
  <si>
    <r>
      <rPr>
        <sz val="12"/>
        <rFont val="MS Gothic"/>
        <family val="3"/>
        <charset val="128"/>
      </rPr>
      <t>确</t>
    </r>
    <r>
      <rPr>
        <sz val="12"/>
        <rFont val="Microsoft YaHei"/>
        <family val="2"/>
        <charset val="134"/>
      </rPr>
      <t>认右前轮胎胎压是否低于最低胎压</t>
    </r>
    <r>
      <rPr>
        <sz val="12"/>
        <rFont val="Arial"/>
        <family val="2"/>
      </rPr>
      <t>210kPa(30.45psi)</t>
    </r>
    <r>
      <rPr>
        <sz val="12"/>
        <rFont val="MS Gothic"/>
        <family val="3"/>
        <charset val="128"/>
      </rPr>
      <t>，或胎</t>
    </r>
    <r>
      <rPr>
        <sz val="12"/>
        <rFont val="Microsoft YaHei"/>
        <family val="2"/>
        <charset val="134"/>
      </rPr>
      <t>压有急遽变化</t>
    </r>
    <r>
      <rPr>
        <sz val="12"/>
        <rFont val="Arial"/>
        <family val="2"/>
      </rPr>
      <t>(</t>
    </r>
    <r>
      <rPr>
        <sz val="12"/>
        <rFont val="Microsoft YaHei"/>
        <family val="2"/>
        <charset val="134"/>
      </rPr>
      <t>轮胎戳穿</t>
    </r>
    <r>
      <rPr>
        <sz val="12"/>
        <rFont val="Arial"/>
        <family val="2"/>
      </rPr>
      <t xml:space="preserve">)
</t>
    </r>
    <r>
      <rPr>
        <sz val="12"/>
        <rFont val="細明體"/>
        <family val="2"/>
        <charset val="136"/>
      </rPr>
      <t>请检查轮胎，确保右前胎压调整至出厂胎压</t>
    </r>
    <r>
      <rPr>
        <sz val="12"/>
        <rFont val="Arial"/>
        <family val="2"/>
      </rPr>
      <t>42psi</t>
    </r>
    <phoneticPr fontId="28" type="noConversion"/>
  </si>
  <si>
    <t>Right Forward Wheel Pressure is less than or equal to the low pressure threshold.</t>
  </si>
  <si>
    <t>Right Forward Wheel Pressure is more than (the low pressure threshold)+2psi.</t>
  </si>
  <si>
    <t>151</t>
  </si>
  <si>
    <t>左後輪胎壓過低</t>
  </si>
  <si>
    <t>左后轮胎压过低</t>
  </si>
  <si>
    <t>Check whether the left rear tire is 210kPa (30.45psi) lower than the minimum tire pressure, or there is a sudden change in tire pressure (tire puncture)
Please check the tires and make sure the left rear tire pressure is adjusted to the factory tire pressure of 42psi</t>
    <phoneticPr fontId="28" type="noConversion"/>
  </si>
  <si>
    <t>確認左後輪胎是否低於最低胎壓210kPa(30.45psi)，或胎壓有急遽變化(輪胎戳穿)
請檢查輪胎，確保左後胎壓調整至出廠胎壓42psi</t>
    <phoneticPr fontId="28" type="noConversion"/>
  </si>
  <si>
    <r>
      <rPr>
        <sz val="12"/>
        <rFont val="MS Gothic"/>
        <family val="3"/>
        <charset val="128"/>
      </rPr>
      <t>确</t>
    </r>
    <r>
      <rPr>
        <sz val="12"/>
        <rFont val="Microsoft YaHei"/>
        <family val="2"/>
        <charset val="134"/>
      </rPr>
      <t>认左后轮胎是否低于最低胎压</t>
    </r>
    <r>
      <rPr>
        <sz val="12"/>
        <rFont val="Arial"/>
        <family val="2"/>
      </rPr>
      <t>210kPa(30.45psi)</t>
    </r>
    <r>
      <rPr>
        <sz val="12"/>
        <rFont val="MS Gothic"/>
        <family val="3"/>
        <charset val="128"/>
      </rPr>
      <t>，或胎</t>
    </r>
    <r>
      <rPr>
        <sz val="12"/>
        <rFont val="Microsoft YaHei"/>
        <family val="2"/>
        <charset val="134"/>
      </rPr>
      <t>压有急遽变化</t>
    </r>
    <r>
      <rPr>
        <sz val="12"/>
        <rFont val="Arial"/>
        <family val="2"/>
      </rPr>
      <t>(</t>
    </r>
    <r>
      <rPr>
        <sz val="12"/>
        <rFont val="Microsoft YaHei"/>
        <family val="2"/>
        <charset val="134"/>
      </rPr>
      <t>轮胎戳穿</t>
    </r>
    <r>
      <rPr>
        <sz val="12"/>
        <rFont val="Arial"/>
        <family val="2"/>
      </rPr>
      <t xml:space="preserve">)
</t>
    </r>
    <r>
      <rPr>
        <sz val="12"/>
        <rFont val="細明體"/>
        <family val="2"/>
        <charset val="136"/>
      </rPr>
      <t>请检查轮胎，确保左后胎压调整至出厂胎压</t>
    </r>
    <r>
      <rPr>
        <sz val="12"/>
        <rFont val="Arial"/>
        <family val="2"/>
      </rPr>
      <t>42psi</t>
    </r>
    <phoneticPr fontId="28" type="noConversion"/>
  </si>
  <si>
    <t>Left Rear Wheel Pressure is less than or equal to the low pressure threshold.</t>
  </si>
  <si>
    <t>Left Rear Wheel Pressure is more than (the low pressure threshold)+2psi.</t>
  </si>
  <si>
    <t>152</t>
  </si>
  <si>
    <t>右後輪胎壓過低</t>
  </si>
  <si>
    <t>右后轮胎压过低</t>
  </si>
  <si>
    <t>Check whether the right rear tire is 210kPa (30.45psi) lower than the minimum tire pressure, or there is a sudden change in tire pressure (tire puncture)
Please check the tires and make sure the right rear tire pressure is adjusted to the factory tire pressure of 42psi</t>
    <phoneticPr fontId="28" type="noConversion"/>
  </si>
  <si>
    <t>確認右後輪胎是否低於最低胎壓210kPa(30.45psi)，或胎壓有急遽變化(輪胎戳穿)
請檢查輪胎，確保右後胎壓調整至出廠胎壓42psi</t>
    <phoneticPr fontId="28" type="noConversion"/>
  </si>
  <si>
    <r>
      <rPr>
        <sz val="12"/>
        <rFont val="MS Gothic"/>
        <family val="3"/>
        <charset val="128"/>
      </rPr>
      <t>确</t>
    </r>
    <r>
      <rPr>
        <sz val="12"/>
        <rFont val="Microsoft YaHei"/>
        <family val="2"/>
        <charset val="134"/>
      </rPr>
      <t>认右后轮胎是否低于最低胎压</t>
    </r>
    <r>
      <rPr>
        <sz val="12"/>
        <rFont val="Arial"/>
        <family val="2"/>
      </rPr>
      <t>210kPa(30.45psi)</t>
    </r>
    <r>
      <rPr>
        <sz val="12"/>
        <rFont val="MS Gothic"/>
        <family val="3"/>
        <charset val="128"/>
      </rPr>
      <t>，或胎</t>
    </r>
    <r>
      <rPr>
        <sz val="12"/>
        <rFont val="Microsoft YaHei"/>
        <family val="2"/>
        <charset val="134"/>
      </rPr>
      <t>压有急遽变化</t>
    </r>
    <r>
      <rPr>
        <sz val="12"/>
        <rFont val="Arial"/>
        <family val="2"/>
      </rPr>
      <t>(</t>
    </r>
    <r>
      <rPr>
        <sz val="12"/>
        <rFont val="Microsoft YaHei"/>
        <family val="2"/>
        <charset val="134"/>
      </rPr>
      <t>轮胎戳穿</t>
    </r>
    <r>
      <rPr>
        <sz val="12"/>
        <rFont val="Arial"/>
        <family val="2"/>
      </rPr>
      <t xml:space="preserve">)
</t>
    </r>
    <r>
      <rPr>
        <sz val="12"/>
        <rFont val="細明體"/>
        <family val="2"/>
        <charset val="136"/>
      </rPr>
      <t>请检查轮胎，确保右后胎压调整至出厂胎压</t>
    </r>
    <r>
      <rPr>
        <sz val="12"/>
        <rFont val="Arial"/>
        <family val="2"/>
      </rPr>
      <t>42psi</t>
    </r>
    <phoneticPr fontId="28" type="noConversion"/>
  </si>
  <si>
    <t>Right Rear Wheel Pressure is less than or equal to the low pressure threshold.</t>
  </si>
  <si>
    <t>Right Rear Wheel Pressure is more than (the low pressure threshold)+2psi.</t>
  </si>
  <si>
    <t>153</t>
  </si>
  <si>
    <t>左前輪胎溫過高</t>
  </si>
  <si>
    <t>左前轮胎温过高</t>
  </si>
  <si>
    <t>tire temperature too high</t>
  </si>
  <si>
    <t>胎溫過高</t>
  </si>
  <si>
    <t>胎温过高</t>
  </si>
  <si>
    <r>
      <rPr>
        <sz val="12"/>
        <rFont val="Microsoft JhengHei"/>
        <family val="2"/>
        <charset val="136"/>
      </rPr>
      <t>無</t>
    </r>
    <r>
      <rPr>
        <sz val="12"/>
        <rFont val="Arial"/>
        <family val="2"/>
      </rPr>
      <t xml:space="preserve">
</t>
    </r>
    <phoneticPr fontId="28" type="noConversion"/>
  </si>
  <si>
    <t>tire temperature type fault</t>
  </si>
  <si>
    <t>Left Forward Wheel Temperature is more or equal than 90℃.</t>
  </si>
  <si>
    <t>Left Forward Wheel Temperature is no more than 84℃.</t>
  </si>
  <si>
    <t>154</t>
  </si>
  <si>
    <t>右前輪胎溫過高</t>
  </si>
  <si>
    <t>右前轮胎温过高</t>
  </si>
  <si>
    <t>Right Forward Wheel Temperature is more or equal than 90℃.</t>
  </si>
  <si>
    <t>Right Forward Wheel Temperature is no more than 84℃.</t>
  </si>
  <si>
    <t>155</t>
  </si>
  <si>
    <t>左後輪胎溫過高</t>
  </si>
  <si>
    <t>左后轮胎温过高</t>
  </si>
  <si>
    <t>Left Rear Wheel Temperature is more or equal than 90℃.</t>
  </si>
  <si>
    <t>Left Rear Wheel Temperature is no more than 84℃.</t>
  </si>
  <si>
    <t>156</t>
  </si>
  <si>
    <t>右後輪胎溫過高</t>
  </si>
  <si>
    <t>右后轮胎温过高</t>
  </si>
  <si>
    <t>Right Rear Wheel Temperature is more or equal than 90℃.</t>
  </si>
  <si>
    <t>Right Rear Wheel Temperature is no more than 84℃.</t>
  </si>
  <si>
    <t>157</t>
  </si>
  <si>
    <t>左前感測器電壓過低</t>
  </si>
  <si>
    <t>左前传感器电压过低</t>
  </si>
  <si>
    <t>sensor voltage too low</t>
  </si>
  <si>
    <t>發射器電壓過低</t>
  </si>
  <si>
    <t>发射器电压过低</t>
  </si>
  <si>
    <t>1. Please replace the left front wheel sensor. The main body of the sensor is located inside the wheel rim.
2. If there is no need to replace the rim, just replace the sensor body (remove the sensor screws and replace the sensor body), and perform TPMS reset learning again
3. If you need to replace the rim, the valve cannot be reused. Please replace the entire Sensor including the valve, and perform TPMS reset learning again.</t>
    <phoneticPr fontId="28" type="noConversion"/>
  </si>
  <si>
    <t>1.請更換左前輪感知器，感測器主體位於輪圈內部
2.如果不需要更換輪圈，只需更換感測器本體（拆下感測器螺絲並更換感測器本體），並且重新進行TPMS重置學習
3.若需更換輪圈，氣嘴不可重複使用、請將整個Sensor含氣嘴進行更換，並且重新進行TPMS重置學習。</t>
    <phoneticPr fontId="28" type="noConversion"/>
  </si>
  <si>
    <t>1.请更换左前轮感知器，感测器主体位于轮圈内部
2.如果不需要更换轮圈，只需更换感测器本体（拆下感测器螺丝并更换感测器本体），并且重新进行TPMS重置学习
3.若需更换轮圈，气嘴不可重复使用、请将整个Sensor含气嘴进行更换，并且重新进行TPMS重置学习。</t>
    <phoneticPr fontId="28" type="noConversion"/>
  </si>
  <si>
    <t>battery voltage type fault</t>
  </si>
  <si>
    <t>Left Forward Sensor sends low voltage BatteryLow = 1</t>
  </si>
  <si>
    <t>Left Forward Sensor sends low voltage BatteryLow = 0</t>
  </si>
  <si>
    <t>158</t>
  </si>
  <si>
    <t>右前感測器電壓過低</t>
  </si>
  <si>
    <t>右前传感器电压过低</t>
  </si>
  <si>
    <t>1. Please replace the right front wheel sensor. The sensor body is located inside the wheel rim.
2. If there is no need to replace the rim, just replace the sensor body (remove the sensor screws and replace the sensor body), and perform TPMS reset learning again
3. If you need to replace the rim, the valve cannot be reused. Please replace the entire Sensor including the valve, and perform TPMS reset learning again.</t>
    <phoneticPr fontId="28" type="noConversion"/>
  </si>
  <si>
    <t>1.請更換右前輪感知器，感測器主體位於輪圈內部
2.如果不需要更換輪圈，只需更換感測器本體（拆下感測器螺絲並更換感測器本體），並且重新進行TPMS重置學習
3.若需更換輪圈，氣嘴不可重複使用、請將整個Sensor含氣嘴進行更換，並且重新進行TPMS重置學習。</t>
    <phoneticPr fontId="28" type="noConversion"/>
  </si>
  <si>
    <t>1.请更换右前轮感知器，感测器主体位于轮圈内部
2.如果不需要更换轮圈，只需更换感测器本体（拆下感测器螺丝并更换感测器本体），并且重新进行TPMS重置学习
3.若需更换轮圈，气嘴不可重复使用、请将整个Sensor含气嘴进行更换，并且重新进行TPMS重置学习。</t>
    <phoneticPr fontId="28" type="noConversion"/>
  </si>
  <si>
    <t>Right Forward Sensor sends low voltage BatteryLow = 1</t>
  </si>
  <si>
    <t>Right Forward Sensor sends low voltage BatteryLow = 0</t>
  </si>
  <si>
    <t>159</t>
  </si>
  <si>
    <t>左後感測器電壓過低</t>
  </si>
  <si>
    <t>左后传感器电压过低</t>
  </si>
  <si>
    <t>1. Please replace the left rear wheel sensor. The sensor body is located inside the wheel rim.
2. If there is no need to replace the rim, just replace the sensor body (remove the sensor screws and replace the sensor body), and perform TPMS reset learning again
3. If you need to replace the rim, the valve cannot be reused. Please replace the entire Sensor including the valve, and perform TPMS reset learning again.</t>
    <phoneticPr fontId="28" type="noConversion"/>
  </si>
  <si>
    <t>1.請更換左後輪感知器，感測器主體位於輪圈內部
2.如果不需要更換輪圈，只需更換感測器本體（拆下感測器螺絲並更換感測器本體），並且重新進行TPMS重置學習
3.若需更換輪圈，氣嘴不可重複使用、請將整個Sensor含氣嘴進行更換，並且重新進行TPMS重置學習。</t>
    <phoneticPr fontId="28" type="noConversion"/>
  </si>
  <si>
    <t>1.请更换左后轮感知器，感测器主体位于轮圈内部
2.如果不需要更换轮圈，只需更换感测器本体（拆下感测器螺丝并更换感测器本体），并且重新进行TPMS重置学习
3.若需更换轮圈，气嘴不可重复使用、请将整个Sensor含气嘴进行更换，并且重新进行TPMS重置学习。</t>
    <phoneticPr fontId="28" type="noConversion"/>
  </si>
  <si>
    <t>Left Rear Sensor sends low voltage BatteryLow = 1</t>
  </si>
  <si>
    <t>Left Rear Sensor sends low voltage BatteryLow = 0</t>
  </si>
  <si>
    <t>160</t>
  </si>
  <si>
    <t>右後感測器電壓過低</t>
  </si>
  <si>
    <t>右后传感器电压过低</t>
  </si>
  <si>
    <t>1. Please replace the right rear wheel sensor. The sensor body is located inside the wheel rim.
2. If there is no need to replace the rim, just replace the sensor body (remove the sensor screws and replace the sensor body), and perform TPMS reset learning again
3. If you need to replace the rim, the valve cannot be reused. Please replace the entire Sensor including the valve, and perform TPMS reset learning again.</t>
    <phoneticPr fontId="28" type="noConversion"/>
  </si>
  <si>
    <t>1.請更換右後輪感知器，感測器主體位於輪圈內部
2.如果不需要更換輪圈，只需更換感測器本體（拆下感測器螺絲並更換感測器本體），並且重新進行TPMS重置學習
3.若需更換輪圈，氣嘴不可重複使用、請將整個Sensor含氣嘴進行更換，並且重新進行TPMS重置學習。</t>
    <phoneticPr fontId="28" type="noConversion"/>
  </si>
  <si>
    <r>
      <t>1.</t>
    </r>
    <r>
      <rPr>
        <sz val="12"/>
        <rFont val="Microsoft YaHei"/>
        <family val="3"/>
        <charset val="134"/>
      </rPr>
      <t>请更换右后轮感知器，感测器主体位于轮圈内部</t>
    </r>
    <r>
      <rPr>
        <sz val="12"/>
        <rFont val="Arial"/>
        <family val="3"/>
      </rPr>
      <t xml:space="preserve">
2.</t>
    </r>
    <r>
      <rPr>
        <sz val="12"/>
        <rFont val="Microsoft YaHei"/>
        <family val="3"/>
        <charset val="134"/>
      </rPr>
      <t>如果不需要更换轮圈，只需更换感测器本体（拆下感测器螺丝并更换感测器本体），并且重新进行</t>
    </r>
    <r>
      <rPr>
        <sz val="12"/>
        <rFont val="Arial"/>
        <family val="3"/>
      </rPr>
      <t>TPMS</t>
    </r>
    <r>
      <rPr>
        <sz val="12"/>
        <rFont val="Microsoft YaHei"/>
        <family val="3"/>
        <charset val="134"/>
      </rPr>
      <t>重置学习</t>
    </r>
    <r>
      <rPr>
        <sz val="12"/>
        <rFont val="Arial"/>
        <family val="3"/>
      </rPr>
      <t xml:space="preserve">
3.</t>
    </r>
    <r>
      <rPr>
        <sz val="12"/>
        <rFont val="Microsoft YaHei"/>
        <family val="3"/>
        <charset val="134"/>
      </rPr>
      <t>若需更换轮圈，气嘴不可重复使用、请将整个</t>
    </r>
    <r>
      <rPr>
        <sz val="12"/>
        <rFont val="Arial"/>
        <family val="3"/>
      </rPr>
      <t>Sensor</t>
    </r>
    <r>
      <rPr>
        <sz val="12"/>
        <rFont val="Microsoft YaHei"/>
        <family val="3"/>
        <charset val="134"/>
      </rPr>
      <t>含气嘴进行更换，并且重新进行</t>
    </r>
    <r>
      <rPr>
        <sz val="12"/>
        <rFont val="Arial"/>
        <family val="3"/>
      </rPr>
      <t>TPMS</t>
    </r>
    <r>
      <rPr>
        <sz val="12"/>
        <rFont val="Microsoft YaHei"/>
        <family val="3"/>
        <charset val="134"/>
      </rPr>
      <t>重置学习。</t>
    </r>
    <phoneticPr fontId="28" type="noConversion"/>
  </si>
  <si>
    <t>Right Rear Sensor sends low voltage BatteryLow = 1</t>
  </si>
  <si>
    <t>Right Rear Sensor sends low voltage BatteryLow = 0</t>
  </si>
  <si>
    <t>161</t>
  </si>
  <si>
    <t>左前感測器接收中斷</t>
  </si>
  <si>
    <t>左前传感器接收中断</t>
  </si>
  <si>
    <t>1.sensor damage
2.bad reception situation</t>
  </si>
  <si>
    <t>1.發射器損壞
2.發射器收訊受到幹擾</t>
  </si>
  <si>
    <t>1.发射器损坏
2.发射器收讯受到干扰</t>
  </si>
  <si>
    <t>1. Use TPMS Trigger to confirm whether TPMS is damaged (use Trigger to use Mode2 to confirm whether TPMS Sensor can send tire temperature and pressure)
2. If there is no response, please replace the left front wheel TPMS body.
3. If the Sensor responds, follow the reset instructions for a road test again, then check the tire pressure display, and repeat steps 1.2.3.</t>
    <phoneticPr fontId="28" type="noConversion"/>
  </si>
  <si>
    <r>
      <t>1.使用TPMS Trigger確認TPMS是否損壞(用Trigger使用Mode2確認TPMS Sensor是否可以發送胎</t>
    </r>
    <r>
      <rPr>
        <sz val="12"/>
        <rFont val="細明體"/>
        <family val="3"/>
        <charset val="136"/>
      </rPr>
      <t>溫</t>
    </r>
    <r>
      <rPr>
        <sz val="12"/>
        <rFont val="MS Gothic"/>
        <family val="3"/>
        <charset val="128"/>
      </rPr>
      <t>、胎壓)
2.若沒有反應則請更換左前輪TPMS本體
3.</t>
    </r>
    <r>
      <rPr>
        <sz val="12"/>
        <rFont val="細明體"/>
        <family val="3"/>
        <charset val="136"/>
      </rPr>
      <t>若Sensor有反應則按照重置手順重新路試一次，再進行胎壓顯示檢查，重複1.2.3步驟。</t>
    </r>
    <phoneticPr fontId="28" type="noConversion"/>
  </si>
  <si>
    <t>1.使用TPMS Trigger确认TPMS是否损坏(用Trigger使用Mode2确认TPMS Sensor是否可以发送胎温、胎压)
2.若没有反应则请更换左前轮TPMS本体
3.若Sensor有反应则按照重置手顺重新路试一次，再进行胎压显示检查，重复1.2.3步骤。</t>
    <phoneticPr fontId="28" type="noConversion"/>
  </si>
  <si>
    <t>Left Forward Sensor signal has lost for continue 8 minutes when the car speed was bigger and equal than 25km.</t>
  </si>
  <si>
    <t>Left Forward Sensor signal is received again.</t>
  </si>
  <si>
    <t>162</t>
  </si>
  <si>
    <t>右前感測器接收中斷</t>
  </si>
  <si>
    <t>右前传感器接收中断</t>
  </si>
  <si>
    <t>1. Use TPMS Trigger to confirm whether TPMS is damaged (use Trigger to use Mode2 to confirm whether TPMS Sensor can send tire temperature and pressure)
2. If there is no response, please replace the right front wheel TPMS body.
3. If the Sensor responds, follow the reset instructions for a road test again, then check the tire pressure display, and repeat steps 1.2.3.</t>
    <phoneticPr fontId="28" type="noConversion"/>
  </si>
  <si>
    <t>1.使用TPMS Trigger確認TPMS是否損壞(用Trigger使用Mode2確認TPMS Sensor是否可以發送胎溫、胎壓)
2.若沒有反應則請更換右前輪TPMS本體
3.若Sensor有反應則按照重置手順重新路試一次，再進行胎壓顯示檢查，重複1.2.3步驟。</t>
    <phoneticPr fontId="28" type="noConversion"/>
  </si>
  <si>
    <t>1.使用TPMS Trigger确认TPMS是否损坏(用Trigger使用Mode2确认TPMS Sensor是否可以发送胎温、胎压)
2.若没有反应则请更换右前轮TPMS本体
3.若Sensor有反应则按照重置手顺重新路试一次，再进行胎压显示检查，重复1.2.3步骤。</t>
    <phoneticPr fontId="28" type="noConversion"/>
  </si>
  <si>
    <t>Right Forward Sensor signal has lost for continue 8 minutes when the car speed was bigger and equal than 25km.</t>
  </si>
  <si>
    <t>Right Forward Sensor signal is received again.</t>
  </si>
  <si>
    <t>163</t>
  </si>
  <si>
    <t>左後感測器接收中斷</t>
  </si>
  <si>
    <t>左后传感器接收中断</t>
  </si>
  <si>
    <t>1. Use TPMS Trigger to confirm whether TPMS is damaged (use Trigger to use Mode2 to confirm whether TPMS Sensor can send tire temperature and pressure)
2. If there is no response, please replace the left rear wheel TPMS body.
3. If the Sensor responds, follow the reset instructions for a road test again, then check the tire pressure display, and repeat steps 1.2.3.</t>
    <phoneticPr fontId="28" type="noConversion"/>
  </si>
  <si>
    <t>1.使用TPMS Trigger確認TPMS是否損壞(用Trigger使用Mode2確認TPMS Sensor是否可以發送胎溫、胎壓)
2.若沒有反應則請更換左後輪TPMS本體
3.若Sensor有反應則按照重置手順重新路試一次，再進行胎壓顯示檢查，重複1.2.3步驟。</t>
    <phoneticPr fontId="28" type="noConversion"/>
  </si>
  <si>
    <t>1.使用TPMS Trigger确认TPMS是否损坏(用Trigger使用Mode2确认TPMS Sensor是否可以发送胎温、胎压)
2.若没有反应则请更换左后轮TPMS本体
3.若Sensor有反应则按照重置手顺重新路试一次，再进行胎压显示检查，重复1.2.3步骤。</t>
    <phoneticPr fontId="28" type="noConversion"/>
  </si>
  <si>
    <t>Left Rear Sensor signal has lost for continue 8 minutes when the car speed was bigger and equal than 25km.</t>
  </si>
  <si>
    <t>Left Rear Sensor signal is received again.</t>
  </si>
  <si>
    <t>164</t>
  </si>
  <si>
    <t>右後感測器接收中斷</t>
  </si>
  <si>
    <t>右后传感器接收中断</t>
  </si>
  <si>
    <t>1. Use TPMS Trigger to confirm whether TPMS is damaged (use Trigger to use Mode2 to confirm whether TPMS Sensor can send tire temperature and pressure)
2. If there is no response, please replace the right rear wheel TPMS body.</t>
    <phoneticPr fontId="28" type="noConversion"/>
  </si>
  <si>
    <t>1.使用TPMS Trigger確認TPMS是否損壞(用Trigger使用Mode2確認TPMS Sensor是否可以發送胎溫、胎壓)
2.若沒有反應則請更換右後輪TPMS本體
3.若Sensor有反應則按照重置手順重新路試一次，再進行胎壓顯示檢查，重複1.2.3步驟。</t>
    <phoneticPr fontId="28" type="noConversion"/>
  </si>
  <si>
    <t>1.使用TPMS Trigger确认TPMS是否损坏(用Trigger使用Mode2确认TPMS Sensor是否可以发送胎温、胎压)
2.若没有反应则请更换右后轮TPMS本体
3.若Sensor有反应则按照重置手顺重新路试一次，再进行胎压显示检查，重复1.2.3步骤。</t>
    <phoneticPr fontId="28" type="noConversion"/>
  </si>
  <si>
    <t>Right Rear Sensor signal has lost for continue 8 minutes when the car speed was bigger and equal than 25km.</t>
  </si>
  <si>
    <t>Right Rear Sensor signal is received again.</t>
  </si>
  <si>
    <t>165</t>
  </si>
  <si>
    <t>車輛控制器與電池管理模組6間CAN信號不連續</t>
  </si>
  <si>
    <t>车辆控制器与电池管理模块6间CAN信号不连续</t>
  </si>
  <si>
    <t>1. Electromagnetic interference or noise
2. The CAN system is faulty
3. The device is faulty or damaged
4. The cable is disconnected or in poor contact</t>
  </si>
  <si>
    <t>1. 電磁幹擾或噪音
2. CAN系統故障
3. 設備故障或損壞
4. 電纜斷開或者接觸不良</t>
  </si>
  <si>
    <t>1. 电磁干扰或噪音
2. CAN系统故障
3. 设备故障或损坏
4. 电缆断开或者接触不良</t>
  </si>
  <si>
    <t>1. Please check whether the terminals of the joint control module and the high-voltage battery pack wiring harness connector are damaged, bent, exited or corroded.
2. Replace the high-voltage battery pack controller.</t>
  </si>
  <si>
    <r>
      <t>1.</t>
    </r>
    <r>
      <rPr>
        <sz val="12"/>
        <rFont val="微軟正黑體"/>
        <family val="2"/>
        <charset val="136"/>
      </rPr>
      <t xml:space="preserve">請檢查聯合控制模組與高壓電池組線束接頭端子是否有損壞、彎曲、退出或是腐蝕。
</t>
    </r>
    <r>
      <rPr>
        <sz val="12"/>
        <rFont val="Arial"/>
        <family val="2"/>
      </rPr>
      <t>2.</t>
    </r>
    <r>
      <rPr>
        <sz val="12"/>
        <rFont val="微軟正黑體"/>
        <family val="2"/>
        <charset val="136"/>
      </rPr>
      <t>更換高壓電池組控制器。</t>
    </r>
  </si>
  <si>
    <t>1.请检查联合控制模块与高压电池组线束接头端子是否有损坏、弯曲、退出或是腐蚀。
2.更换高压电池组控制器。</t>
  </si>
  <si>
    <t>Monitor detect life counter not continue from BMS6 for 500ms continuously</t>
  </si>
  <si>
    <t>This CAN state ~= bus off (AND)
This CAN message state ~= lost communication (AND)
Vehicle power state ~= OFF</t>
  </si>
  <si>
    <t>After 2 time(s) of above detection continuously. (Total time for decision = 1000ms)</t>
  </si>
  <si>
    <t>Monitor detect life counter continue from BMS6 for 4000ms continuously</t>
    <phoneticPr fontId="45" type="noConversion"/>
  </si>
  <si>
    <t xml:space="preserve">None </t>
  </si>
  <si>
    <t>1. Set power output demand linearly decreases to the "Limp home" mode. (AND)
2. Set red indicator ON (AND)
3. DTC write into NVM
4. Vehicle malfunction LV2 POPUP</t>
  </si>
  <si>
    <t>1. Key OFF -&gt; STANDBY (OR)
2. When clear DTC is requested (OR)
3. KDDM_CommErrDiagnosisOffSW = On</t>
  </si>
  <si>
    <t>166</t>
  </si>
  <si>
    <t>車輛控制器與電池管理模組6間CAN信號不完整</t>
  </si>
  <si>
    <t>车辆控制器与电池管理模块6间CAN信号不完整</t>
  </si>
  <si>
    <r>
      <t>1.</t>
    </r>
    <r>
      <rPr>
        <sz val="12"/>
        <rFont val="MS Gothic"/>
        <family val="3"/>
        <charset val="128"/>
      </rPr>
      <t>請檢</t>
    </r>
    <r>
      <rPr>
        <sz val="12"/>
        <rFont val="Microsoft YaHei"/>
        <family val="2"/>
        <charset val="134"/>
      </rPr>
      <t xml:space="preserve">查聯合控制模組與高壓電池組線束接頭端子是否有損壞、彎曲、退出或是腐蝕。
</t>
    </r>
    <r>
      <rPr>
        <sz val="12"/>
        <rFont val="Arial"/>
        <family val="2"/>
      </rPr>
      <t>2.</t>
    </r>
    <r>
      <rPr>
        <sz val="12"/>
        <rFont val="MS Gothic"/>
        <family val="3"/>
        <charset val="128"/>
      </rPr>
      <t>更換高壓電池組控制器。</t>
    </r>
  </si>
  <si>
    <t>Monitor detect checksum not continue from BMS6 for 500ms continuously</t>
  </si>
  <si>
    <t>Monitor detect checksum continue from BMS6 for 4000ms continuously</t>
    <phoneticPr fontId="45" type="noConversion"/>
  </si>
  <si>
    <t>167</t>
  </si>
  <si>
    <t>車輛控制器與電池管理模組1間CAN信號不連續</t>
  </si>
  <si>
    <t>车辆控制器与电池管理模块1间CAN信号不连续</t>
  </si>
  <si>
    <t>1.請檢查聯合控制模組與高壓電池組線束接頭端子是否有損壞、彎曲、退出或是腐蝕。
2.更換高壓電池組控制器。</t>
  </si>
  <si>
    <t>Monitor detect life counter not continue from BMS1 for 50ms continuously</t>
  </si>
  <si>
    <t>After 2 time(s) of above detection continuously. (Total time for decision = 100ms)</t>
    <phoneticPr fontId="45" type="noConversion"/>
  </si>
  <si>
    <t>Monitor detect life counter continue from BMS1 for 400ms continuously</t>
    <phoneticPr fontId="45" type="noConversion"/>
  </si>
  <si>
    <t>1. Set power output demand decreases to 0N-m linearly. (AND)
2. Do general power down process if vehicle speed &lt;= 3kph (AND)
3. Keep vehicle power state = STANDBY (AND)
4. Set red indicator ON (AND)
5. DTC write into NVM
6. Vehicle malfunction LV3 POPUP</t>
  </si>
  <si>
    <t>168</t>
  </si>
  <si>
    <t>車輛控制器與電池管理模組1間CAN信號不完整</t>
  </si>
  <si>
    <t>车辆控制器与电池管理模块1间CAN信号不完整</t>
  </si>
  <si>
    <t>Monitor detect checksum not continue from BMS1 for 50ms continuously</t>
  </si>
  <si>
    <t>Monitor detect checksum continue from BMS1 for 400ms continuously</t>
    <phoneticPr fontId="45" type="noConversion"/>
  </si>
  <si>
    <t>169</t>
  </si>
  <si>
    <t>車輛控制器與二合一充電模組1間CAN信號不連續</t>
  </si>
  <si>
    <t>车辆控制器与二合一充电模块1间CAN信号不连续</t>
  </si>
  <si>
    <t>1. Please check whether the terminal of the wiring harness connector of the joint control module and the combined charging unit is damaged, bent, withdrawn or corroded.
2. Replace the combined charging unit</t>
  </si>
  <si>
    <t>1.請檢查聯合控制模組與組合充電單元線束接頭端子是否有損壞、彎曲、退出或是腐蝕。
2.更換組合充電單元。</t>
  </si>
  <si>
    <t>1.请检查联合控制模块与组合充电单元线束接头端子是否有损坏、弯曲、退出或是腐蚀。
2.更换组合充电单元。</t>
  </si>
  <si>
    <t>Monitor detect life counter not continue from CCU1 for 50ms continuously</t>
  </si>
  <si>
    <t>Monitor detect life counter continue from CCU1 for 400ms continuously</t>
    <phoneticPr fontId="45" type="noConversion"/>
  </si>
  <si>
    <t>170</t>
  </si>
  <si>
    <t>車輛控制器與二合一充電模組1間CAN信號不完整</t>
  </si>
  <si>
    <t>车辆控制器与二合一充电模块1间CAN信号不完整</t>
  </si>
  <si>
    <t>Monitor detect checksum not continue from CCU1 for 50ms continuously</t>
  </si>
  <si>
    <t>Monitor detect checksum continue from CCU1 for 400ms continuously</t>
    <phoneticPr fontId="45" type="noConversion"/>
  </si>
  <si>
    <t>171</t>
  </si>
  <si>
    <t>車輛控制器與二合一充電模組2間CAN信號不連續</t>
  </si>
  <si>
    <t>车辆控制器与二合一充电模块2间CAN信号不连续</t>
  </si>
  <si>
    <t>Monitor detect life counter not continue from CCU2 for 500ms continuously</t>
  </si>
  <si>
    <t>After 2 time(s) of above detection continuously. (Total time for decision = 1000ms)</t>
    <phoneticPr fontId="45" type="noConversion"/>
  </si>
  <si>
    <t>Monitor detect life counter continue from CCU2 for 4000ms continuously</t>
    <phoneticPr fontId="45" type="noConversion"/>
  </si>
  <si>
    <t>D31_01_SG005
FTTI: 1.8s
Signal cycle time 100ms
Current:
FD:500*5=2500ms + Meter: 500ms =3s</t>
  </si>
  <si>
    <t>172</t>
  </si>
  <si>
    <t>車輛控制器與二合一充電模組2間CAN信號不完整</t>
  </si>
  <si>
    <t>车辆控制器与二合一充电模块2间CAN信号不完整</t>
  </si>
  <si>
    <t>Monitor detect checksum not continue from CCU2 for 500ms continuously</t>
  </si>
  <si>
    <t>Monitor detect checksum continue from CCU2 for 4000ms continuously</t>
    <phoneticPr fontId="45" type="noConversion"/>
  </si>
  <si>
    <t>173</t>
  </si>
  <si>
    <t>車輛控制器與安全氣囊模組模組1間CAN信號不連續</t>
  </si>
  <si>
    <t>车辆控制器与安全气囊模块模块1间CAN信号不连续</t>
  </si>
  <si>
    <t>1. Please check whether the terminals of the joint control module and the SRS-ECU wiring harness connector are damaged, bent, exited or corroded.
2. Replace the SRS-ECU.</t>
  </si>
  <si>
    <t>1.請檢查聯合控制模組與SRS-ECU線束接頭端子是否有損壞、彎曲、退出或是腐蝕。
2.更換SRS-ECU。</t>
  </si>
  <si>
    <t>1.请检查联合控制模块与SRS-ECU线束接头端子是否有损坏、弯曲、退出或是腐蚀。
2.更换SRS-ECU。</t>
  </si>
  <si>
    <t>Monitor detect life counter not continue from ABM1 for 2.5s continuously</t>
    <phoneticPr fontId="45" type="noConversion"/>
  </si>
  <si>
    <t>After 2 time(s) of above detection continuously. (Total time for decision = 5s)</t>
    <phoneticPr fontId="45" type="noConversion"/>
  </si>
  <si>
    <t>Monitor detect life counter continue from ABM1 for 20s continuously</t>
    <phoneticPr fontId="45" type="noConversion"/>
  </si>
  <si>
    <t>1. Replaced crash signal by hard wire PWM signal as backup (AND)
2. Set red indicator ON (AND)
3. DTC write into NVM</t>
  </si>
  <si>
    <t>1. Key OFF -&gt; STANDBY (OR)
2. When clear DTC is requested (OR)
3,  Pass Criteria = True
4. KDDM_CommErrDiagnosisOffSW = On</t>
  </si>
  <si>
    <t>D31_01_SG002
D31_01_SG003
FTTI: 1.0s (Critical)
Signal cycle time 40ms (TBD)</t>
  </si>
  <si>
    <t>174</t>
  </si>
  <si>
    <t>車輛控制器與安全氣囊模組模組1間CAN信號不完整</t>
  </si>
  <si>
    <t>车辆控制器与安全气囊模块模块1间CAN信号不完整</t>
  </si>
  <si>
    <t>Monitor detect checksum not continue from ABM1 for 2.5s continuously</t>
    <phoneticPr fontId="45" type="noConversion"/>
  </si>
  <si>
    <t>Monitor detect checksum continue from ABM1 for 20s continuously</t>
    <phoneticPr fontId="45" type="noConversion"/>
  </si>
  <si>
    <t>175</t>
  </si>
  <si>
    <t>故障等級一子系統故障</t>
  </si>
  <si>
    <t>故障等级一子系统故障</t>
  </si>
  <si>
    <t>1. The battery management system reports a level 1~3 fault
2. Motor controller sends level 0 fault
3. The DCDC converter reports a level 1 fault
4. The on-board charger reports a level 1 fault</t>
  </si>
  <si>
    <t>1. 電池管理系統發報等級1~3故障
2.馬達控制器發報等級0故障
3. DCDC轉換器發報等級1故障
4. 車載充電器發報等級1故障</t>
  </si>
  <si>
    <t>1. 电池管理系统发报等级1~3故障
2.马达控制器发报等级0故障
3. DCDC转换器发报等级1故障
4. 车载充电器发报等级1故障</t>
  </si>
  <si>
    <t>Check whether the battery system, motor system, and charging system send Trouble codes, and troubleshoot them according to the corresponding fault codes</t>
  </si>
  <si>
    <t>確認電池系統、電機系統、充電系統是否發報故障碼，並依相對應故障碼進行排查</t>
  </si>
  <si>
    <t>确认电池系统、电机系统、充电系统是否发报故障码，并依相对应故障码进行排查</t>
  </si>
  <si>
    <t>System fault</t>
  </si>
  <si>
    <t>VCU not receive positive result of system fault  for 500ms continuously
Definition of positive result as below :
VDDM_OBCFaultLv1_flg = False
VDDM_DCDCFaultLv1_flg = False
VDDM_MCUF1FaultLv1_flg = False
VDDM_MCUR1FaultLv1_flg = False
VDDM_BMSFaultLv1_flg = False
VDDM_ESCFaultLv1_flg = False
VDDM_Shifter1FaultLv1_flg = False
VDDM_ZoneDrFaultLv1_flg = False
VDDM_ZoneFrFaultLv1_flg = False</t>
    <phoneticPr fontId="45" type="noConversion"/>
  </si>
  <si>
    <t>After 1 time(s) of above detection continuously.</t>
  </si>
  <si>
    <t>VCU receive positive result of system fault for 500ms continuously.</t>
  </si>
  <si>
    <t>1. DTC write into NVM</t>
  </si>
  <si>
    <t>1. Key OFF -&gt; STANDBY (OR)
2. When clear DTC is requested (OR)
3,  Pass Criteria = True
4. KDDM_PMMErrDiagnosisOffSW = On</t>
  </si>
  <si>
    <t>176</t>
  </si>
  <si>
    <t>故障等級二子系統故障</t>
  </si>
  <si>
    <t>故障等级二子系统故障</t>
  </si>
  <si>
    <t>1. The battery management system reports a level 4~5 fault
2. Motor controller sends level 1~2 fault
3. The DCDC converter reports a level 2 fault</t>
  </si>
  <si>
    <t>1. 電池管理系統發報等級4~5故障
2.馬達控制器發報等級1~2故障
3. DCDC轉換器發報等級2故障</t>
  </si>
  <si>
    <t>1. 电池管理系统发报等级4~5故障
2.马达控制器发报等级1~2故障
3. DCDC转换器发报等级2故障</t>
  </si>
  <si>
    <t>VCU not receive positive result of system fault for 500ms continuously.
Definition of positive result as below :
VDDM_DCDCFaultLv2_flg = False
VDDM_MCUF1FaultLv2_flg = False
VDDM_MCUR1FaultLv2_flg = False
VDDM_BMSFaultLv2_flg = False
VDDM_ZoneDrFaultLv2_flg = False
VDDM_ZoneFrFaultLv2_flg = False</t>
    <phoneticPr fontId="45" type="noConversion"/>
  </si>
  <si>
    <t>1. Key OFF -&gt; STANDBY (OR)
2. When clear DTC is requested (OR)
3. KDDM_PMMErrDiagnosisOffSW = On</t>
  </si>
  <si>
    <t>177</t>
  </si>
  <si>
    <t>故障等級三子系統故障</t>
  </si>
  <si>
    <t>故障等级三子系统故障</t>
  </si>
  <si>
    <t>1. The battery management system reports a level 6 fault
2. Motor controller sends level 3 fault</t>
  </si>
  <si>
    <t>1. 電池管理系統發報等級6故障
2.馬達控制器發報等級3故障</t>
  </si>
  <si>
    <t>1. 电池管理系统发报等级6故障
2.马达控制器发报等级3故障</t>
  </si>
  <si>
    <t>Check whether the battery system and motor system send Trouble codes, and troubleshoot them according to the corresponding fault codes</t>
  </si>
  <si>
    <t>確認電池系統、電機系統是否發報故障碼，並依相對應故障碼進行排查</t>
  </si>
  <si>
    <t>确认电池系统、电机系统是否发报故障码，并依相对应故障码进行排查</t>
  </si>
  <si>
    <t>VCU not receive positive result of system fault for 500ms continuously..
Definition of positive result as below :
VDDM_MCUF1FaultLv3_flg = False
VDDM_MCUR1FaultLv3_flg = False
VDDM_BMSFaultLv3_flg = False
VDDM_ZoneFrFaultLv3_flg = False</t>
    <phoneticPr fontId="45" type="noConversion"/>
  </si>
  <si>
    <t>178</t>
  </si>
  <si>
    <t>故障等級四子系統故障</t>
  </si>
  <si>
    <t>故障等级四子系统故障</t>
  </si>
  <si>
    <t>1. The battery management system reports a level 7~8 fault</t>
  </si>
  <si>
    <t>1. 電池管理系統發報等級7~8故障</t>
  </si>
  <si>
    <t>1. 电池管理系统发报等级7~8故障</t>
  </si>
  <si>
    <t>Check whether the battery system system send Trouble codes, and troubleshoot them according to the corresponding fault codes</t>
  </si>
  <si>
    <t>確認電池系統是否發報故障碼，並依相對應故障碼進行排查</t>
  </si>
  <si>
    <t>确认电池系统是否发报故障码，并依相对应故障码进行排查</t>
  </si>
  <si>
    <t>VCU not receive positive result of system fault for 500ms continuously..
Definition of positive result as below :
VDDM_BMSFaultLv4_flg = False</t>
    <phoneticPr fontId="45" type="noConversion"/>
  </si>
  <si>
    <t>1. Set power output demand to 0N-m immediately. (AND)
2. Do emergency power down process. (AND)
3. Keep vehicle power state = STANDBY (AND)
4. Set red indicator ON (AND)
5. DTC write into NVM
6. Vehicle malfunction LV4 POPUP</t>
  </si>
  <si>
    <t>179</t>
  </si>
  <si>
    <t>低壓電池啟動電壓過低</t>
  </si>
  <si>
    <t>低压电池启动电压过低</t>
  </si>
  <si>
    <t>1. Low-voltage battery overdischarge
2. Low-voltage battery aging</t>
  </si>
  <si>
    <t>1. 低壓電瓶過放電
2. 低壓電瓶老化</t>
  </si>
  <si>
    <t>1. 低压电瓶过放电
2. 低压电瓶老化</t>
  </si>
  <si>
    <t>1.check the health of the 12V battery, please refer to the maintenance section in the maintenance manual
2. Replace the battery
3. Check whether the low-voltage circuit has leakage current or dark current abnormality</t>
  </si>
  <si>
    <t>1.檢查12V電瓶健康度，請參照維修手冊中保養之章節
2.更換電瓶
3.檢查低壓回路是否有漏電流或暗電流異常</t>
  </si>
  <si>
    <t>1.检查12V电瓶健康度，请参照维修手册中保养之章节
2.更换电瓶
3.检查低压回路是否有漏电流或暗电流异常</t>
  </si>
  <si>
    <t>Monitor detect LVvoltage &lt;= 9.5V for 5s continuously</t>
    <phoneticPr fontId="28" type="noConversion"/>
  </si>
  <si>
    <t>for D31L CAN MM use:
Vehicle power state = 
OFF (OR)
Stnadby (AND) 
No CAN Loss of BMS2 detected
for FPD1 CAN MM use:
Vehicle power state =
OFF (OR)
Stnadby (AND) 
No CAN Loss of BMS5 detected</t>
    <phoneticPr fontId="28" type="noConversion"/>
  </si>
  <si>
    <t>After 3 time(s) of above detection continuously. (Total time for decision = 15s)</t>
  </si>
  <si>
    <t>Monitor detect voltage in the range for 15s continuously</t>
  </si>
  <si>
    <t>1. Set power output demand linearly decreases to the "Limp home" mode. (AND)
2. Set red indicator ON (AND)
3. Vehicle malfunction LV2 POPUP (AND)
4. DTC write into NVM</t>
  </si>
  <si>
    <t>1. Key OFF -&gt; STANDBY (OR)
2. When clear DTC is requested (OR)
3,  Pass Criteria = True (OR)
4. KDDM_LVErrDiagnosisOffSW = On</t>
  </si>
  <si>
    <t>180</t>
  </si>
  <si>
    <t>低壓系統電源輸出過高</t>
  </si>
  <si>
    <t>低压系统电源输出过高</t>
  </si>
  <si>
    <t>Abnormal output of DCDC converter</t>
  </si>
  <si>
    <t>DCDC轉換器輸出異常</t>
  </si>
  <si>
    <t>DCDC转换器输出异常</t>
  </si>
  <si>
    <t>1. Check whether the output voltage of the integrated charging unit is greater than 15.5V (measure the voltage of the small battery)
2. Please refer to the Charging System section for troubleshooting</t>
  </si>
  <si>
    <r>
      <t>1.</t>
    </r>
    <r>
      <rPr>
        <sz val="12"/>
        <rFont val="MS Gothic"/>
        <family val="3"/>
        <charset val="128"/>
      </rPr>
      <t>檢</t>
    </r>
    <r>
      <rPr>
        <sz val="12"/>
        <rFont val="Microsoft YaHei"/>
        <family val="2"/>
        <charset val="134"/>
      </rPr>
      <t>查</t>
    </r>
    <r>
      <rPr>
        <sz val="12"/>
        <rFont val="Microsoft JhengHei"/>
        <family val="2"/>
      </rPr>
      <t>集成式充電單元</t>
    </r>
    <r>
      <rPr>
        <sz val="12"/>
        <rFont val="MS Gothic"/>
        <family val="3"/>
        <charset val="128"/>
      </rPr>
      <t>輸出電壓是否大於</t>
    </r>
    <r>
      <rPr>
        <sz val="12"/>
        <rFont val="Arial"/>
        <family val="2"/>
      </rPr>
      <t>15.5V(</t>
    </r>
    <r>
      <rPr>
        <sz val="12"/>
        <rFont val="Microsoft JhengHei"/>
        <family val="2"/>
      </rPr>
      <t>量測小電瓶電壓</t>
    </r>
    <r>
      <rPr>
        <sz val="12"/>
        <rFont val="Arial"/>
        <family val="2"/>
      </rPr>
      <t>)
2.</t>
    </r>
    <r>
      <rPr>
        <sz val="12"/>
        <rFont val="MS Gothic"/>
        <family val="3"/>
        <charset val="128"/>
      </rPr>
      <t>請參照充電系統章節故障處置</t>
    </r>
  </si>
  <si>
    <r>
      <t>1.</t>
    </r>
    <r>
      <rPr>
        <sz val="12"/>
        <rFont val="Microsoft JhengHei"/>
        <family val="2"/>
        <charset val="136"/>
      </rPr>
      <t>检查集成式充电单元输出电压是否大于</t>
    </r>
    <r>
      <rPr>
        <sz val="12"/>
        <rFont val="Arial"/>
        <family val="2"/>
      </rPr>
      <t>15.5V</t>
    </r>
    <r>
      <rPr>
        <sz val="12"/>
        <rFont val="Microsoft JhengHei"/>
        <family val="2"/>
        <charset val="136"/>
      </rPr>
      <t>（量测小电瓶电压）</t>
    </r>
    <r>
      <rPr>
        <sz val="12"/>
        <rFont val="Arial"/>
        <family val="2"/>
      </rPr>
      <t xml:space="preserve">
2.</t>
    </r>
    <r>
      <rPr>
        <sz val="12"/>
        <rFont val="Microsoft JhengHei"/>
        <family val="2"/>
        <charset val="136"/>
      </rPr>
      <t>请参照充电系统章节故障处置</t>
    </r>
  </si>
  <si>
    <t>Monitor detect LV voltage &gt;= 15.5V for 5s continuously</t>
    <phoneticPr fontId="28" type="noConversion"/>
  </si>
  <si>
    <t xml:space="preserve">for D31L CAN MM use:
(Vehicle power state =
ON (OR)
READY (OR)
OFF-A (OR)
OFF-C) (AND)
No CAN Loss of BMS2 detected 
for FPD1 CAN MM use:
(Vehicle power state =
ON (OR)
READY (OR)
OFF-A (OR)
OFF-C) (AND)
No CAN Loss of BMS5 detected </t>
    <phoneticPr fontId="28" type="noConversion"/>
  </si>
  <si>
    <t>Monitor detect voltage in the range for 5s continuously</t>
  </si>
  <si>
    <t>1. Key OFF -&gt; STANDBY (OR)
2. When clear DTC is requested (OR)
3. KDDM_LVErrDiagnosisOffSW = On</t>
  </si>
  <si>
    <t>181</t>
  </si>
  <si>
    <t>低壓系統電源輸出過低</t>
  </si>
  <si>
    <t>低压系统电源输出过低</t>
  </si>
  <si>
    <t>1. Check whether the output voltage of the integrated charging unit is less than 13V (measure the voltage of the small battery)
2. Please refer to the Charging System section for troubleshooting</t>
  </si>
  <si>
    <r>
      <t>1.</t>
    </r>
    <r>
      <rPr>
        <sz val="12"/>
        <rFont val="MS Gothic"/>
        <family val="3"/>
        <charset val="128"/>
      </rPr>
      <t>檢</t>
    </r>
    <r>
      <rPr>
        <sz val="12"/>
        <rFont val="Microsoft YaHei"/>
        <family val="2"/>
        <charset val="134"/>
      </rPr>
      <t>查</t>
    </r>
    <r>
      <rPr>
        <sz val="12"/>
        <rFont val="Microsoft JhengHei"/>
        <family val="2"/>
      </rPr>
      <t>集成式充電單元</t>
    </r>
    <r>
      <rPr>
        <sz val="12"/>
        <rFont val="MS Gothic"/>
        <family val="3"/>
        <charset val="128"/>
      </rPr>
      <t>輸出電壓是否小於</t>
    </r>
    <r>
      <rPr>
        <sz val="12"/>
        <rFont val="Arial"/>
        <family val="2"/>
      </rPr>
      <t>13V(</t>
    </r>
    <r>
      <rPr>
        <sz val="12"/>
        <rFont val="Microsoft JhengHei"/>
        <family val="2"/>
        <charset val="136"/>
      </rPr>
      <t>量測小電瓶電壓</t>
    </r>
    <r>
      <rPr>
        <sz val="12"/>
        <rFont val="Arial"/>
        <family val="2"/>
      </rPr>
      <t>)
2.</t>
    </r>
    <r>
      <rPr>
        <sz val="12"/>
        <rFont val="MS Gothic"/>
        <family val="3"/>
        <charset val="128"/>
      </rPr>
      <t>請參照充電系統章節故障處置</t>
    </r>
  </si>
  <si>
    <r>
      <t>1.</t>
    </r>
    <r>
      <rPr>
        <sz val="12"/>
        <rFont val="Microsoft JhengHei"/>
        <family val="2"/>
        <charset val="136"/>
      </rPr>
      <t>检查集成式充电单元输出电压是否小于</t>
    </r>
    <r>
      <rPr>
        <sz val="12"/>
        <rFont val="Arial"/>
        <family val="2"/>
      </rPr>
      <t>13V</t>
    </r>
    <r>
      <rPr>
        <sz val="12"/>
        <rFont val="Microsoft JhengHei"/>
        <family val="2"/>
        <charset val="136"/>
      </rPr>
      <t>（量测小电瓶电压）</t>
    </r>
    <r>
      <rPr>
        <sz val="12"/>
        <rFont val="Arial"/>
        <family val="2"/>
      </rPr>
      <t xml:space="preserve">
2.</t>
    </r>
    <r>
      <rPr>
        <sz val="12"/>
        <rFont val="Microsoft JhengHei"/>
        <family val="2"/>
        <charset val="136"/>
      </rPr>
      <t>请参照充电系统章节故障处置</t>
    </r>
  </si>
  <si>
    <t>Monitor detect LV voltage &lt;= 13V for 5s continuously</t>
    <phoneticPr fontId="28" type="noConversion"/>
  </si>
  <si>
    <t xml:space="preserve">for D31L CAN MM use:
(Vehicle power state =
ON (OR)
READY (OR)
OFF-A (OR)
OFF-C) (AND)
No CAN Loss of BMS2 detected 
for FPD1 CAN MM use:
(Vehicle power state =
ON (OR)
READY (OR)
OFF-A (OR)
OFF-C) (AND)
No CAN Loss of BMS5 detected </t>
  </si>
  <si>
    <t>182</t>
  </si>
  <si>
    <t>高壓電池準備預充電失效</t>
  </si>
  <si>
    <t>高压电池准备预充电失效</t>
  </si>
  <si>
    <t>Battery management system self-diagnosis is abnormal</t>
  </si>
  <si>
    <t>電池管理系統自檢異常</t>
  </si>
  <si>
    <t>电池管理系统自检异常</t>
  </si>
  <si>
    <t>1. Check whether the front area controller or battery system has a fault code, and the fault code should be eliminated</t>
  </si>
  <si>
    <t>1.檢查前區域控制器或者電池系統是否有報故障碼，並應故障碼排除</t>
  </si>
  <si>
    <t>1.检查前区域控制器或者电池系统是否有报故障码，并应故障码排除</t>
  </si>
  <si>
    <t>Power up fault</t>
  </si>
  <si>
    <t xml:space="preserve">Monitor detect the HVB ready for precharge  timeout flag (VDMM_HVB4PreChk_flg) from PMM
</t>
  </si>
  <si>
    <t>Vehicle power state ~= OFF</t>
  </si>
  <si>
    <t>Monitor not detect the HVB ready for precharge  timeout flag from PMM</t>
  </si>
  <si>
    <t>1. Do general power down process (AND)
2. Keep vehicle power state = STANDBY, if user request power up  (AND)
3. Set red indicator ON (AND)
4. prohibit power up process in current key cycle
5. DTC write into NVM
6. Vehicle malfunction LV3 POPUP</t>
  </si>
  <si>
    <t>1. Key OFF -&gt; STANDBY (OR)
2. When clear DTC is requested (OR)
3. KDDM_PwrUpDnDiagnosisOffSW = On (OR)
4. Pass Criteria = True</t>
    <phoneticPr fontId="45" type="noConversion"/>
  </si>
  <si>
    <t>183</t>
  </si>
  <si>
    <t>馬達控制器準備預充電失效</t>
  </si>
  <si>
    <t>马达控制器准备预充电失效</t>
  </si>
  <si>
    <t>Motor control unit self-diagnosis is abnormal</t>
  </si>
  <si>
    <t>馬達控制單元自檢異常</t>
  </si>
  <si>
    <t>马达控制单元自检异常</t>
  </si>
  <si>
    <t>1. Check whether the front area controller or motor controller system has a fault code, and the fault code should be eliminated</t>
  </si>
  <si>
    <t>1.檢查前區域控制器或者馬達控制器系統是否有報故障碼，並應故障碼排除</t>
  </si>
  <si>
    <t>1.检查前区域控制器或者马达控制器系统是否有报故障码，并应故障码排除</t>
  </si>
  <si>
    <t>Monitor detect the MCU ready for precharge  timeout flag(VDMM_MCU4PreChk_flg)  from PMM</t>
  </si>
  <si>
    <t>Monitor not detect the MCU ready for precharge  timeout flag from PMM</t>
  </si>
  <si>
    <t>184</t>
  </si>
  <si>
    <t>DCDC轉換器準備預充電失效</t>
  </si>
  <si>
    <t>DCDC转换器准备预充电失效</t>
  </si>
  <si>
    <t>DCDC converter self-diagnosis is abnormal</t>
  </si>
  <si>
    <t>DCDC轉換器自檢異常</t>
  </si>
  <si>
    <t>DCDC转换器自检异常</t>
  </si>
  <si>
    <t>1. Check whether the front area controller or integrated charging unit has a fault code, and the fault code should be eliminated</t>
  </si>
  <si>
    <r>
      <t>1.</t>
    </r>
    <r>
      <rPr>
        <sz val="12"/>
        <rFont val="MS Gothic"/>
        <family val="3"/>
        <charset val="128"/>
      </rPr>
      <t>檢</t>
    </r>
    <r>
      <rPr>
        <sz val="12"/>
        <rFont val="Microsoft YaHei"/>
        <family val="2"/>
        <charset val="134"/>
      </rPr>
      <t>查前區域控制器或者集成式充電單元是否有報故障碼，並應故障碼排除</t>
    </r>
  </si>
  <si>
    <t>1.检查前区域控制器或者集成式充电单元是否有报故障码，并应故障码排除</t>
  </si>
  <si>
    <t>Monitor detect the DCDC ready for precharge  timeout flag (VDMM_DCDC4PreChk_flg) from PMM</t>
  </si>
  <si>
    <t>Monitor not detect the DCDC ready for precharge  timeout flag from PMM</t>
  </si>
  <si>
    <t>185</t>
  </si>
  <si>
    <t>高壓繼電器接合失效</t>
  </si>
  <si>
    <t>高压继电器接合失效</t>
  </si>
  <si>
    <t>Failure to respond to the command signal of the vehicle controller within the time</t>
  </si>
  <si>
    <t>未在時間內響應車輛控制器指令訊號</t>
  </si>
  <si>
    <t>未在时间内响应车辆控制器指令讯号</t>
  </si>
  <si>
    <t>Monitor detect the BMS HV relay closed  timeout flag (VDMM_HVRlyCloChk_flg)  from PMM</t>
  </si>
  <si>
    <t>Monitor not detect the BMS HV relay closed   timeout flag from PMM</t>
  </si>
  <si>
    <t>186</t>
  </si>
  <si>
    <t>高壓電池準備就緒狀態失效</t>
  </si>
  <si>
    <t>高压电池准备就绪状态失效</t>
  </si>
  <si>
    <t>Monitor detect the BMS ready  timeout flag (VDMM_BMSRdyChk_flg) from PMM</t>
  </si>
  <si>
    <t>Monitor not detect the BMS ready  timeout flag from PMM</t>
  </si>
  <si>
    <t>187</t>
  </si>
  <si>
    <t>DCDC轉換器啟用失效</t>
  </si>
  <si>
    <t>DCDC转换器启用失效</t>
  </si>
  <si>
    <t>Check whether the charging system reports a fault code, and follow the trouble code maintenance suggestions</t>
  </si>
  <si>
    <t>1.檢查前區域控制器或者集成式充電單元是否有報故障碼，並應故障碼排除</t>
  </si>
  <si>
    <t>Monitor detect the DCDC enable  timeout flag (VDMM_DCDCEnaChk_flg)  from PMM</t>
  </si>
  <si>
    <t>Monitor not detect the DCDC enable  timeout flag from PMM</t>
  </si>
  <si>
    <t>188</t>
  </si>
  <si>
    <t>高等級系統安檢失效</t>
  </si>
  <si>
    <t>高等级系统安检失效</t>
  </si>
  <si>
    <t>Check condition not satisfied</t>
  </si>
  <si>
    <t>檢查條件不滿足</t>
  </si>
  <si>
    <t>检查条件不满足</t>
  </si>
  <si>
    <t>Confirm whether the vehicle/impact sensor has collided</t>
  </si>
  <si>
    <t xml:space="preserve">
確認車輛/撞擊感知器是否發生碰撞</t>
  </si>
  <si>
    <t xml:space="preserve">
确认车辆/撞击感知器是否发生碰撞</t>
  </si>
  <si>
    <t>Monitor detect the High level system safety check  timeout flag (VDMM_HiLvSaChkChk_flg)  from PMM</t>
  </si>
  <si>
    <t>Monitor not detect the High level system safety check  timeout flag from PMM</t>
  </si>
  <si>
    <t>189</t>
  </si>
  <si>
    <t>中等級階系統安檢失效</t>
  </si>
  <si>
    <t>中等级阶系统安检失效</t>
  </si>
  <si>
    <t>For high-voltage interlocks abnormal, please refer to the Battery Systems section for handling high-voltage interlocks</t>
  </si>
  <si>
    <r>
      <rPr>
        <sz val="12"/>
        <rFont val="MS Gothic"/>
        <family val="3"/>
        <charset val="128"/>
      </rPr>
      <t>高壓互鎖</t>
    </r>
    <r>
      <rPr>
        <sz val="12"/>
        <rFont val="Microsoft JhengHei"/>
        <family val="3"/>
        <charset val="136"/>
      </rPr>
      <t>異常</t>
    </r>
    <r>
      <rPr>
        <sz val="12"/>
        <rFont val="MS Gothic"/>
        <family val="3"/>
        <charset val="128"/>
      </rPr>
      <t>，請參照電池系統章節高壓互鎖處理常式</t>
    </r>
  </si>
  <si>
    <r>
      <rPr>
        <sz val="12"/>
        <rFont val="MS Gothic"/>
        <family val="3"/>
        <charset val="128"/>
      </rPr>
      <t>高</t>
    </r>
    <r>
      <rPr>
        <sz val="12"/>
        <rFont val="Microsoft YaHei"/>
        <family val="2"/>
        <charset val="134"/>
      </rPr>
      <t>压互锁</t>
    </r>
    <r>
      <rPr>
        <sz val="12"/>
        <rFont val="Microsoft JhengHei"/>
        <family val="2"/>
        <charset val="136"/>
      </rPr>
      <t>異常</t>
    </r>
    <r>
      <rPr>
        <sz val="12"/>
        <rFont val="Microsoft YaHei"/>
        <family val="2"/>
        <charset val="134"/>
      </rPr>
      <t>，请参照电池系统章节高压互锁处理程序</t>
    </r>
  </si>
  <si>
    <t>Monitor detect the Mid level system safety check  timeout flag (VDMM_MidLvSaChkChk_flg) from PMM</t>
  </si>
  <si>
    <t>Monitor not detect the Mid level system safety check  timeout flag from PMM</t>
  </si>
  <si>
    <t>190</t>
  </si>
  <si>
    <t>馬達控制器停用失效</t>
  </si>
  <si>
    <t>马达控制器停用失效</t>
  </si>
  <si>
    <t>Please refer to Motor System Troubleshooting</t>
  </si>
  <si>
    <t>請參照電機系統故障處置</t>
  </si>
  <si>
    <t>请参照电机系统故障处置</t>
  </si>
  <si>
    <t>Power down fault</t>
  </si>
  <si>
    <t>Monitor detect the MCU disable  timeout flag (VDMM_MCUDisChk_flg) from PMM</t>
  </si>
  <si>
    <t>Monitor not detect the MCU disable  timeout flag from PMM</t>
  </si>
  <si>
    <t>1. Key OFF -&gt; STANDBY (OR)
2. When clear DTC is requested (OR)
3,  Pass Criteria = True (OR)
4. KDDM_PwrUpDnDiagnosisOffSW = On</t>
  </si>
  <si>
    <t>191</t>
  </si>
  <si>
    <t>DCDC停用失效</t>
  </si>
  <si>
    <t>Please refer to Charging System Troubleshooting</t>
  </si>
  <si>
    <t>請參照充電系統故障處置</t>
  </si>
  <si>
    <t>请参照充电系统故障处置</t>
  </si>
  <si>
    <t>Monitor detect the DCDC disable  timeout flag (VDMM_DCDCDisChk_flg)  from PMM</t>
  </si>
  <si>
    <t>Monitor not detect the DCDC disable  timeout flag from PMM</t>
  </si>
  <si>
    <t>192</t>
  </si>
  <si>
    <t>高壓繼電器斷開失效</t>
  </si>
  <si>
    <t>高压继电器断开失效</t>
  </si>
  <si>
    <t>Please refer to Battery System Trouble Handling</t>
  </si>
  <si>
    <t>請參照電池系統故障處置</t>
  </si>
  <si>
    <t>请参照电池系统故障处置</t>
  </si>
  <si>
    <t>Monitor detect the BMS HV realay opened  timeout flag (VDMM_HVRlyOpChk_flg) from PMM</t>
  </si>
  <si>
    <t>Monitor not detect the BMS HV realay opened  timeout flag from PMM</t>
  </si>
  <si>
    <t>1. Keep vehicle power state = STANDBY, (AND)
2. Set red indicator ON (AND)
3. Prohibit power up process in current key cycle
4. DTC write into NVM
 Vehicle malfunction LV3 POPUP
5. Request hazard flashing while STANDBY
6. POPUP system abnormal and discharge fail warning message.</t>
  </si>
  <si>
    <t>193</t>
  </si>
  <si>
    <t>馬達控制器主動放電失效</t>
  </si>
  <si>
    <t>马达控制器主动放电失效</t>
  </si>
  <si>
    <t>Please refer to Motor System Trouble Handling</t>
  </si>
  <si>
    <t>Monitor detect the MCU active discharge  timeout flag(VDMM_MCUActChk_flg) from PMM</t>
  </si>
  <si>
    <t>Monitor not detect the MCU active discharge  timeout flag from PMM</t>
  </si>
  <si>
    <t>1. Key OFF -&gt; STANDBY (OR)
2. When clear DTC is requested (OR)
3,  Pass Criteria = True (OR)
4. RrMCUDCBusVolt_V &lt;= KPMM_MCUDischrgVolt_V(60v) (OR)
5. KDDM_PwrUpDnDiagnosisOffSW = On</t>
  </si>
  <si>
    <t>194</t>
  </si>
  <si>
    <t>車載充電器準備預充電失效</t>
  </si>
  <si>
    <t>车载充电器准备预充电失效</t>
  </si>
  <si>
    <t>OBC self-diagnosis is abnormal</t>
  </si>
  <si>
    <t>車載充電器自檢異常</t>
  </si>
  <si>
    <t>车载充电器自检异常</t>
  </si>
  <si>
    <t>Charging fault</t>
  </si>
  <si>
    <t>Monitor detect the OBC ready for precharge  timeout flag from PMM</t>
  </si>
  <si>
    <t>Monitor not detect the OBC ready for precharge  timeout flag from PMM</t>
  </si>
  <si>
    <t>195</t>
  </si>
  <si>
    <t>剎車開關失效</t>
  </si>
  <si>
    <t>刹车开关失效</t>
  </si>
  <si>
    <t>1. Abnormal comparison between FD GPIO2 input signal and ESC brake switch CAN signal
2. Abnormal comparison between FD GPIO 1 input signal and FD GPIO 2 signal
3. The brake switch CAN signal from ESC 5 is abnormal.
4. The brake stroke CAN signal from ESC 7 is abnormal.</t>
  </si>
  <si>
    <t>1. FD GPIO2輸入信號與ESC 剎車開關CAN訊號比對異常
2.FD GPIO 1輸入信號與FD GPIO 2信號比對異常
3. 來自ESC 5 的剎車開關CAN訊號異常
4. 來自ESC 7 的剎車行程CAN訊號異常</t>
  </si>
  <si>
    <t>1. FD GPIO2输入信号与ESC 刹车开关CAN讯号比对异常
2.FD GPIO 1输入信号与FD GPIO 2信号比对异常
3. 来自ESC 5 的刹车开关CAN讯号异常
4. 来自ESC 7 的刹车行程CAN讯号异常</t>
  </si>
  <si>
    <t>1.Replace the brake switch layer
2.Confirm whether the brake harness and connector are damaged</t>
  </si>
  <si>
    <t xml:space="preserve">1.更換煞車開關層別
2.確認剎車線束、接頭是否破損
</t>
  </si>
  <si>
    <t xml:space="preserve">1.更换煞车开关层别
2.确认剎车线束、接头是否破损
</t>
  </si>
  <si>
    <t>Monitor detect any VDDM_BrakeSigMatrix_enum
= 1, 2, 4, 5, 6, 7, 8, 10, 11, 13, 14,15,16,
17, 18, 20, 22, 23, 25, 26, 27, 28, 29,
30, 31, 32, 34, 35  for 5 sec continuously.</t>
    <phoneticPr fontId="45" type="noConversion"/>
  </si>
  <si>
    <t xml:space="preserve">Vehicle power state ~= OFF (AND)
Brake pedal position not in 5~40% depth. </t>
    <phoneticPr fontId="45" type="noConversion"/>
  </si>
  <si>
    <t>After 3 time(s) of above detection continuously.</t>
    <phoneticPr fontId="45" type="noConversion"/>
  </si>
  <si>
    <t>Monitor not detect any VDDM_BrakeSigMatrix_enum
= 1, 2, 4, 5, 6, 7, 8, 10, 11, 13, 14,15,16,17, 18, 22, 23, 25, 26, 27, 28, 29,
30, 31, 32, 34, 35  for 15 sec continuously.</t>
    <phoneticPr fontId="45" type="noConversion"/>
  </si>
  <si>
    <t>1. Set red indicator ON (AND)
2. DTC write into NVM</t>
  </si>
  <si>
    <t>1. Key OFF -&gt; STANDBY (OR)
2. When clear DTC is requested (OR)
3,  Pass Criteria = True (OR)
4. KDDM_BrkSWDiagnosisOffSW = On</t>
  </si>
  <si>
    <t>196</t>
  </si>
  <si>
    <t>剎車開關訊號嚴重異常且無備援訊號</t>
  </si>
  <si>
    <t>刹车开关讯号严重异常且无备援讯号</t>
  </si>
  <si>
    <t>Monitor detect any  VDDM_BrakeSigMatrix_enum =
9, 12, 21, 24, 33, 36 for 5 sec continuously.</t>
    <phoneticPr fontId="45" type="noConversion"/>
  </si>
  <si>
    <t>After 3 time(s) of above detection continuously.(Total time for decision = 3s)</t>
  </si>
  <si>
    <t>Monitor not detect any  VDDM_BrakeSigMatrix_enum =9, 12, 21, 24, 33, 36 for 15 sec continuously.</t>
    <phoneticPr fontId="45" type="noConversion"/>
  </si>
  <si>
    <t>1. Set power output demand linearly decreases to the "Limp home" mode. (AND)
2. Set red indicator ON (AND)
3. DTC write into NVM (AND)
4. All brake signals used by the VCU_DC and PMM ON to READY must be set to an invalid state. (AND)
5. When the power state is ON and any of the gear D,N,R command is received 1 sec continuously , ask the user "系統故障，您是否要進入 READY狀態?". if user comfirmed and allow into READY state.</t>
  </si>
  <si>
    <t>1. Key OFF -&gt; STANDBY (OR)
2. When clear DTC is requested (OR)
3. KDDM_BrkSWDiagnosisOffSW = On</t>
  </si>
  <si>
    <t>197</t>
  </si>
  <si>
    <t>駕駛側座椅開關失效</t>
  </si>
  <si>
    <t>驾驶侧座椅开关失效</t>
  </si>
  <si>
    <t>Switch failure</t>
  </si>
  <si>
    <t>開關故障</t>
  </si>
  <si>
    <t>开关故障</t>
  </si>
  <si>
    <t>1. Replace the seat switch layer
2. Check whether the seat harness and connector are damaged</t>
  </si>
  <si>
    <t xml:space="preserve">1.更換座椅開關層別
2.確認座椅線束、接頭是否破損
</t>
  </si>
  <si>
    <t xml:space="preserve">1.更换座椅开关层别
2.确认座椅线束、接头是否破损
</t>
  </si>
  <si>
    <t>Monitor detect status of driver seat switch changed frequently, cycle less than 300msec  for 1 sec continuously.</t>
    <phoneticPr fontId="45" type="noConversion"/>
  </si>
  <si>
    <t>After 5 time(s) of above detection continuously.</t>
  </si>
  <si>
    <t>Monitor detect status of driver seat switch not change for 5 sec continuously.</t>
  </si>
  <si>
    <t>1. DTC write into NVM  (AND)
2. All driver seat signals used by the VCU must be set to an invalid state. (AND)
3. Popup " 系統異常，若要離車請使用手動電源關閉功能" information</t>
  </si>
  <si>
    <t>1. Key OFF -&gt; STANDBY (OR)
2. When clear DTC is requested (OR)
3,  Pass Criteria = True (OR)
4. KDDM_SWFailDiagnosisOffSW = On</t>
  </si>
  <si>
    <t>D31_01_SG004</t>
  </si>
  <si>
    <t>198</t>
  </si>
  <si>
    <t>前左車門開關失效</t>
  </si>
  <si>
    <t>前左车门开关失效</t>
  </si>
  <si>
    <t>1.Replace the front left door switch layer 
2.Confirm whether the wiring harness and connector of the left door are damaged</t>
  </si>
  <si>
    <t xml:space="preserve">1.更換前左車門開關層別
2.確認左車門開線束、接頭是否破損
</t>
  </si>
  <si>
    <t xml:space="preserve">1.更换前左车门开关层别
2.确认左车门开线束、接头是否破损
</t>
  </si>
  <si>
    <t>Monitor detect status of FL door switch changed frequently, cycle less than 300msec  for 1 sec continuously.</t>
    <phoneticPr fontId="45" type="noConversion"/>
  </si>
  <si>
    <t>Monitor detect status of FL door switch not change for 5 sec continuously.</t>
  </si>
  <si>
    <t>1.  DTC write into NVM (AND)
2. Set door state signal = Invalid, and all the door signal conditions of  Power Mode Determination shall be ignored. (AND)
3. Popup "系統異常，若要離車請使用手動電源關閉功能" information (AND)
4. When the power state is ON, door state = invalid and brake S/W signal = ON is received 1 sec continuously , ask the user "系統故障，您是否要進入 READY狀態?". if user comfirmed and allow into READY state.</t>
  </si>
  <si>
    <t>199</t>
  </si>
  <si>
    <t>前右車門開關失效</t>
  </si>
  <si>
    <t>前右车门开关失效</t>
  </si>
  <si>
    <t>1. Replace the front right door switch layer
2. Confirm whether the wiring harness and connector of the front right door are damaged</t>
  </si>
  <si>
    <t xml:space="preserve">1.更換前右車門開關層別
2.確認前右車門開線束、接頭是否破損
</t>
  </si>
  <si>
    <t xml:space="preserve">1.更换前右车门开关层别
2.确认前右车门开线束、接头是否破损
</t>
  </si>
  <si>
    <t>Monitor detect status of FR door switch changed frequently, cycle less than 300msec  for 1 sec continuously.</t>
    <phoneticPr fontId="45" type="noConversion"/>
  </si>
  <si>
    <t>Monitor detect status of FR door switch not change for 5 sec continuously.</t>
  </si>
  <si>
    <t>200</t>
  </si>
  <si>
    <t>後左車門開關失效</t>
  </si>
  <si>
    <t>后左车门开关失效</t>
  </si>
  <si>
    <t>1. Relpace the rear left left door switch layer
2.  Confirm whether the wiring harness and connector of the rear left door are damage</t>
  </si>
  <si>
    <t xml:space="preserve">1.更換後左車門開關層別
2.確認後左車門開線束、接頭是否破損
</t>
  </si>
  <si>
    <t xml:space="preserve">1.更换后左车门开关层别
2.确认后左车门开线束、接头是否破损
</t>
  </si>
  <si>
    <t>Monitor detect status of RL door switch changed frequently, cycle less than 300msec for 1 sec continuously.</t>
    <phoneticPr fontId="45" type="noConversion"/>
  </si>
  <si>
    <t>Monitor detect status of RL door switch not change for 5 sec continuously.</t>
  </si>
  <si>
    <t>201</t>
  </si>
  <si>
    <t>後右車門開關失效</t>
  </si>
  <si>
    <t>后右车门开关失效</t>
  </si>
  <si>
    <t>1. Relpace the rear right left door switch layer
2.  Confirm whether the wiring harness and connector of the rear right door are damage</t>
  </si>
  <si>
    <t xml:space="preserve">1.更換後右車門開關層別
2.確認後右門開線束、接頭是否破損
</t>
  </si>
  <si>
    <t xml:space="preserve">1.更换后右车门开关层别
2.确认后右门开线束、接头是否破损
</t>
  </si>
  <si>
    <t>Monitor detect status of RR door switch changed frequently, cycle less than 300msec for 1 sec continuously.</t>
    <phoneticPr fontId="45" type="noConversion"/>
  </si>
  <si>
    <t>Monitor detect status of RR door switch not change for 5 sec continuously.</t>
  </si>
  <si>
    <t>202</t>
  </si>
  <si>
    <t>VCU接收BMS6訊息丟失</t>
  </si>
  <si>
    <t>VCU接收BMS6讯息丢失</t>
  </si>
  <si>
    <t>"1. Abnormal controller power supply
2. Abnormal contact of the connector
3. The line is abnormal
4. The controller version is abnormal"</t>
  </si>
  <si>
    <t>1. 控制器電源異常
2. 連接器接觸異常
3. 線路異常
4. 控制器版本異常</t>
  </si>
  <si>
    <t>. 控制器电源异常
2. 连接器接触异常
3. 线路异常
4. 控制器版本异常</t>
  </si>
  <si>
    <t xml:space="preserve">1. Please check whether the terminals of the joint control module and the high-voltage battery pack wiring harness connector are damaged, bent, exited or corroded.
</t>
  </si>
  <si>
    <r>
      <t>1.</t>
    </r>
    <r>
      <rPr>
        <sz val="12"/>
        <rFont val="MS Gothic"/>
        <family val="3"/>
        <charset val="128"/>
      </rPr>
      <t>請檢</t>
    </r>
    <r>
      <rPr>
        <sz val="12"/>
        <rFont val="Microsoft YaHei"/>
        <family val="2"/>
        <charset val="134"/>
      </rPr>
      <t xml:space="preserve">查聯合控制模組與高壓電池組線束接頭端子是否有損壞、彎曲、退出或是腐蝕。
</t>
    </r>
  </si>
  <si>
    <r>
      <t>1.</t>
    </r>
    <r>
      <rPr>
        <sz val="12"/>
        <rFont val="Microsoft YaHei"/>
        <family val="2"/>
        <charset val="134"/>
      </rPr>
      <t xml:space="preserve">请检查联合控制模块与高压电池组线束接头端子是否有损坏、弯曲、退出或是腐蚀。
</t>
    </r>
  </si>
  <si>
    <t>Monitor detect lost communication  from BMS6 for 500ms continuously</t>
  </si>
  <si>
    <t>This CAN state ~= bus off (AND)
Vehicle power state ~= OFF</t>
  </si>
  <si>
    <t xml:space="preserve">After 1 time(s) of above detection continuously.
</t>
    <phoneticPr fontId="45" type="noConversion"/>
  </si>
  <si>
    <t>Monitor detect not lost communication  from BMS6 for 2s continuously</t>
    <phoneticPr fontId="45" type="noConversion"/>
  </si>
  <si>
    <t>1. Set power output demand linearly decreases to the "Limp home" mode  (AND)
2. Set red indicator ON (AND)
3. DTC write into NVM
4. Vehicle malfunction LV2 POPUP</t>
  </si>
  <si>
    <t>203</t>
  </si>
  <si>
    <t>VCU接收BMS1訊息丟失</t>
  </si>
  <si>
    <t>VCU接收BMS1讯息丢失</t>
  </si>
  <si>
    <t>Monitor detect  lost communication from BMS1 for 50ms continuously</t>
  </si>
  <si>
    <t>Monitor detect not lost communication  from BMS1 for 0.2s continuously</t>
    <phoneticPr fontId="45" type="noConversion"/>
  </si>
  <si>
    <t>204</t>
  </si>
  <si>
    <t>VCU接收CCU1訊息丟失</t>
  </si>
  <si>
    <t>VCU接收CCU1讯息丢失</t>
  </si>
  <si>
    <t xml:space="preserve">1. Please check whether the terminals of the joint control module and the integrated charging unit wiring harness connector are damaged, bent, exited or corroded.
</t>
  </si>
  <si>
    <r>
      <t>1.</t>
    </r>
    <r>
      <rPr>
        <sz val="12"/>
        <rFont val="MS Gothic"/>
        <family val="3"/>
        <charset val="128"/>
      </rPr>
      <t>請檢</t>
    </r>
    <r>
      <rPr>
        <sz val="12"/>
        <rFont val="Microsoft YaHei"/>
        <family val="2"/>
        <charset val="134"/>
      </rPr>
      <t>查聯合控制模組與集</t>
    </r>
    <r>
      <rPr>
        <sz val="12"/>
        <rFont val="Microsoft JhengHei"/>
        <family val="2"/>
      </rPr>
      <t>成</t>
    </r>
    <r>
      <rPr>
        <sz val="12"/>
        <rFont val="Microsoft YaHei"/>
        <family val="2"/>
        <charset val="134"/>
      </rPr>
      <t xml:space="preserve">式充電單元線束接頭端子是否有損壞、彎曲、退出或是腐蝕。
</t>
    </r>
  </si>
  <si>
    <r>
      <t>1.</t>
    </r>
    <r>
      <rPr>
        <sz val="12"/>
        <rFont val="微軟正黑體"/>
        <family val="2"/>
        <charset val="136"/>
      </rPr>
      <t>请检查联合控制模块与集成式充电单元线束接头端子是否有损坏、弯曲、退出或是腐蚀。</t>
    </r>
    <r>
      <rPr>
        <sz val="12"/>
        <rFont val="Arial"/>
        <family val="2"/>
      </rPr>
      <t xml:space="preserve">
</t>
    </r>
  </si>
  <si>
    <t>Monitor detect  lost communication from CCU1 for 50ms continuously</t>
  </si>
  <si>
    <t>Monitor detect not lost communication from CCU1 for 0.2s continuously</t>
    <phoneticPr fontId="45" type="noConversion"/>
  </si>
  <si>
    <t>205</t>
  </si>
  <si>
    <t>VCU接收CCU2訊息丟失</t>
  </si>
  <si>
    <t>VCU接收CCU2讯息丢失</t>
  </si>
  <si>
    <t>Monitor detect  lost communication from CCU2 for 500ms continuously</t>
  </si>
  <si>
    <t>Monitor detect not lost communication  from CCU2 for 2s continuously</t>
    <phoneticPr fontId="45" type="noConversion"/>
  </si>
  <si>
    <t>206</t>
  </si>
  <si>
    <t>VCU接收ABM1訊息丟失</t>
  </si>
  <si>
    <t>VCU接收ABM1讯息丢失</t>
  </si>
  <si>
    <t xml:space="preserve">1. Please check whether the terminals of the joint control module and the SRS-ECU wiring harness connector are damaged, bent, exited or corroded.
</t>
  </si>
  <si>
    <r>
      <t>1.</t>
    </r>
    <r>
      <rPr>
        <sz val="12"/>
        <rFont val="MS Gothic"/>
        <family val="3"/>
        <charset val="128"/>
      </rPr>
      <t>請檢</t>
    </r>
    <r>
      <rPr>
        <sz val="12"/>
        <rFont val="Microsoft YaHei"/>
        <family val="2"/>
        <charset val="134"/>
      </rPr>
      <t>查聯合控制模組與</t>
    </r>
    <r>
      <rPr>
        <sz val="12"/>
        <rFont val="Arial"/>
        <family val="2"/>
      </rPr>
      <t>SRS-ECU</t>
    </r>
    <r>
      <rPr>
        <sz val="12"/>
        <rFont val="MS Gothic"/>
        <family val="3"/>
        <charset val="128"/>
      </rPr>
      <t xml:space="preserve">線束接頭端子是否有損壞、彎曲、退出或是腐蝕。
</t>
    </r>
  </si>
  <si>
    <r>
      <t>1.</t>
    </r>
    <r>
      <rPr>
        <sz val="12"/>
        <rFont val="Microsoft YaHei"/>
        <family val="2"/>
        <charset val="134"/>
      </rPr>
      <t>请检查联合控制模块与</t>
    </r>
    <r>
      <rPr>
        <sz val="12"/>
        <rFont val="Arial"/>
        <family val="2"/>
      </rPr>
      <t>SRS-ECU</t>
    </r>
    <r>
      <rPr>
        <sz val="12"/>
        <rFont val="Microsoft YaHei"/>
        <family val="2"/>
        <charset val="134"/>
      </rPr>
      <t xml:space="preserve">线束接头端子是否有损坏、弯曲、退出或是腐蚀。
</t>
    </r>
  </si>
  <si>
    <t>Monitor detect  lost communication from ABM1 for 2.5s continuously</t>
    <phoneticPr fontId="45" type="noConversion"/>
  </si>
  <si>
    <t>Monitor detect not lost communication from ABM1 for 10s continuously</t>
    <phoneticPr fontId="45" type="noConversion"/>
  </si>
  <si>
    <t>1. Key OFF -&gt; STANDBY (OR)
2. When clear DTC is requested (OR)
3,  Pass Criteria = True (OR)
4. KDDM_CommErrDiagnosisOffSW = On</t>
  </si>
  <si>
    <t>207</t>
  </si>
  <si>
    <t>鑰匙認證失效</t>
  </si>
  <si>
    <t>钥匙认证失效</t>
  </si>
  <si>
    <t>1. DKC key failed to pair with VCU
2. Communication abnormal"</t>
  </si>
  <si>
    <t>1. DKC金鑰與VCU配對失敗
2. 通訊異常</t>
  </si>
  <si>
    <t>1. DKC密钥与VCU配对失败
2. 通讯异常</t>
  </si>
  <si>
    <t>1. Re-use the DKC pairing program to perform VCU-KEY pairing</t>
  </si>
  <si>
    <r>
      <t xml:space="preserve">
1.</t>
    </r>
    <r>
      <rPr>
        <sz val="12"/>
        <rFont val="MS Gothic"/>
        <family val="3"/>
        <charset val="128"/>
      </rPr>
      <t>重新使用</t>
    </r>
    <r>
      <rPr>
        <sz val="12"/>
        <rFont val="Arial"/>
        <family val="2"/>
      </rPr>
      <t>DKC</t>
    </r>
    <r>
      <rPr>
        <sz val="12"/>
        <rFont val="MS Gothic"/>
        <family val="3"/>
        <charset val="128"/>
      </rPr>
      <t>配對程式執行</t>
    </r>
    <r>
      <rPr>
        <sz val="12"/>
        <rFont val="Arial"/>
        <family val="2"/>
      </rPr>
      <t>VCU-KEY</t>
    </r>
    <r>
      <rPr>
        <sz val="12"/>
        <rFont val="MS Gothic"/>
        <family val="3"/>
        <charset val="128"/>
      </rPr>
      <t>配對</t>
    </r>
  </si>
  <si>
    <t xml:space="preserve">
1.重新使用DKC配对程序执行VCU-KEY配对</t>
  </si>
  <si>
    <t xml:space="preserve">Monitor not detect key DKC authentication state = normal  from PMM for 600ms continuously
</t>
  </si>
  <si>
    <t>Vehicle power state ~= OFF (AND)
No CAN Loss of DKC1 detected (AND)
No CAN Loss of DKC2 detected</t>
  </si>
  <si>
    <t>After 3 time(s) of above detection. (Total time for decision = 1800ms)</t>
  </si>
  <si>
    <t>Monitor detect key authentication not failed for 1800ms continuously</t>
  </si>
  <si>
    <t>1. Key OFF -&gt; STANDBY (OR)
2. When clear DTC is requested (OR)
3,  Pass Criteria = True (OR)
4. KDDM_KeyAuthDiagnosisOffSW = On</t>
  </si>
  <si>
    <t>208</t>
  </si>
  <si>
    <t>B10022E</t>
    <phoneticPr fontId="28" type="noConversion"/>
  </si>
  <si>
    <t>靜默充電啟動頻繁</t>
  </si>
  <si>
    <t>静默充电启动频繁</t>
  </si>
  <si>
    <t>1. Poor storage capacity of low voltage battery
2. The dark current of the vehicle is too large"</t>
  </si>
  <si>
    <t>1. 低壓電瓶蓄電能力差
2. 車輛暗電流過大</t>
  </si>
  <si>
    <t>1. 低压电瓶蓄电能力差
2. 车辆暗电流过大</t>
  </si>
  <si>
    <t>1. To check the health of the 12V battery, please refer to the maintenance section in the maintenance manual
2. Replace the battery
3. Check whether the low-voltage circuit has leakage current or dark current abnormality</t>
    <phoneticPr fontId="28" type="noConversion"/>
  </si>
  <si>
    <t>1.檢查12V電瓶健康度，請參照維修手冊中保養之章節
2.更換電瓶
3.檢查低壓回路是否有漏電流或暗電流異常</t>
    <phoneticPr fontId="28" type="noConversion"/>
  </si>
  <si>
    <t>1.检查12V电瓶健康度，请参照维修手册中保养之章节
2.更换电瓶
3.检查低压回路是否有漏电流或暗电流异常</t>
    <phoneticPr fontId="28" type="noConversion"/>
  </si>
  <si>
    <t>Monitor detect silent charging frequency &gt;=  0.5 (threshold)
 Note: silent charging frequency = Number of LV charge from ECU sleep /  Number of LV check from ECU sleep</t>
  </si>
  <si>
    <t>After 5 time(s) of above detection.</t>
  </si>
  <si>
    <t xml:space="preserve">Monitor detect silent charging frequency &lt;  0.5 (threshold)
</t>
  </si>
  <si>
    <t>PwrSta = OFF 
(OR)
When clear DTC is requested</t>
  </si>
  <si>
    <t>209</t>
  </si>
  <si>
    <t>電源切換ON to READY系統條件不滿足</t>
  </si>
  <si>
    <t>电源切换ON to READY系统条件不满足</t>
  </si>
  <si>
    <t>1. Accelerator pedal failure
2. The MCU signal is abnormal
3. OTA update failed
4.Key authentication failed</t>
  </si>
  <si>
    <t>1. 油門踏板故障
2. MCU訊號異常
3. OTA更新失敗
4. 鑰匙認證失敗</t>
  </si>
  <si>
    <t>1. 油门踏板故障
2. MCU讯号异常
3. OTA更新失败
4. 钥匙认证失败</t>
  </si>
  <si>
    <t>1.Check the accelerator pedal for fault codes
2.Check whether the brake switch has a fault code
3.Check the MCU fault code
4.Confirm the OTA update status
5.Check the key authentication status</t>
  </si>
  <si>
    <t>1.檢查加速踏板是否有故障碼
2.檢查剎車開關是否有故障碼
3..檢查MCU故障碼
4. 確認OTA更新狀態
5. 檢查鑰匙認證狀態</t>
  </si>
  <si>
    <t>1.检查加速踏板是否有故障码
2.检查剎车开关是否有故障码
3..检查MCU故障码
4. 确认OTA更新状态
5. 检查钥匙认证状态</t>
  </si>
  <si>
    <t>Monitor detect 
MCU error (OR) OTA error (OR) Key authentication failed (OR) FL Door switch failure (OR) FR Door switch failure (OR) RL Door switch failure (OR) RR Door switch failure (OR) Hood failure (OR) 
Tailgate switch failure 
for 100ms continuously</t>
  </si>
  <si>
    <t>Vehicle power state = ON</t>
  </si>
  <si>
    <t>After 3 time(s) of above detection. (Total time for decision = 300ms)</t>
  </si>
  <si>
    <t>Monitor not detect acceleration pedal error or MCU error or OTA error or key authentication failed for 300ms continuously</t>
  </si>
  <si>
    <t>1. Set red indicator ON (AND)
2. DTC write into NVM
3. While brake pedal press, POPUP 車輛系統異常，無法進入待命狀態。請聯絡服務中心
4. Set SysAllowReadySta = Not allow ready</t>
  </si>
  <si>
    <t>1. Key OFF -&gt; STANDBY (OR)
2. When clear DTC is requested (OR)
3,  Pass Criteria = True (OR)
4. KDDM_ONtoRdyDiagnosisOffSW = On</t>
  </si>
  <si>
    <t>210</t>
  </si>
  <si>
    <t>後電機控制器1 通訊超時</t>
  </si>
  <si>
    <t>后电机控制器1 通讯超时</t>
  </si>
  <si>
    <t>1. Controller power supply fault
2. CAN harness connection fault
3. Controller connector connection fault
4. Software version incorrect</t>
  </si>
  <si>
    <t>1. 控制器電源狀態異常
2. CAN線路異常
3. 控制器接頭連接異常
4. 軟體版本錯誤</t>
  </si>
  <si>
    <t>1. 控制器电源状态异常
2. CAN线路连接异常
3. 控制器接头连接异常
4. 软件版次错误</t>
  </si>
  <si>
    <t xml:space="preserve">1. Please check whether the terminals of the joint control module and the rear drive motor controller are damaged, bent, withdrawn or corroded.
</t>
  </si>
  <si>
    <r>
      <t>1.</t>
    </r>
    <r>
      <rPr>
        <sz val="12"/>
        <rFont val="MS Gothic"/>
        <family val="3"/>
        <charset val="128"/>
      </rPr>
      <t>請檢</t>
    </r>
    <r>
      <rPr>
        <sz val="12"/>
        <rFont val="Microsoft YaHei"/>
        <family val="2"/>
        <charset val="134"/>
      </rPr>
      <t xml:space="preserve">查聯合控制模組與後驅馬達控制器接頭端子是否有損壞、彎曲、退出或是腐蝕。
</t>
    </r>
  </si>
  <si>
    <r>
      <t>1.</t>
    </r>
    <r>
      <rPr>
        <sz val="12"/>
        <rFont val="Microsoft YaHei"/>
        <family val="2"/>
        <charset val="134"/>
      </rPr>
      <t xml:space="preserve">请检查联合控制模块与后驱马达控制器接头端子是否有损坏、弯曲、退出或是腐蚀。
</t>
    </r>
  </si>
  <si>
    <t>for D31L CAN MM use:
Detect lost comm from MCU_R1 for  50ms continuously
for FPD1 CAN MM with Nidec motor use:
Detect lost comm from MCU_N_R1 for 50ms continuously
for FPD1 CAN MM with UAES motor use:
Detect lost comm from MCU_B_R1 for  50ms continuously</t>
  </si>
  <si>
    <t>No CAN3 BUS-OFF detected (AND)
Vehicle power state ~= OFF (AND)
Drivetrain ~= FWD</t>
  </si>
  <si>
    <t>After 5 counts of consecutive test fails. (Total time of decision = 250ms)</t>
    <phoneticPr fontId="28" type="noConversion"/>
  </si>
  <si>
    <t>for D31L CAN MM use:
Detect no lost comm with MCU_R1 for 1000ms continuously
for FPD1 CAN MM with Nidec motor use:
Detect no lost comm with MCU_N_R1 for 1000ms continuously
for FPD1 CAN MM with UAES motor use:
Detect no lost comm with MCU_B_R1 for 1000ms continuously</t>
    <phoneticPr fontId="28" type="noConversion"/>
  </si>
  <si>
    <t>1. DTC write into NVM (AND)
2. Set red indicator ON (AND)
3. Activate Limp-home mode and limp home lamp (AND)
4. TQD MCU damping disable request = ON (AND)
5. TQD Rolling regen torque to ESC Fr/Rr_EDUAvailBrkRgnTqValid = Invalid (AND)
6. TQD regen abnormal status to ESC = Abnormal (AND)
7. TQD calculated vehicle speed VTQD_RPM2VehSpd_kph = 0 (AND)
8. Power output derating to 0 Nm when VehSpeed &gt; 1 kph (AND)
When VehSpeed &lt;= 1 kph,
9. Do general power down process (AND)
10. Keep vehicle power state = STANDBY, if user request power up  (AND)
11. prohibit power up process in current driving cycle</t>
  </si>
  <si>
    <t>1. Key OFF -&gt; STANDBY (OR)
2. When clear DTC is requested (OR)
3. KDDM_TQDDiagnosisOffSW = On</t>
  </si>
  <si>
    <t>211</t>
  </si>
  <si>
    <t>MCU_F1 lost comm</t>
  </si>
  <si>
    <t>前電機控制器1 通訊超時</t>
  </si>
  <si>
    <t>前电机控制器1 通讯超时</t>
  </si>
  <si>
    <t>1. Please check whether the terminals of the joint control module and the FWD motor controller are damaged, bent, withdrawn or corroded.
.</t>
  </si>
  <si>
    <r>
      <t>1.</t>
    </r>
    <r>
      <rPr>
        <sz val="12"/>
        <rFont val="MS Gothic"/>
        <family val="3"/>
        <charset val="128"/>
      </rPr>
      <t>請檢</t>
    </r>
    <r>
      <rPr>
        <sz val="12"/>
        <rFont val="Microsoft YaHei"/>
        <family val="2"/>
        <charset val="134"/>
      </rPr>
      <t xml:space="preserve">查聯合控制模組與前驅馬達控制器接頭端子是否有損壞、彎曲、退出或是腐蝕。
</t>
    </r>
  </si>
  <si>
    <r>
      <t>1.</t>
    </r>
    <r>
      <rPr>
        <sz val="12"/>
        <rFont val="Microsoft YaHei"/>
        <family val="2"/>
        <charset val="134"/>
      </rPr>
      <t xml:space="preserve">请检查联合控制模块与前驱马达控制器接头端子是否有损坏、弯曲、退出或是腐蚀。
</t>
    </r>
  </si>
  <si>
    <t>for D31L CAN MM use:
Detect lost comm from MCU_F1 for 50ms continuously
for FPD1 CAN MM with Nidec motor use: 
Detect lost comm from MCU_N_F1 for 50ms continuously
for FPD1 CAN MM with UAES motor use :
Detect lost comm from MCU_B_F1 for 50ms continuously</t>
    <phoneticPr fontId="28" type="noConversion"/>
  </si>
  <si>
    <t>No CAN3 BUS-OFF detected (AND)
Vehicle power state ~= OFF (AND)
Drivetrain ~= RWD</t>
  </si>
  <si>
    <t>After 5 time(s) of above detection continuously. (Total time for decision = 250ms)</t>
    <phoneticPr fontId="28" type="noConversion"/>
  </si>
  <si>
    <t>for D31L CAN MM use:
Monitor detect no lost comm with MCU_F1 for 1000ms continuously
for FPD1 CAN MM with Nidec motor use:
Monitor detect no lost comm with MCU_N_F1 for 1000ms continuously
for FPD1 CAN MM with UAES motor use:
Monitor detect no lost comm with MCU_B_F1 for 1000ms continuously</t>
    <phoneticPr fontId="28" type="noConversion"/>
  </si>
  <si>
    <t>212</t>
  </si>
  <si>
    <t>排檔機構1 通訊超時</t>
  </si>
  <si>
    <t>排挡机构1 通讯超时</t>
  </si>
  <si>
    <t xml:space="preserve">1. Please check whether the joint control module and the driving mode selector lever connector terminals are damaged, bent, exited or corroded.
</t>
  </si>
  <si>
    <r>
      <t>1.</t>
    </r>
    <r>
      <rPr>
        <sz val="12"/>
        <rFont val="MS Gothic"/>
        <family val="3"/>
        <charset val="128"/>
      </rPr>
      <t>請檢</t>
    </r>
    <r>
      <rPr>
        <sz val="12"/>
        <rFont val="Microsoft YaHei"/>
        <family val="2"/>
        <charset val="134"/>
      </rPr>
      <t xml:space="preserve">查聯合控制模組與駕駛模式選擇撥桿接頭端子是否有損壞、彎曲、退出或是腐蝕。
</t>
    </r>
  </si>
  <si>
    <r>
      <t>1.</t>
    </r>
    <r>
      <rPr>
        <sz val="12"/>
        <rFont val="Microsoft YaHei"/>
        <family val="2"/>
        <charset val="134"/>
      </rPr>
      <t xml:space="preserve">请检查联合控制模块与驾驶模式选择拨杆接头端子是否有损坏、弯曲、退出或是腐蚀。
</t>
    </r>
  </si>
  <si>
    <t>Detect lost comm from Shifter1 for 500ms continuously</t>
  </si>
  <si>
    <t>No CAN BUS-OFF detected (AND)
Vehicle power state ~= OFF</t>
  </si>
  <si>
    <t>After 1 time(s) of above detection continuously. (Total time for decision = 500ms)</t>
    <phoneticPr fontId="45" type="noConversion"/>
  </si>
  <si>
    <t>Monitor detect no lost comm with Shifter1 for 2000ms continuously</t>
    <phoneticPr fontId="45" type="noConversion"/>
  </si>
  <si>
    <t>1. TQD shift command = No request (AND)
2. TQD external shift allow = Not allow (AND)
3. Set EDriveSysErr_ShifterErr to Error (AND)
4. Set red indicator ON (AND)
5. DTC write into NVM</t>
  </si>
  <si>
    <t>1. Key OFF -&gt; STANDBY (OR)
2. When clear DTC is requested (OR)
3. Pass Criteria = True (AND) 
    TQD GearActualPosn = P (OR)
4. KDDM_TQDDiagnosisOffSW = On</t>
  </si>
  <si>
    <t>213</t>
  </si>
  <si>
    <t>動態穩定控制7 通訊超時</t>
  </si>
  <si>
    <t>动态稳定控制7 通讯超时</t>
  </si>
  <si>
    <t xml:space="preserve">1. Please check whether the terminals of the joint control module and the ABS_ECU connector are damaged, bent, withdrawn or corroded.
</t>
  </si>
  <si>
    <r>
      <t>1.</t>
    </r>
    <r>
      <rPr>
        <sz val="12"/>
        <rFont val="MS Gothic"/>
        <family val="3"/>
        <charset val="128"/>
      </rPr>
      <t>請檢</t>
    </r>
    <r>
      <rPr>
        <sz val="12"/>
        <rFont val="Microsoft YaHei"/>
        <family val="2"/>
        <charset val="134"/>
      </rPr>
      <t>查聯合控制模組與</t>
    </r>
    <r>
      <rPr>
        <sz val="12"/>
        <rFont val="Arial"/>
        <family val="2"/>
      </rPr>
      <t>ABS_ECU</t>
    </r>
    <r>
      <rPr>
        <sz val="12"/>
        <rFont val="MS Gothic"/>
        <family val="3"/>
        <charset val="128"/>
      </rPr>
      <t xml:space="preserve">接頭端子是否有損壞、彎曲、退出或是腐蝕。
</t>
    </r>
  </si>
  <si>
    <r>
      <t>1.</t>
    </r>
    <r>
      <rPr>
        <sz val="12"/>
        <rFont val="Microsoft YaHei"/>
        <family val="2"/>
        <charset val="134"/>
      </rPr>
      <t>请检查联合控制模块与</t>
    </r>
    <r>
      <rPr>
        <sz val="12"/>
        <rFont val="Arial"/>
        <family val="2"/>
      </rPr>
      <t>ABS_ECU</t>
    </r>
    <r>
      <rPr>
        <sz val="12"/>
        <rFont val="MS Gothic"/>
        <family val="3"/>
        <charset val="128"/>
      </rPr>
      <t>接</t>
    </r>
    <r>
      <rPr>
        <sz val="12"/>
        <rFont val="Microsoft YaHei"/>
        <family val="2"/>
        <charset val="134"/>
      </rPr>
      <t>头端子是否有损坏、弯曲、退出或是腐蚀。</t>
    </r>
  </si>
  <si>
    <t>Detect lost comm from ESC7 for 50ms continuously</t>
  </si>
  <si>
    <t>After 5 time(s) of above detection continuously. (Total time for decision = 250ms)</t>
    <phoneticPr fontId="45" type="noConversion"/>
  </si>
  <si>
    <t>Monitor detect no lost comm with ESC7 for 1000ms continuously</t>
    <phoneticPr fontId="45" type="noConversion"/>
  </si>
  <si>
    <t>1. Activate Limp-home mode and limp home lamp (AND)
2. TQD Rolling regen torque to ESC Fr/Rr_EDUAvailBrkRgnTqValid = Invalid (AND)
3. TQD MCU damping disable request = ON (AND)
4. TQD brake pedal position = 0% (AND)
5. TQD creep RBC active judgment = Off (AND)
6. TQR ramp enable judgment RBC disable??? (AND)
7. VMC RDC active = no request??? (AND)
8. Set red indicator ON (AND)
9. DTC write into NVM</t>
  </si>
  <si>
    <t>214</t>
  </si>
  <si>
    <t>動態穩定控制1 通訊超時</t>
  </si>
  <si>
    <t>动态稳定控制1 通讯超时</t>
  </si>
  <si>
    <r>
      <t>1.</t>
    </r>
    <r>
      <rPr>
        <sz val="12"/>
        <rFont val="Microsoft YaHei"/>
        <family val="2"/>
        <charset val="134"/>
      </rPr>
      <t>请检查联合控制模块与</t>
    </r>
    <r>
      <rPr>
        <sz val="12"/>
        <rFont val="Arial"/>
        <family val="2"/>
      </rPr>
      <t>ABS_ECU</t>
    </r>
    <r>
      <rPr>
        <sz val="12"/>
        <rFont val="MS Gothic"/>
        <family val="3"/>
        <charset val="128"/>
      </rPr>
      <t>接</t>
    </r>
    <r>
      <rPr>
        <sz val="12"/>
        <rFont val="Microsoft YaHei"/>
        <family val="2"/>
        <charset val="134"/>
      </rPr>
      <t xml:space="preserve">头端子是否有损坏、弯曲、退出或是腐蚀。
</t>
    </r>
  </si>
  <si>
    <t>Detect lost comm from ESC1 for 50ms continuously</t>
  </si>
  <si>
    <t>Monitor detect no lost comm with ESC1 for 1000ms continuously</t>
    <phoneticPr fontId="45" type="noConversion"/>
  </si>
  <si>
    <t>1. Activate Limp-home mode and limp home lamp (AND)
2. TQD TCS available torque limit = Off (AND)
3. TQD TCS compensate torque = 0 (AND)
4. VehSpeed replace with VTQD_RPM2VehSpd_kph while CAN comm is normal with MCU_R1 (AND)
5. TQR TCS torque limit = Off (AND)
6. Set red indicator ON (AND)
7. DTC write into NVM</t>
  </si>
  <si>
    <t>215</t>
  </si>
  <si>
    <t>動態穩定控制5 通訊超時</t>
  </si>
  <si>
    <t>动态稳定控制5 通讯超时</t>
  </si>
  <si>
    <t>Detect lost comm from ESC5 for 50ms continuously</t>
  </si>
  <si>
    <t>Monitor detect no lost comm with ESC5 for 1000ms continuously</t>
    <phoneticPr fontId="45" type="noConversion"/>
  </si>
  <si>
    <t>1. Activate Limp-home mode and limp home lamp (AND)
2. Set red indicator ON (AND)
3. VVMC_LongAcc_Gps = 0 (AND)
4. VMC 4 wheels slide rate calculation = 0% (AND)
5. VMC RDC active judgement = Off (AND)
6. TQD brake switch state = Off (AND)
7. DTC write into NVM</t>
  </si>
  <si>
    <t>216</t>
  </si>
  <si>
    <t>後電機控制器1 life count 錯誤</t>
  </si>
  <si>
    <t>后电机控制器1 life count 错误</t>
  </si>
  <si>
    <t>1. CAN harness connection fault
2. Controller connector connection fault
3. Software version incorrect</t>
  </si>
  <si>
    <t>1. CAN線路異常
2. 控制器接頭連接異常
3. 軟體版本錯誤</t>
  </si>
  <si>
    <t>1. CAN线路连接异常
2. 控制器接头连接异常
3. 软件版次错误</t>
  </si>
  <si>
    <t>1. Please check whether the terminals of the joint control module and the rear drive motor controller are damaged, bent, withdrawn or corroded.
2. Replace the rear-drive motor controller.</t>
  </si>
  <si>
    <t>1.請檢查聯合控制模組與後驅馬達控制器接頭端子是否有損壞、彎曲、退出或是腐蝕。
2.更換後驅馬達控制器。</t>
  </si>
  <si>
    <t>1.请检查联合控制模块与后驱马达控制器接头端子是否有损坏、弯曲、退出或是腐蚀。
2.更换后驱马达控制器。</t>
  </si>
  <si>
    <t>for D31L CAN MM use:
Detect life counter discontinuous from MCU_R1 for 50ms continuously
for FPD1 CAN MM with Nidec motor use:
Detect life counter discontinuous from MCU_N_R1 for 50ms continuously
for FPD1 CAN MM with UAES motor use:
Detect life counter discontinuous from MCU_B_R1 for 50ms continuously</t>
    <phoneticPr fontId="28" type="noConversion"/>
  </si>
  <si>
    <t>for D31L CAN MM use:
No CAN BUS-OFF detected (AND)
No CAN Loss of MCU_R1 detected (AND)
Vehicle power state ~= OFF
for FPD1 CAN MM with Nidec motor use:
No CAN BUS-OFF detected (AND)
No CAN Loss of MCU_N_R1 detected (AND)
Vehicle power state ~= OFF
for FPD1 CAN MM with UAES motor use:
No CAN BUS-OFF detected (AND)
No CAN Loss of MCU_B_R1 detected (AND)
Vehicle power state ~= OFF</t>
    <phoneticPr fontId="28" type="noConversion"/>
  </si>
  <si>
    <t>After 10 time(s) of above detection continuously. (Total time for decision = 500ms)</t>
  </si>
  <si>
    <t>for D31L CAN MM use:
Monitor detect life counter continue from MCU_R1 for 2000ms continuously
for FPD1 CAN MM with Nidec motor use:
Monitor detect life counter continue from MCU_N_R1 for 2000ms continuously
for FPD1 CAN MM with UAES motor use:
Monitor detect life counter continue from MCU_B_R1 for 2000ms continuously</t>
    <phoneticPr fontId="28" type="noConversion"/>
  </si>
  <si>
    <t>功能安全相關
FTTI: 1.6s
Signal cycle time 10ms</t>
  </si>
  <si>
    <t>217</t>
  </si>
  <si>
    <t>前電機控制器1 life count 錯誤</t>
  </si>
  <si>
    <t>前电机控制器1 life count 错误</t>
  </si>
  <si>
    <t>1. Please check whether the terminals of the joint control module and the FWD motor controller are damaged, bent, withdrawn or corroded.
2. Replace the front-wheel drive motor controller</t>
  </si>
  <si>
    <t>1.請檢查聯合控制模組與前驅馬達控制器接頭端子是否有損壞、彎曲、退出或是腐蝕。
2.更換前驅馬達控制器。</t>
  </si>
  <si>
    <t>1.请检查联合控制模块与前驱马达控制器接头端子是否有损坏、弯曲、退出或是腐蚀。
2.更换前驱马达控制器。</t>
  </si>
  <si>
    <t>for D31L CAN MM use:
Detect life counter discontinuous from MCU_F1 for 50ms continuously
for FPD1 CAN MM with Nidec motor use:
Detect life counter discontinuous from MCU_N_F1 for 50ms continuously
for FPD1 CAN MM with UAES motor use:
Detect life counter discontinuous from MCU_B_F1 for 50ms continuously</t>
    <phoneticPr fontId="28" type="noConversion"/>
  </si>
  <si>
    <t>for D31L CAN MM use:
No CAN BUS-OFF detected (AND)
No CAN Loss of MCU_F1 detected (AND)
Vehicle power state ~= OFF
for FPD1 CAN MM with Nidec motor use:
No CAN BUS-OFF detected (AND)
No CAN Loss of MCU_N_F1 detected (AND)
Vehicle power state ~= OFF
for FPD1 CAN MM with UAES motor use:
No CAN BUS-OFF detected (AND)
No CAN Loss of MCU_B_F1 detected (AND)
Vehicle power state ~= OFF</t>
    <phoneticPr fontId="28" type="noConversion"/>
  </si>
  <si>
    <t>for D31L CAN MM use:
Monitor detect life counter continue from MCU_F1 for 2000ms continuously
for FPD1 CAN MM with Nidec motor use:
Monitor detect life counter continue from MCU_N_F1 for 2000ms continuously
for FPD1 CAN MM with UAES motor use:
Monitor detect life counter continue from MCU_B_F1 for 2000ms continuously</t>
    <phoneticPr fontId="28" type="noConversion"/>
  </si>
  <si>
    <t>218</t>
  </si>
  <si>
    <t>排檔機構1 life count 錯誤</t>
  </si>
  <si>
    <t>排文件机构1 life count 错误</t>
  </si>
  <si>
    <t>1. Please check whether the joint control module and the driving mode selector lever connector terminals are damaged, bent, exited or corroded.
2. Change the driving mode selection lever.</t>
  </si>
  <si>
    <t>1.請檢查聯合控制模組與駕駛模式選擇撥桿接頭端子是否有損壞、彎曲、退出或是腐蝕。
2.更換駕駛模式選擇撥桿。</t>
  </si>
  <si>
    <t>1.请检查联合控制模块与驾驶模式选择拨杆接头端子是否有损坏、弯曲、退出或是腐蚀。
2.更换驾驶模式选择拨杆。</t>
  </si>
  <si>
    <t>Detect life counter discontinuous from Shifter1 for 500ms continuously</t>
  </si>
  <si>
    <t>No CAN BUS-OFF detected (AND)
No CAN Loss of Shifter1 detected (AND)
Vehicle power state ~= OFF</t>
  </si>
  <si>
    <t>life counter continuous from Shifter1 for 4000ms</t>
    <phoneticPr fontId="45" type="noConversion"/>
  </si>
  <si>
    <t>same as detection window</t>
  </si>
  <si>
    <t>1. Key OFF -&gt; STANDBY (OR)
2. When clear DTC is requested (OR)
3. Pass Criteria = True (AND) 
   Shifter_Handle_Cmd = P (OR)
4. KDDM_TQDDiagnosisOffSW = On</t>
    <phoneticPr fontId="45" type="noConversion"/>
  </si>
  <si>
    <t>功能安全相關
FTTI: 1.18s
Signal cycle time 10ms</t>
  </si>
  <si>
    <t>219</t>
  </si>
  <si>
    <t>動態穩定控制7 life count 錯誤</t>
  </si>
  <si>
    <t>动态稳定控制器7 life count 错误</t>
  </si>
  <si>
    <t>1. Please check whether the terminals of the joint control module and the ABS_ECU connector are damaged, bent, withdrawn or corroded.
2. Replace ABS_ECU.</t>
  </si>
  <si>
    <t>1.請檢查聯合控制模組與ABS_ECU接頭端子是否有損壞、彎曲、退出或是腐蝕。
2.更換ABS_ECU。</t>
  </si>
  <si>
    <t>1.请检查联合控制模块与ABS_ECU接头端子是否有损坏、弯曲、退出或是腐蚀。
2.更换ABS_ECU。</t>
  </si>
  <si>
    <t>Detect life counter discontinuous from ESC7 for 50ms continuously</t>
  </si>
  <si>
    <t>No CAN BUS-OFF detected (AND)
No CAN Loss of ESC7 detected (AND)
Vehicle power state ~= OFF</t>
  </si>
  <si>
    <t>Monitor detect life counter continue from ESC7 for 2000ms continuously</t>
    <phoneticPr fontId="45" type="noConversion"/>
  </si>
  <si>
    <t>功能安全相關
FTTI: 1.8s
Signal cycle time 10ms</t>
  </si>
  <si>
    <t>220</t>
  </si>
  <si>
    <t>動態穩定控制1 life count 錯誤</t>
  </si>
  <si>
    <t>动态稳定控制器1 life count 错误</t>
  </si>
  <si>
    <t>Detect life counter discontinuous from ESC1 for 50ms continuously</t>
  </si>
  <si>
    <t>No CAN BUS-OFF detected (AND)
No CAN Loss of ESC1 detected (AND)
Vehicle power state ~= OFF</t>
  </si>
  <si>
    <t>Monitor detect life counter continue from ESC1 for 2000ms continuously</t>
    <phoneticPr fontId="45" type="noConversion"/>
  </si>
  <si>
    <t>221</t>
  </si>
  <si>
    <t>動態穩定控制5 life count 錯誤</t>
  </si>
  <si>
    <t>动态稳定控制器5 life count 错误</t>
  </si>
  <si>
    <t>Detect life counter discontinuous from ESC5 for 50ms continuously</t>
  </si>
  <si>
    <t>No CAN BUS-OFF detected (AND)
No CAN Loss of ESC5 detected (AND)
Vehicle power state ~= OFF</t>
  </si>
  <si>
    <t>Monitor detect life counter continue from ESC5 for 2000ms continuously</t>
    <phoneticPr fontId="45" type="noConversion"/>
  </si>
  <si>
    <t>1. Activate Limp-home mode and limp home lamp (AND)
2. Set red indicator ON (AND)
3. VVMC_LongAcc_Gps = 0 (AND)
4. VMC 4 wheels slide rate calculation = 0% (AND)
5. VMC 4 individual wheel slide rate = 100% (AND)
6. VMC RDC active judgement = Off (AND)
7. TQD brake switch state = GPIO (AND)
8. DTC write into NVM</t>
  </si>
  <si>
    <t>222</t>
  </si>
  <si>
    <t>後電機控制器1 checksum 錯誤</t>
  </si>
  <si>
    <t>后电机控制器1 checksum错误</t>
  </si>
  <si>
    <t>1. Software version incorrect
2. Communication interference caused by externally connected CAN device</t>
  </si>
  <si>
    <t>1. 軟體版本錯誤
2. 外部CAN連接設備造成通訊幹擾</t>
  </si>
  <si>
    <t>1. 软件版次错误
2. 外部CAN连接设备造成通讯干扰</t>
  </si>
  <si>
    <t>for D31L CAN MM use:
Detect checksum incorrect from MCU_R1 for 50ms continuously
for FPD1 CAN MM with Nidec motor use:
Detect checksum incorrect from MCU_N_R1 for 50ms continuously
for FPD1 CAN MM with UAES motor use:
Detect checksum incorrect from MCU_B_R1 for 50ms continuously</t>
    <phoneticPr fontId="28" type="noConversion"/>
  </si>
  <si>
    <t>for D31L CAN MM use:
No CAN BUS-OFF detected (AND)
No CAN Loss of MCU_R1 detected (AND)
Vehicle power state ~= OFF (AND)
Drivetrain ~= FWD
for FPD1 CAN MM with Nidec motor use:
No CAN BUS-OFF detected (AND)
No CAN Loss of MCU_N_R1 detected (AND)
Vehicle power state ~= OFF (AND)
Drivetrain ~= FWD
for FPD1 CAN MM with UAES motor use:
No CAN BUS-OFF detected (AND)
No CAN Loss of MCU_B_R1 detected (AND)
Vehicle power state ~= OFF (AND)
Drivetrain ~= FWD</t>
    <phoneticPr fontId="28" type="noConversion"/>
  </si>
  <si>
    <t>for D31L CAN MM use:
Monitor detect checksum correct from MCU_R1 for 2000ms continuously
for FPD1 CAN MM with Nidec motor use:
Monitor detect checksum correct from MCU_N_R1 for 2000ms continuously
for FPD1 CAN MM with UAES motor use:
Monitor detect checksum correct from MCU_B_R1 for 2000ms continuously</t>
    <phoneticPr fontId="28" type="noConversion"/>
  </si>
  <si>
    <t>223</t>
  </si>
  <si>
    <t>前電機控制器1 checksum 錯誤</t>
  </si>
  <si>
    <t>前电机控制器1 checksum错误</t>
  </si>
  <si>
    <t xml:space="preserve">
for D31L CAN MM use:
Detect checksum incorrect from MCU_F1 for 50ms continuously
for FPD1 CAN MM with Nidec motor use:
Detect checksum incorrect from MCU_N_F1 for 50ms continuously
for FPD1 CAN MM with UAES motor use:
Detect checksum incorrect from MCU_B_F1 for 50ms continuously</t>
    <phoneticPr fontId="28" type="noConversion"/>
  </si>
  <si>
    <t>for D31L CAN MM use:
No CAN BUS-OFF detected (AND)
No CAN Loss of MCU_F1 detected (AND)
Vehicle power state ~= OFF (AND)
Drivetrain ~= RWD
for FPD1 CAN MM with Nidec motor use:
No CAN BUS-OFF detected (AND)
No CAN Loss of MCU_N_F1 detected (AND)
Vehicle power state ~= OFF (AND)
Drivetrain ~= RWD
for FPD1 CAN MM with UAES motor use:
No CAN BUS-OFF detected (AND)
No CAN Loss of MCU_B_F1 detected (AND)
Vehicle power state ~= OFF (AND)
Drivetrain ~= RWD</t>
    <phoneticPr fontId="28" type="noConversion"/>
  </si>
  <si>
    <t>for D31L CAN MM use:
Monitor detect checksum continue from MCU_F1 for 250ms continuously
for FPD1 CAN MM with Nidec motor use:
Monitor detect checksum continue from MCU_N_F1 for 250ms continuously
for FPD1 CAN MM with UAES motor use:
Monitor detect checksum continue from MCU_B_F1 for 250ms continuously</t>
    <phoneticPr fontId="28" type="noConversion"/>
  </si>
  <si>
    <t>224</t>
  </si>
  <si>
    <t>排檔機構1 checksum 錯誤</t>
  </si>
  <si>
    <t>排文件机构1 checksum错误</t>
  </si>
  <si>
    <r>
      <t>1.</t>
    </r>
    <r>
      <rPr>
        <sz val="12"/>
        <rFont val="MS Gothic"/>
        <family val="3"/>
        <charset val="128"/>
      </rPr>
      <t>請檢</t>
    </r>
    <r>
      <rPr>
        <sz val="12"/>
        <rFont val="Microsoft YaHei"/>
        <family val="2"/>
        <charset val="134"/>
      </rPr>
      <t xml:space="preserve">查聯合控制模組與駕駛模式選擇撥桿接頭端子是否有損壞、彎曲、退出或是腐蝕。
</t>
    </r>
    <r>
      <rPr>
        <sz val="12"/>
        <rFont val="Arial"/>
        <family val="2"/>
      </rPr>
      <t>2.</t>
    </r>
    <r>
      <rPr>
        <sz val="12"/>
        <rFont val="MS Gothic"/>
        <family val="3"/>
        <charset val="128"/>
      </rPr>
      <t>更換駕駛模式選擇撥桿。</t>
    </r>
  </si>
  <si>
    <t>Detect checksum incorrect from Shifter1 for 500ms continuously</t>
  </si>
  <si>
    <t>checksum match from Shifter1 for 4000ms continuously</t>
    <phoneticPr fontId="45" type="noConversion"/>
  </si>
  <si>
    <t>225</t>
  </si>
  <si>
    <t>動態穩定控制7 checksum 錯誤</t>
  </si>
  <si>
    <t>动态稳定控制器7 checksum错误</t>
  </si>
  <si>
    <t>Detect checksum incorrect from ESC7 for 50ms continuously</t>
  </si>
  <si>
    <t>Monitor detect checksum continue from ESC7 for 2000ms continuously</t>
    <phoneticPr fontId="45" type="noConversion"/>
  </si>
  <si>
    <t>226</t>
  </si>
  <si>
    <t>動態穩定控制1 checksum 錯誤</t>
  </si>
  <si>
    <t>动态稳定控制器1 checksum错误</t>
  </si>
  <si>
    <t>Detect checksum incorrect from ESC1 for 50ms continuously</t>
  </si>
  <si>
    <t>Monitor detect checksum continue from ESC1 for 2000ms continuously</t>
    <phoneticPr fontId="45" type="noConversion"/>
  </si>
  <si>
    <t>1. Activate Limp-home mode and limp home lamp (AND)
2. TQD TCS available torque limit = Off (AND)
3. TQD TCS compensate torque = 0 (AND)
4. VehSpeed replace with VTQD_RPM2VehSpd_kph while CAN comm is normal with MCU_R1 (AND)
5. TQR TCS torque limit = Off (AND)
6. Set red indicator ON (AND)
7. DTC write into NVM
limp-home disable creep??</t>
    <phoneticPr fontId="45" type="noConversion"/>
  </si>
  <si>
    <t>227</t>
  </si>
  <si>
    <t>動態穩定控制5 checksum 錯誤</t>
  </si>
  <si>
    <t>动态稳定控制器5 checksum错误</t>
  </si>
  <si>
    <t>Detect checksum incorrect from ESC5 for 50ms continuously</t>
  </si>
  <si>
    <t>Monitor detect checksum continue from ESC5 for 2000ms continuously</t>
    <phoneticPr fontId="45" type="noConversion"/>
  </si>
  <si>
    <t>1. Activate Limp-home mode and limp home lamp (AND)
2. Set red indicator ON (AND)
3. VVMC_LongAcc_Gps = 0 (AND)
4. VMC 4 wheels slide rate calculation = 0% (AND)
5. VMC RDC active judgement = Off (AND)
6. TQD brake switch state = Off (AND)
7. DTC write into NVM
limp-home disable creep??</t>
    <phoneticPr fontId="45" type="noConversion"/>
  </si>
  <si>
    <t>228</t>
  </si>
  <si>
    <t>加速踏板1訊號超出範圍</t>
  </si>
  <si>
    <t>加速踏板1讯号超出范围</t>
  </si>
  <si>
    <t>1. APS1 electrical failure
2. APS1 reference voltage error
3. APS1 ground error</t>
  </si>
  <si>
    <t>1. 加速踏板1電子元件異常
2. 加速踏板1參考電源異常
3. 加速踏板1接地異常</t>
  </si>
  <si>
    <t>1. 加速踏板1电子组件异常
2. 加速踏板1参考电源异常
3. 加速踏板1接地异常</t>
  </si>
  <si>
    <t xml:space="preserve">1. Check whether the wiring harness and connector of accelerator pedal 1 are damaged
2. Check whether the signal voltage of accelerator pedal 1 is between 0.65V ~ 4.3 V (the pins of output1 and Ground)
3. Replace the accelerator pedal layer
</t>
  </si>
  <si>
    <r>
      <t>1.</t>
    </r>
    <r>
      <rPr>
        <sz val="12"/>
        <rFont val="MS Gothic"/>
        <family val="3"/>
        <charset val="128"/>
      </rPr>
      <t>檢</t>
    </r>
    <r>
      <rPr>
        <sz val="12"/>
        <rFont val="Microsoft YaHei"/>
        <family val="2"/>
        <charset val="134"/>
      </rPr>
      <t>查加速踏板</t>
    </r>
    <r>
      <rPr>
        <sz val="12"/>
        <rFont val="Arial"/>
        <family val="2"/>
      </rPr>
      <t>1</t>
    </r>
    <r>
      <rPr>
        <sz val="12"/>
        <rFont val="MS Gothic"/>
        <family val="3"/>
        <charset val="128"/>
      </rPr>
      <t xml:space="preserve">線束、接頭是否破損
</t>
    </r>
    <r>
      <rPr>
        <sz val="12"/>
        <rFont val="Arial"/>
        <family val="2"/>
      </rPr>
      <t>2.</t>
    </r>
    <r>
      <rPr>
        <sz val="12"/>
        <rFont val="MS Gothic"/>
        <family val="3"/>
        <charset val="128"/>
      </rPr>
      <t>檢</t>
    </r>
    <r>
      <rPr>
        <sz val="12"/>
        <rFont val="Microsoft YaHei"/>
        <family val="2"/>
        <charset val="134"/>
      </rPr>
      <t>查加速踏板</t>
    </r>
    <r>
      <rPr>
        <sz val="12"/>
        <rFont val="Arial"/>
        <family val="2"/>
      </rPr>
      <t>1</t>
    </r>
    <r>
      <rPr>
        <sz val="12"/>
        <rFont val="MS Gothic"/>
        <family val="3"/>
        <charset val="128"/>
      </rPr>
      <t>訊號電壓是否介於</t>
    </r>
    <r>
      <rPr>
        <sz val="12"/>
        <rFont val="Arial"/>
        <family val="2"/>
      </rPr>
      <t>0.65V ~ 4.3 V</t>
    </r>
    <r>
      <rPr>
        <sz val="12"/>
        <rFont val="MS Gothic"/>
        <family val="3"/>
        <charset val="128"/>
      </rPr>
      <t>之間</t>
    </r>
    <r>
      <rPr>
        <sz val="12"/>
        <rFont val="Arial"/>
        <family val="2"/>
      </rPr>
      <t>(</t>
    </r>
    <r>
      <rPr>
        <sz val="12"/>
        <rFont val="Yu Gothic"/>
        <family val="3"/>
        <charset val="128"/>
      </rPr>
      <t>量</t>
    </r>
    <r>
      <rPr>
        <sz val="12"/>
        <rFont val="Arial"/>
        <family val="2"/>
      </rPr>
      <t>output1</t>
    </r>
    <r>
      <rPr>
        <sz val="12"/>
        <rFont val="Yu Gothic"/>
        <family val="3"/>
        <charset val="128"/>
      </rPr>
      <t>與</t>
    </r>
    <r>
      <rPr>
        <sz val="12"/>
        <rFont val="Arial"/>
        <family val="2"/>
      </rPr>
      <t>Ground</t>
    </r>
    <r>
      <rPr>
        <sz val="12"/>
        <rFont val="Yu Gothic"/>
        <family val="3"/>
        <charset val="128"/>
      </rPr>
      <t>之腳位</t>
    </r>
    <r>
      <rPr>
        <sz val="12"/>
        <rFont val="Arial"/>
        <family val="2"/>
      </rPr>
      <t>)</t>
    </r>
    <r>
      <rPr>
        <sz val="12"/>
        <rFont val="MS Gothic"/>
        <family val="3"/>
        <charset val="128"/>
      </rPr>
      <t xml:space="preserve">
</t>
    </r>
    <r>
      <rPr>
        <sz val="12"/>
        <rFont val="Arial"/>
        <family val="2"/>
      </rPr>
      <t>3.</t>
    </r>
    <r>
      <rPr>
        <sz val="12"/>
        <rFont val="MS Gothic"/>
        <family val="3"/>
        <charset val="128"/>
      </rPr>
      <t xml:space="preserve">更換加速踏板層別
</t>
    </r>
  </si>
  <si>
    <r>
      <t>1.</t>
    </r>
    <r>
      <rPr>
        <sz val="12"/>
        <rFont val="微軟正黑體"/>
        <family val="2"/>
        <charset val="136"/>
      </rPr>
      <t>检查加速踏板</t>
    </r>
    <r>
      <rPr>
        <sz val="12"/>
        <rFont val="Arial"/>
        <family val="2"/>
      </rPr>
      <t>1</t>
    </r>
    <r>
      <rPr>
        <sz val="12"/>
        <rFont val="微軟正黑體"/>
        <family val="2"/>
        <charset val="136"/>
      </rPr>
      <t>线束、接头是否破损</t>
    </r>
    <r>
      <rPr>
        <sz val="12"/>
        <rFont val="Arial"/>
        <family val="2"/>
      </rPr>
      <t xml:space="preserve">
2.</t>
    </r>
    <r>
      <rPr>
        <sz val="12"/>
        <rFont val="微軟正黑體"/>
        <family val="2"/>
        <charset val="136"/>
      </rPr>
      <t>检查加速踏板</t>
    </r>
    <r>
      <rPr>
        <sz val="12"/>
        <rFont val="Arial"/>
        <family val="2"/>
      </rPr>
      <t>1</t>
    </r>
    <r>
      <rPr>
        <sz val="12"/>
        <rFont val="微軟正黑體"/>
        <family val="2"/>
        <charset val="136"/>
      </rPr>
      <t>讯号电压是否介于</t>
    </r>
    <r>
      <rPr>
        <sz val="12"/>
        <rFont val="Arial"/>
        <family val="2"/>
      </rPr>
      <t>0.65V ~ 4.3 V</t>
    </r>
    <r>
      <rPr>
        <sz val="12"/>
        <rFont val="微軟正黑體"/>
        <family val="2"/>
        <charset val="136"/>
      </rPr>
      <t>之间（量</t>
    </r>
    <r>
      <rPr>
        <sz val="12"/>
        <rFont val="Arial"/>
        <family val="2"/>
      </rPr>
      <t>output1</t>
    </r>
    <r>
      <rPr>
        <sz val="12"/>
        <rFont val="微軟正黑體"/>
        <family val="2"/>
        <charset val="136"/>
      </rPr>
      <t>与</t>
    </r>
    <r>
      <rPr>
        <sz val="12"/>
        <rFont val="Arial"/>
        <family val="2"/>
      </rPr>
      <t>Ground</t>
    </r>
    <r>
      <rPr>
        <sz val="12"/>
        <rFont val="微軟正黑體"/>
        <family val="2"/>
        <charset val="136"/>
      </rPr>
      <t>之脚位）</t>
    </r>
    <r>
      <rPr>
        <sz val="12"/>
        <rFont val="Arial"/>
        <family val="2"/>
      </rPr>
      <t xml:space="preserve">
3.</t>
    </r>
    <r>
      <rPr>
        <sz val="12"/>
        <rFont val="微軟正黑體"/>
        <family val="2"/>
        <charset val="136"/>
      </rPr>
      <t>更换加速踏板层别</t>
    </r>
  </si>
  <si>
    <t xml:space="preserve">Detect VDHP_EAPS1BAD_flg = True 
for 250 ms continuously.  </t>
    <phoneticPr fontId="45" type="noConversion"/>
  </si>
  <si>
    <t>Vehicle power state~=OFF (AND)
No APS1 5V PWR error</t>
  </si>
  <si>
    <t>After 1 time(s) of above detection continuously. (Total time for decision = 250ms)</t>
    <phoneticPr fontId="45" type="noConversion"/>
  </si>
  <si>
    <t>VDHP_EAPS1BAD_flg = True
for 1000ms continuously</t>
    <phoneticPr fontId="45" type="noConversion"/>
  </si>
  <si>
    <t>1. Record DTC (AND)
2. Set red indicator ON (AND)
3. DHP VDHP_EAPS12RangeSta_enum = APS1 Out (AND)
4. Activate Limp-home mode and limp home lamp (AND)
5. DHP VDHP_ActAPSPosn_pct &lt;= 20%</t>
  </si>
  <si>
    <t>229</t>
  </si>
  <si>
    <t>加速踏板2訊號超出範圍</t>
  </si>
  <si>
    <t>加速踏板2讯号超出范围</t>
  </si>
  <si>
    <t>1. APS2 electrical failure
2. APS2 reference voltage error
3. APS2 ground error</t>
  </si>
  <si>
    <t>1. 加速踏板2電子元件異常
2. 加速踏板2參考電源異常
3. 加速踏板2接地異常</t>
  </si>
  <si>
    <t>1. 加速踏板2电子组件异常
2. 加速踏板2参考电源异常
3. 加速踏板2接地异常</t>
  </si>
  <si>
    <t>1. Check whether the wiring harness and connector of accelerator pedal 2 are damaged
2. Check whether the signal voltage of accelerator pedal 2 is between 0.325 ~ 2.15 V (the foot of output2 and Ground)
3. Replace the accelerator pedal layer</t>
  </si>
  <si>
    <r>
      <t>1.</t>
    </r>
    <r>
      <rPr>
        <sz val="12"/>
        <rFont val="MS Gothic"/>
        <family val="3"/>
        <charset val="128"/>
      </rPr>
      <t>檢</t>
    </r>
    <r>
      <rPr>
        <sz val="12"/>
        <rFont val="Microsoft YaHei"/>
        <family val="2"/>
        <charset val="134"/>
      </rPr>
      <t>查加速踏板</t>
    </r>
    <r>
      <rPr>
        <sz val="12"/>
        <rFont val="Arial"/>
        <family val="2"/>
      </rPr>
      <t>2</t>
    </r>
    <r>
      <rPr>
        <sz val="12"/>
        <rFont val="MS Gothic"/>
        <family val="3"/>
        <charset val="128"/>
      </rPr>
      <t xml:space="preserve">線束、接頭是否破損
</t>
    </r>
    <r>
      <rPr>
        <sz val="12"/>
        <rFont val="Arial"/>
        <family val="2"/>
      </rPr>
      <t>2.</t>
    </r>
    <r>
      <rPr>
        <sz val="12"/>
        <rFont val="MS Gothic"/>
        <family val="3"/>
        <charset val="128"/>
      </rPr>
      <t>檢</t>
    </r>
    <r>
      <rPr>
        <sz val="12"/>
        <rFont val="Microsoft YaHei"/>
        <family val="2"/>
        <charset val="134"/>
      </rPr>
      <t>查加速踏板</t>
    </r>
    <r>
      <rPr>
        <sz val="12"/>
        <rFont val="Arial"/>
        <family val="2"/>
      </rPr>
      <t>2</t>
    </r>
    <r>
      <rPr>
        <sz val="12"/>
        <rFont val="MS Gothic"/>
        <family val="3"/>
        <charset val="128"/>
      </rPr>
      <t>訊號電壓是否介於</t>
    </r>
    <r>
      <rPr>
        <sz val="12"/>
        <rFont val="Arial"/>
        <family val="2"/>
      </rPr>
      <t>0.325 ~ 2.15 V</t>
    </r>
    <r>
      <rPr>
        <sz val="12"/>
        <rFont val="MS Gothic"/>
        <family val="3"/>
        <charset val="128"/>
      </rPr>
      <t>之間</t>
    </r>
    <r>
      <rPr>
        <sz val="12"/>
        <rFont val="Arial"/>
        <family val="3"/>
      </rPr>
      <t>(</t>
    </r>
    <r>
      <rPr>
        <sz val="12"/>
        <rFont val="Yu Gothic"/>
        <family val="3"/>
        <charset val="128"/>
      </rPr>
      <t>量</t>
    </r>
    <r>
      <rPr>
        <sz val="12"/>
        <rFont val="Arial"/>
        <family val="3"/>
      </rPr>
      <t>output2</t>
    </r>
    <r>
      <rPr>
        <sz val="12"/>
        <rFont val="Yu Gothic"/>
        <family val="3"/>
        <charset val="128"/>
      </rPr>
      <t>與</t>
    </r>
    <r>
      <rPr>
        <sz val="12"/>
        <rFont val="Arial"/>
        <family val="3"/>
      </rPr>
      <t>Ground</t>
    </r>
    <r>
      <rPr>
        <sz val="12"/>
        <rFont val="Yu Gothic"/>
        <family val="3"/>
        <charset val="128"/>
      </rPr>
      <t>之腳位</t>
    </r>
    <r>
      <rPr>
        <sz val="12"/>
        <rFont val="Arial"/>
        <family val="3"/>
      </rPr>
      <t>)</t>
    </r>
    <r>
      <rPr>
        <sz val="12"/>
        <rFont val="MS Gothic"/>
        <family val="3"/>
        <charset val="128"/>
      </rPr>
      <t xml:space="preserve">
</t>
    </r>
    <r>
      <rPr>
        <sz val="12"/>
        <rFont val="Arial"/>
        <family val="2"/>
      </rPr>
      <t>3.</t>
    </r>
    <r>
      <rPr>
        <sz val="12"/>
        <rFont val="MS Gothic"/>
        <family val="3"/>
        <charset val="128"/>
      </rPr>
      <t xml:space="preserve">更換加速踏板層別
</t>
    </r>
  </si>
  <si>
    <r>
      <t>1.</t>
    </r>
    <r>
      <rPr>
        <sz val="12"/>
        <rFont val="微軟正黑體"/>
        <family val="2"/>
        <charset val="136"/>
      </rPr>
      <t>检查加速踏板</t>
    </r>
    <r>
      <rPr>
        <sz val="12"/>
        <rFont val="Arial"/>
        <family val="2"/>
      </rPr>
      <t>2</t>
    </r>
    <r>
      <rPr>
        <sz val="12"/>
        <rFont val="微軟正黑體"/>
        <family val="2"/>
        <charset val="136"/>
      </rPr>
      <t>线束、接头是否破损</t>
    </r>
    <r>
      <rPr>
        <sz val="12"/>
        <rFont val="Arial"/>
        <family val="2"/>
      </rPr>
      <t xml:space="preserve">
2.</t>
    </r>
    <r>
      <rPr>
        <sz val="12"/>
        <rFont val="微軟正黑體"/>
        <family val="2"/>
        <charset val="136"/>
      </rPr>
      <t>检查加速踏板</t>
    </r>
    <r>
      <rPr>
        <sz val="12"/>
        <rFont val="Arial"/>
        <family val="2"/>
      </rPr>
      <t>2</t>
    </r>
    <r>
      <rPr>
        <sz val="12"/>
        <rFont val="微軟正黑體"/>
        <family val="2"/>
        <charset val="136"/>
      </rPr>
      <t>讯号电压是否介于</t>
    </r>
    <r>
      <rPr>
        <sz val="12"/>
        <rFont val="Arial"/>
        <family val="2"/>
      </rPr>
      <t>0.325 ~ 2.15 V</t>
    </r>
    <r>
      <rPr>
        <sz val="12"/>
        <rFont val="微軟正黑體"/>
        <family val="2"/>
        <charset val="136"/>
      </rPr>
      <t>之间（量</t>
    </r>
    <r>
      <rPr>
        <sz val="12"/>
        <rFont val="Arial"/>
        <family val="2"/>
      </rPr>
      <t>output2</t>
    </r>
    <r>
      <rPr>
        <sz val="12"/>
        <rFont val="微軟正黑體"/>
        <family val="2"/>
        <charset val="136"/>
      </rPr>
      <t>与</t>
    </r>
    <r>
      <rPr>
        <sz val="12"/>
        <rFont val="Arial"/>
        <family val="2"/>
      </rPr>
      <t>Ground</t>
    </r>
    <r>
      <rPr>
        <sz val="12"/>
        <rFont val="微軟正黑體"/>
        <family val="2"/>
        <charset val="136"/>
      </rPr>
      <t>之脚位）</t>
    </r>
    <r>
      <rPr>
        <sz val="12"/>
        <rFont val="Arial"/>
        <family val="2"/>
      </rPr>
      <t xml:space="preserve">
3.</t>
    </r>
    <r>
      <rPr>
        <sz val="12"/>
        <rFont val="微軟正黑體"/>
        <family val="2"/>
        <charset val="136"/>
      </rPr>
      <t>更换加速踏板层别</t>
    </r>
  </si>
  <si>
    <t>Detect VDHP_EAPS2BAD_flg = True
for 250ms continuously</t>
    <phoneticPr fontId="45" type="noConversion"/>
  </si>
  <si>
    <t>Vehicle power state ~= OFF (AND)
No APS2 5V PWR error</t>
  </si>
  <si>
    <t>VDHP_EAPS2BAD_flg = True
for 1000ms continuously</t>
    <phoneticPr fontId="45" type="noConversion"/>
  </si>
  <si>
    <t>1. Record DTC (AND)
2. Set red indicator ON (AND)
3. DHP VDHP_EAPS12RangeSta_enum = APS2 Out (AND)
4. Activate Limp-home mode and limp home lamp (AND)
5. DHP VDHP_ActAPSPosn_pct &lt;= 20%</t>
  </si>
  <si>
    <t>230</t>
  </si>
  <si>
    <t>加速踏板訊號關聯性差</t>
  </si>
  <si>
    <t>加速踏板讯号关联性差</t>
  </si>
  <si>
    <t>1. APS electrical failure
2. APS reference voltage error
3. APS ground error</t>
  </si>
  <si>
    <t>1. 加速踏板電子元件異常
2. 加速踏板參考電源異常
3. 加速踏板接地異常</t>
  </si>
  <si>
    <t>1. 加速踏板电子组件异常
2. 加速踏板参考电源异常
3. 加速踏板接地异常</t>
  </si>
  <si>
    <t>1. Check whether the wiring harness and connector of accelerator pedal 1 and 2 are damaged
2. Check that the voltage difference between accelerator pedal 1 and 2 is not between the normal value, and the normal value can be found out from the maintenance manual EC-12
3. Replace the accelerator pedal layer</t>
  </si>
  <si>
    <t>1.檢查加速踏板1、2線束、接頭是否破損
2.檢查加速踏板1、2電壓差未介於正常值，正常值可藉由維修手冊EC-12找出偏離值
3.更換加速踏板層別</t>
  </si>
  <si>
    <t>1.检查加速踏板1、2线束、接头是否破损
2.检查加速踏板1、2电压差未介于正常值，正常值可藉由维修手册EC-12找出偏离值
3.更换加速踏板层别</t>
  </si>
  <si>
    <t>Detect VDHP_EAPCRBAD_flg = True
for 250ms continuously.</t>
    <phoneticPr fontId="45" type="noConversion"/>
  </si>
  <si>
    <t xml:space="preserve">Vehicle power state ~= OFF (AND)
No APS1 &amp; APS2 5V PWR Error (AND)
No APS1 &amp; APS2 signal out of range </t>
  </si>
  <si>
    <t>VDHP_EAPCRBAD_flg = False 
for 1000ms continuously</t>
    <phoneticPr fontId="45" type="noConversion"/>
  </si>
  <si>
    <t>1. Record DTC (AND)
2. Set red indicator ON (AND)
3. Activate Limp-home mode and limp home lamp (AND)
4. DHP Compare APS1 &amp; APS2 for minimum value and limit maximum pedal position to 20%</t>
  </si>
  <si>
    <t>231</t>
  </si>
  <si>
    <t>加速踏板1_5伏供電電壓超出範圍</t>
  </si>
  <si>
    <t>加速踏板1_5伏供电电压超出范围</t>
  </si>
  <si>
    <t>ADC voltage detection out of range</t>
  </si>
  <si>
    <t>ADC電壓量測超出範圍</t>
  </si>
  <si>
    <t>ADC电压量测超出范围</t>
  </si>
  <si>
    <t>1. Check whether the wiring harness and connector of accelerator pedal 1 are damaged
2. Check whether the voltage of accelerator pedal 1 is between 4.9V~5.1 V (the foot position of VCC1 and Ground)
3. Replace the accelerator pedal layer</t>
  </si>
  <si>
    <r>
      <t>1.</t>
    </r>
    <r>
      <rPr>
        <sz val="12"/>
        <rFont val="MS Gothic"/>
        <family val="3"/>
        <charset val="128"/>
      </rPr>
      <t>檢</t>
    </r>
    <r>
      <rPr>
        <sz val="12"/>
        <rFont val="Microsoft YaHei"/>
        <family val="2"/>
        <charset val="134"/>
      </rPr>
      <t>查加速踏板</t>
    </r>
    <r>
      <rPr>
        <sz val="12"/>
        <rFont val="Arial"/>
        <family val="2"/>
      </rPr>
      <t>1</t>
    </r>
    <r>
      <rPr>
        <sz val="12"/>
        <rFont val="MS Gothic"/>
        <family val="3"/>
        <charset val="128"/>
      </rPr>
      <t xml:space="preserve">線束、接頭是否破損
</t>
    </r>
    <r>
      <rPr>
        <sz val="12"/>
        <rFont val="Arial"/>
        <family val="2"/>
      </rPr>
      <t>2.</t>
    </r>
    <r>
      <rPr>
        <sz val="12"/>
        <rFont val="MS Gothic"/>
        <family val="3"/>
        <charset val="128"/>
      </rPr>
      <t>檢</t>
    </r>
    <r>
      <rPr>
        <sz val="12"/>
        <rFont val="Microsoft YaHei"/>
        <family val="2"/>
        <charset val="134"/>
      </rPr>
      <t>查加速踏板</t>
    </r>
    <r>
      <rPr>
        <sz val="12"/>
        <rFont val="Arial"/>
        <family val="2"/>
      </rPr>
      <t>1</t>
    </r>
    <r>
      <rPr>
        <sz val="12"/>
        <rFont val="MS Gothic"/>
        <family val="3"/>
        <charset val="128"/>
      </rPr>
      <t>電壓是否介於</t>
    </r>
    <r>
      <rPr>
        <sz val="12"/>
        <rFont val="Arial"/>
        <family val="2"/>
      </rPr>
      <t>4.9V~5.1 V</t>
    </r>
    <r>
      <rPr>
        <sz val="12"/>
        <rFont val="MS Gothic"/>
        <family val="3"/>
        <charset val="128"/>
      </rPr>
      <t>之間</t>
    </r>
    <r>
      <rPr>
        <sz val="12"/>
        <rFont val="Arial"/>
        <family val="3"/>
      </rPr>
      <t>(</t>
    </r>
    <r>
      <rPr>
        <sz val="12"/>
        <rFont val="Microsoft JhengHei"/>
        <family val="3"/>
      </rPr>
      <t>量</t>
    </r>
    <r>
      <rPr>
        <sz val="12"/>
        <rFont val="Arial"/>
        <family val="3"/>
      </rPr>
      <t>VCC1</t>
    </r>
    <r>
      <rPr>
        <sz val="12"/>
        <rFont val="Microsoft JhengHei"/>
        <family val="3"/>
        <charset val="136"/>
      </rPr>
      <t>與Ground之腳位</t>
    </r>
    <r>
      <rPr>
        <sz val="12"/>
        <rFont val="Arial"/>
        <family val="3"/>
      </rPr>
      <t>)</t>
    </r>
    <r>
      <rPr>
        <sz val="12"/>
        <rFont val="MS Gothic"/>
        <family val="3"/>
        <charset val="128"/>
      </rPr>
      <t xml:space="preserve">
</t>
    </r>
    <r>
      <rPr>
        <sz val="12"/>
        <rFont val="Arial"/>
        <family val="2"/>
      </rPr>
      <t>3.</t>
    </r>
    <r>
      <rPr>
        <sz val="12"/>
        <rFont val="MS Gothic"/>
        <family val="3"/>
        <charset val="128"/>
      </rPr>
      <t xml:space="preserve">更換加速踏板層別
</t>
    </r>
  </si>
  <si>
    <r>
      <t>1.</t>
    </r>
    <r>
      <rPr>
        <sz val="12"/>
        <rFont val="微軟正黑體"/>
        <family val="2"/>
        <charset val="136"/>
      </rPr>
      <t>检查加速踏板</t>
    </r>
    <r>
      <rPr>
        <sz val="12"/>
        <rFont val="Arial"/>
        <family val="2"/>
      </rPr>
      <t>1</t>
    </r>
    <r>
      <rPr>
        <sz val="12"/>
        <rFont val="微軟正黑體"/>
        <family val="2"/>
        <charset val="136"/>
      </rPr>
      <t>线束、接头是否破损</t>
    </r>
    <r>
      <rPr>
        <sz val="12"/>
        <rFont val="Arial"/>
        <family val="2"/>
      </rPr>
      <t xml:space="preserve">
2.</t>
    </r>
    <r>
      <rPr>
        <sz val="12"/>
        <rFont val="微軟正黑體"/>
        <family val="2"/>
        <charset val="136"/>
      </rPr>
      <t>检查加速踏板</t>
    </r>
    <r>
      <rPr>
        <sz val="12"/>
        <rFont val="Arial"/>
        <family val="2"/>
      </rPr>
      <t>1</t>
    </r>
    <r>
      <rPr>
        <sz val="12"/>
        <rFont val="微軟正黑體"/>
        <family val="2"/>
        <charset val="136"/>
      </rPr>
      <t>电压是否介于</t>
    </r>
    <r>
      <rPr>
        <sz val="12"/>
        <rFont val="Arial"/>
        <family val="2"/>
      </rPr>
      <t>4.9V~5.1 V</t>
    </r>
    <r>
      <rPr>
        <sz val="12"/>
        <rFont val="微軟正黑體"/>
        <family val="2"/>
        <charset val="136"/>
      </rPr>
      <t>之间（量</t>
    </r>
    <r>
      <rPr>
        <sz val="12"/>
        <rFont val="Arial"/>
        <family val="2"/>
      </rPr>
      <t>VCC1</t>
    </r>
    <r>
      <rPr>
        <sz val="12"/>
        <rFont val="微軟正黑體"/>
        <family val="2"/>
        <charset val="136"/>
      </rPr>
      <t>与</t>
    </r>
    <r>
      <rPr>
        <sz val="12"/>
        <rFont val="Arial"/>
        <family val="2"/>
      </rPr>
      <t>Ground</t>
    </r>
    <r>
      <rPr>
        <sz val="12"/>
        <rFont val="微軟正黑體"/>
        <family val="2"/>
        <charset val="136"/>
      </rPr>
      <t>之脚位）</t>
    </r>
    <r>
      <rPr>
        <sz val="12"/>
        <rFont val="Arial"/>
        <family val="2"/>
      </rPr>
      <t xml:space="preserve">
3.</t>
    </r>
    <r>
      <rPr>
        <sz val="12"/>
        <rFont val="微軟正黑體"/>
        <family val="2"/>
        <charset val="136"/>
      </rPr>
      <t>更换加速踏板层别</t>
    </r>
  </si>
  <si>
    <t>(F18) ACC_PEDAL1_5V voltage &lt; 4.9 V (OR) 
&gt; 5.1 V for 250ms continuously.
After 1 time(s) of above detection
.</t>
    <phoneticPr fontId="45" type="noConversion"/>
  </si>
  <si>
    <t xml:space="preserve">Vehicle power state ~= OFF  </t>
  </si>
  <si>
    <t>(F18) ACC_PEDAL1_5V voltage &gt;= 4.9 V (AND)
(F18) ACC_PEDAL1_5V voltage &lt;= 5.1 V
for 1000ms continuously</t>
    <phoneticPr fontId="45" type="noConversion"/>
  </si>
  <si>
    <t>232</t>
  </si>
  <si>
    <t>加速踏板2_5伏供電電壓超出範圍</t>
  </si>
  <si>
    <t>加速踏板2_5伏供电电压超出范围</t>
  </si>
  <si>
    <t>1. Check whether the wiring harness and connector of accelerator pedal 2 are damaged
2. Check whether the voltage of accelerator pedal 2 is between 4.9V~5.1 V (the foot of VCC2 and Ground)
3. Replace the accelerator pedal layer</t>
  </si>
  <si>
    <r>
      <t>1.</t>
    </r>
    <r>
      <rPr>
        <sz val="12"/>
        <rFont val="MS Gothic"/>
        <family val="3"/>
        <charset val="128"/>
      </rPr>
      <t>檢</t>
    </r>
    <r>
      <rPr>
        <sz val="12"/>
        <rFont val="Microsoft YaHei"/>
        <family val="2"/>
        <charset val="134"/>
      </rPr>
      <t>查加速踏板</t>
    </r>
    <r>
      <rPr>
        <sz val="12"/>
        <rFont val="細明體"/>
        <family val="2"/>
        <charset val="136"/>
      </rPr>
      <t>2</t>
    </r>
    <r>
      <rPr>
        <sz val="12"/>
        <rFont val="MS Gothic"/>
        <family val="3"/>
        <charset val="128"/>
      </rPr>
      <t xml:space="preserve">線束、接頭是否破損
</t>
    </r>
    <r>
      <rPr>
        <sz val="12"/>
        <rFont val="Arial"/>
        <family val="2"/>
      </rPr>
      <t>2.</t>
    </r>
    <r>
      <rPr>
        <sz val="12"/>
        <rFont val="MS Gothic"/>
        <family val="3"/>
        <charset val="128"/>
      </rPr>
      <t>檢</t>
    </r>
    <r>
      <rPr>
        <sz val="12"/>
        <rFont val="Microsoft YaHei"/>
        <family val="2"/>
        <charset val="134"/>
      </rPr>
      <t>查加速踏板</t>
    </r>
    <r>
      <rPr>
        <sz val="12"/>
        <rFont val="細明體"/>
        <family val="2"/>
        <charset val="136"/>
      </rPr>
      <t>2</t>
    </r>
    <r>
      <rPr>
        <sz val="12"/>
        <rFont val="MS Gothic"/>
        <family val="3"/>
        <charset val="128"/>
      </rPr>
      <t>電壓是否介於</t>
    </r>
    <r>
      <rPr>
        <sz val="12"/>
        <rFont val="Arial"/>
        <family val="2"/>
      </rPr>
      <t>4.9V~5.1 V</t>
    </r>
    <r>
      <rPr>
        <sz val="12"/>
        <rFont val="MS Gothic"/>
        <family val="3"/>
        <charset val="128"/>
      </rPr>
      <t>之間</t>
    </r>
    <r>
      <rPr>
        <sz val="12"/>
        <rFont val="Arial"/>
        <family val="3"/>
      </rPr>
      <t>(</t>
    </r>
    <r>
      <rPr>
        <sz val="12"/>
        <rFont val="Microsoft JhengHei"/>
        <family val="3"/>
      </rPr>
      <t>量</t>
    </r>
    <r>
      <rPr>
        <sz val="12"/>
        <rFont val="Arial"/>
        <family val="3"/>
      </rPr>
      <t>VCC2</t>
    </r>
    <r>
      <rPr>
        <sz val="12"/>
        <rFont val="Microsoft JhengHei"/>
        <family val="3"/>
        <charset val="136"/>
      </rPr>
      <t>與Ground之腳位</t>
    </r>
    <r>
      <rPr>
        <sz val="12"/>
        <rFont val="Arial"/>
        <family val="3"/>
      </rPr>
      <t>)</t>
    </r>
    <r>
      <rPr>
        <sz val="12"/>
        <rFont val="MS Gothic"/>
        <family val="3"/>
        <charset val="128"/>
      </rPr>
      <t xml:space="preserve">
</t>
    </r>
    <r>
      <rPr>
        <sz val="12"/>
        <rFont val="Arial"/>
        <family val="2"/>
      </rPr>
      <t>3.</t>
    </r>
    <r>
      <rPr>
        <sz val="12"/>
        <rFont val="MS Gothic"/>
        <family val="3"/>
        <charset val="128"/>
      </rPr>
      <t xml:space="preserve">更換加速踏板層別
</t>
    </r>
  </si>
  <si>
    <r>
      <t>1.</t>
    </r>
    <r>
      <rPr>
        <sz val="12"/>
        <rFont val="微軟正黑體"/>
        <family val="2"/>
        <charset val="136"/>
      </rPr>
      <t>检查加速踏板</t>
    </r>
    <r>
      <rPr>
        <sz val="12"/>
        <rFont val="Arial"/>
        <family val="2"/>
      </rPr>
      <t>2</t>
    </r>
    <r>
      <rPr>
        <sz val="12"/>
        <rFont val="微軟正黑體"/>
        <family val="2"/>
        <charset val="136"/>
      </rPr>
      <t>线束、接头是否破损</t>
    </r>
    <r>
      <rPr>
        <sz val="12"/>
        <rFont val="Arial"/>
        <family val="2"/>
      </rPr>
      <t xml:space="preserve">
2.</t>
    </r>
    <r>
      <rPr>
        <sz val="12"/>
        <rFont val="微軟正黑體"/>
        <family val="2"/>
        <charset val="136"/>
      </rPr>
      <t>检查加速踏板</t>
    </r>
    <r>
      <rPr>
        <sz val="12"/>
        <rFont val="Arial"/>
        <family val="2"/>
      </rPr>
      <t>2</t>
    </r>
    <r>
      <rPr>
        <sz val="12"/>
        <rFont val="微軟正黑體"/>
        <family val="2"/>
        <charset val="136"/>
      </rPr>
      <t>电压是否介于</t>
    </r>
    <r>
      <rPr>
        <sz val="12"/>
        <rFont val="Arial"/>
        <family val="2"/>
      </rPr>
      <t>4.9V~5.1 V</t>
    </r>
    <r>
      <rPr>
        <sz val="12"/>
        <rFont val="微軟正黑體"/>
        <family val="2"/>
        <charset val="136"/>
      </rPr>
      <t>之间（量</t>
    </r>
    <r>
      <rPr>
        <sz val="12"/>
        <rFont val="Arial"/>
        <family val="2"/>
      </rPr>
      <t>VCC2</t>
    </r>
    <r>
      <rPr>
        <sz val="12"/>
        <rFont val="微軟正黑體"/>
        <family val="2"/>
        <charset val="136"/>
      </rPr>
      <t>与</t>
    </r>
    <r>
      <rPr>
        <sz val="12"/>
        <rFont val="Arial"/>
        <family val="2"/>
      </rPr>
      <t>Ground</t>
    </r>
    <r>
      <rPr>
        <sz val="12"/>
        <rFont val="微軟正黑體"/>
        <family val="2"/>
        <charset val="136"/>
      </rPr>
      <t>之脚位）</t>
    </r>
    <r>
      <rPr>
        <sz val="12"/>
        <rFont val="Arial"/>
        <family val="2"/>
      </rPr>
      <t xml:space="preserve">
3.</t>
    </r>
    <r>
      <rPr>
        <sz val="12"/>
        <rFont val="微軟正黑體"/>
        <family val="2"/>
        <charset val="136"/>
      </rPr>
      <t>更换加速踏板层别</t>
    </r>
  </si>
  <si>
    <t>(F25) ACC_PEDAL2_5V voltage &lt; 4.9 V (OR) 
&gt; 5.1 V for 250ms continuously.
After 1 time(s) of above detection
.</t>
    <phoneticPr fontId="45" type="noConversion"/>
  </si>
  <si>
    <t>(F25) ACC_PEDAL2_5V voltage &gt;= 4.9 V (AND)
(F25) ACC_PEDAL2_5V voltage &lt;= 5.1 V
for 1000ms continuously</t>
    <phoneticPr fontId="45" type="noConversion"/>
  </si>
  <si>
    <t>233</t>
  </si>
  <si>
    <t>前電機扭力響應異常</t>
  </si>
  <si>
    <t>前电机扭力响应异常</t>
  </si>
  <si>
    <t>Front EDU power output abnormal</t>
  </si>
  <si>
    <t>前電機輸出異常</t>
  </si>
  <si>
    <t>前电机输出异常</t>
  </si>
  <si>
    <t>Check front MCU system condition</t>
  </si>
  <si>
    <t>feedback error</t>
  </si>
  <si>
    <t>for D31L CAN MM use:
Detect EDU not following VCU torque request Abs( Fr_EDURealTMTq - Fr_TMTqReq ) &gt;= calibrated delta Tq 
for 500ms continuously
for FPD1 CAN MM with Nidec motor use:
Detect EDU not following VCU torque request Abs( Fr_EDURealTMTq - Fr_TMTqReq ) &gt;= calibrated delta Tq 
for 500ms continuously
for FPD1 CAN MM with UAES motor use:
Detect EDU not following VCU torque request Abs( Fr_EDURealTMTq - Fr_TMTqReq ) &gt;= calibrated delta Tq 
for 500ms continuously</t>
    <phoneticPr fontId="28" type="noConversion"/>
  </si>
  <si>
    <t>for D31L CAN MM use:
No CAN BUS-OFF detected (AND)
No CAN Loss of MCU_F1 detected (AND)
No rolling count error of MCU_F1 (AND)
No checksum error of MCU_F1 (AND)
MCUWarn_F = normal or Err lvl 0 (AND)
Fr_EDUDrtSta = normal operation (AND)
Vehicle speed &gt; 40 kph (AND)
Vehicle power state ~= OFF (AND)
Drivetrain ~= RWD
for FPD1 CAN MM with Nidec motor use:
No CAN BUS-OFF detected (AND)
No CAN Loss of MCU_N_F1 detected (AND)
No rolling count error of MCU_N_F1 (AND)
No checksum error of MCU_N_F1 (AND)
MCUWarn_F = normal or Err lvl 0 (AND)
Fr_EDUDrtSta = normal operation (AND)
Vehicle speed &gt; 40 kph (AND)
Vehicle power state ~= OFF (AND)
Drivetrain ~= RWD
for FPD1 CAN MM with UAES motor use:
No CAN BUS-OFF detected (AND)
No CAN Loss of MCU_B_F1 detected (AND)
No rolling count error of MCU_B_F1 (AND)
No checksum error of MCU_B_F1 (AND)
MCUWarn_F = normal or Err lvl 0 (AND)
Fr_EDUDrtSta = normal operation (AND)
Vehicle speed &gt; 40 kph (AND)
Vehicle power state ~= OFF (AND)
Drivetrain ~= RWD</t>
    <phoneticPr fontId="28" type="noConversion"/>
  </si>
  <si>
    <t>After 1 time(s) of above detection continuously. (Total time for decision = 500ms)</t>
  </si>
  <si>
    <t>Detect test fail condition evaluated false
for 2000ms continuously</t>
    <phoneticPr fontId="45" type="noConversion"/>
  </si>
  <si>
    <t>1. Record DTC
2.Turn on warning lamp
3. Activate Limp-home mode and limp home lamp</t>
  </si>
  <si>
    <t>234</t>
  </si>
  <si>
    <t>後電機扭力響應異常</t>
  </si>
  <si>
    <t>后电机扭力响应异常</t>
  </si>
  <si>
    <t>Rear EDU power output abnormal</t>
  </si>
  <si>
    <t>後電機輸出異常</t>
  </si>
  <si>
    <t>后电机输出异常</t>
  </si>
  <si>
    <t>Check rear MCU system condition</t>
  </si>
  <si>
    <t>for D31L CAN MM use:
Detect EDU not following VCU torque request Abs( Rr_EDURealTMTq - Rr_TMTqReq ) &gt;= calibrated delta Tq 
for 500ms continuously
for FPD1 CAN MM with Nidec motor use:
Detect EDU not following VCU torque request Abs( Rr_EDURealTMTq - Rr_TMTqReq ) &gt;= calibrated delta Tq 
for 500ms continuously
for FPD1 CAN MM with UAES motor use:
Detect EDU not following VCU torque request Abs( Rr_EDURealTMTq - Rr_TMTqReq ) &gt;= calibrated delta Tq 
for 500ms continuously</t>
    <phoneticPr fontId="28" type="noConversion"/>
  </si>
  <si>
    <t>for D31L CAN MM use:
No CAN BUS-OFF detected (AND)
No CAN Loss of MCU_R1 detected (AND)
No rolling count error of MCU_R1 (AND)
No checksum error of MCU_R1 (AND)
MCUWarn_R = normal or Err lvl 0 (AND)
Rr_EDUDrtSta = normal operation (AND)
Vehicle speed &gt; 40 kph (AND)
Vehicle power state ~= OFF (AND)
Drivetrain ~= FWD
for FPD1 CAN MM with Nidec motor use:
No CAN BUS-OFF detected (AND)
No CAN Loss of MCU_N_R1 detected (AND)
No rolling count error of MMCU_N_R1 (AND)
No checksum error of MCU_N_R1 (AND)
MCUWarn_R = normal or Err lvl 0 (AND)
Rr_EDUDrtSta = normal operation (AND)
Vehicle speed &gt; 40 kph (AND)
Vehicle power state ~= OFF (AND)
Drivetrain ~= FWD
for FPD1 CAN MM with UAES motor use:
No CAN BUS-OFF detected (AND)
No CAN Loss of MCU_B_R1 detected (AND)
No rolling count error of MCU_B_R1 (AND)
No checksum error of MCU_B_R1 (AND)
MCUWarn_R = normal or Err lvl 0 (AND)
Rr_EDUDrtSta = normal operation (AND)
Vehicle speed &gt; 40 kph (AND)
Vehicle power state ~= OFF (AND)
Drivetrain ~= FWD</t>
    <phoneticPr fontId="28" type="noConversion"/>
  </si>
  <si>
    <t>Detect test fail condition evaluated false
for 2000ms continuously</t>
    <phoneticPr fontId="28" type="noConversion"/>
  </si>
  <si>
    <t>235</t>
  </si>
  <si>
    <t>電子駐剎車做動響應超時</t>
  </si>
  <si>
    <t>电子驻车制动响应超时</t>
  </si>
  <si>
    <t>電子駐剎車訊號異常</t>
  </si>
  <si>
    <t>电子驻刹车讯号异常</t>
  </si>
  <si>
    <t>Check EPB system condition</t>
  </si>
  <si>
    <t>請參照煞車控制系統故障處置</t>
  </si>
  <si>
    <t>请参照煞车控制系统故障处置</t>
  </si>
  <si>
    <t>After PrkReq changed to Request (AND)
EPBSta ~= Applied for 2000ms</t>
  </si>
  <si>
    <t>No CAN BUS-OFF detected (AND)
No CAN Loss of EPB1 detected (AND)
No rolling count error of EPB1 (AND)
No checksum error of EPB1 (AND)
Vehicle power state ~= OFF (AND)
No EPB release response timeout fail safe during detection</t>
  </si>
  <si>
    <t>After 1 time(s) of above detection continuously. (Total time for decision = 2000ms)</t>
  </si>
  <si>
    <t>After PrkReq changed to Request (AND)
EPBSta = Applied within 2000ms
for 1 time(s) of above detection.</t>
  </si>
  <si>
    <t>1. DTC write into NVM (AND)
2. Set EDriveSysErr_ShifterErr to Error when in Park gear (AND)
3. Set red indicator ON (AND)
4. Set EngageP_Fail to Fail when in Park gear
shift to N?
either EPBStaR or EPBStaL satisfy P but with warning?</t>
    <phoneticPr fontId="45" type="noConversion"/>
  </si>
  <si>
    <t>release condition only applies to warning lamp</t>
  </si>
  <si>
    <t>236</t>
  </si>
  <si>
    <t>電子駐剎車釋放響應超時</t>
  </si>
  <si>
    <t>电子驻车释放响应超时</t>
  </si>
  <si>
    <t>After PrkReq changed to Release (AND)
EPBSta ~= Released for 2000ms</t>
  </si>
  <si>
    <t>No CAN BUS-OFF detected (AND)
No CAN Loss of EPB1 detected (AND)
No rolling count error of EPB1 (AND)
No checksum error of EPB1 (AND)
Vehicle power state ~= OFF (AND)
No EPB apply response timeout fail safe during detection</t>
  </si>
  <si>
    <t>After PrkReq changed to Release (AND)
EPBSta = Released within 2000ms
for 1 time(s) of above detection.</t>
  </si>
  <si>
    <t>1. DTC write into NVM (AND)
2. Set EDriveSysErr_ShifterErr (AND)
3. Set red indicator ON (AND)
4. Set DisengageP_Fail to Fail
must have both EPBStaR &amp; EPBStaL released
allow gear shift with limp-home</t>
  </si>
  <si>
    <t>237</t>
  </si>
  <si>
    <t>前蓋開關失效</t>
  </si>
  <si>
    <t>前蓋开关失效</t>
  </si>
  <si>
    <t>1. Replace the front cover switch layer
2. Confirm whether the front cover wiring harness and connector are damaged</t>
  </si>
  <si>
    <t xml:space="preserve">1.更換前蓋開關層別
2.確認前蓋線束、接頭是否破損
</t>
  </si>
  <si>
    <t xml:space="preserve">1.更换前盖开关层别
2.确认前盖线束、接头是否破损
</t>
  </si>
  <si>
    <t>Monitor detect status of hood switch changed frequently, cycle less than 200msec  for 1 sec continuously.</t>
  </si>
  <si>
    <t>After 5 time(s) of above detection continuously.
(Total time for decision = 5,000ms)</t>
  </si>
  <si>
    <t>Monitor detect status of hood switch not change for 1sec continuously.</t>
  </si>
  <si>
    <t>1.  DTC write into NVM (AND)
2. Set VCU hood S/W state signal = Invalid, and all the hood signal conditions of  Power Mode Determination shall be ignored. (AND)
3. When the power state is ON, hood state = invalid and brake S/W signal = ON is received 1 sec continuously , ask the user "系統故障，您是否要進入 READY狀態?". if user comfirmed and allow into READY state.</t>
  </si>
  <si>
    <t>238</t>
  </si>
  <si>
    <t>尾門開關失效</t>
  </si>
  <si>
    <t>尾门开关失效</t>
  </si>
  <si>
    <t>1. Replace the tailgate switch layer
2. Confirm whether the tailgate wiring harness and connector are damaged</t>
  </si>
  <si>
    <t xml:space="preserve">1.更換尾門開關層別
2.確認尾門線束、接頭是否破損
</t>
  </si>
  <si>
    <t xml:space="preserve">1.更换尾门开关层别
2.确认尾门线束、接头是否破损
</t>
  </si>
  <si>
    <t>Monitor detect status of tailgate switch changed frequently, cycle less than 200msec  for 1 sec continuously.</t>
  </si>
  <si>
    <t>Monitor detect status of tailgate switch not change for 1sec continuously.</t>
  </si>
  <si>
    <t>1.  DTC write into NVM (AND)
2. Set tailgate state signal = Invalid, and all the tailgate signal conditions of  Power Mode Determination shall be ignored. (AND)
4. When the power state is ON, tailgate state = invalid and brake S/W signal = ON is received 1 sec continuously , ask the user "系統故障，您是否要進入 READY狀態?". if user comfirmed and allow into READY state.</t>
  </si>
  <si>
    <t>239</t>
  </si>
  <si>
    <t>P100255</t>
  </si>
  <si>
    <t>動態穩定控制4 通訊超時</t>
  </si>
  <si>
    <t>1. Controller power supply fault
2. Controller connector connection fault
3. Software version incorrect</t>
  </si>
  <si>
    <t>1. 控制器電源狀態異常
2. 控制器接頭連接異常
3. 軟體版本錯誤</t>
  </si>
  <si>
    <t>1. 控制器電源狀態異常
2. 控制器接頭連接異常
3. 軟體版次錯誤</t>
  </si>
  <si>
    <t xml:space="preserve">1. Please check whether the terminals of the Fusion Domain and the ABS_ECU connector are damaged, bent, withdrawn or corroded.
</t>
  </si>
  <si>
    <t>Detect lost comm from ESC4 for 50ms continuously</t>
  </si>
  <si>
    <t>Monitor detect no lost comm with ESC4 for 1000ms continuously</t>
    <phoneticPr fontId="45" type="noConversion"/>
  </si>
  <si>
    <t>240</t>
  </si>
  <si>
    <t>電子駐剎車1 通訊超時</t>
  </si>
  <si>
    <t>電子駐車1 通訊超時</t>
  </si>
  <si>
    <t>Detect lost comm from EPB1 for 50ms continuously</t>
  </si>
  <si>
    <t>Monitor detect no lost comm with EPB1 for 1000ms continuously</t>
    <phoneticPr fontId="45" type="noConversion"/>
  </si>
  <si>
    <r>
      <t xml:space="preserve">1. DTC write into NVM (AND)
2. Set EDriveSysErr_ShifterErr to Error when in Park gear (AND)
3. Set red indicator ON when in Park gear (AND)
4. Set EngageP_Fail to Fail when shift into Park gear, DisengageP_Fail when shift from P to R/N/D
</t>
    </r>
    <r>
      <rPr>
        <sz val="12"/>
        <rFont val="細明體"/>
        <family val="2"/>
        <charset val="136"/>
      </rPr>
      <t>禁止</t>
    </r>
    <r>
      <rPr>
        <sz val="12"/>
        <rFont val="Arial"/>
        <family val="2"/>
      </rPr>
      <t xml:space="preserve"> park request </t>
    </r>
    <r>
      <rPr>
        <sz val="12"/>
        <rFont val="細明體"/>
        <family val="2"/>
        <charset val="136"/>
      </rPr>
      <t>變化，</t>
    </r>
    <r>
      <rPr>
        <sz val="12"/>
        <rFont val="Microsoft JhengHei"/>
        <family val="2"/>
      </rPr>
      <t>禁止進</t>
    </r>
    <r>
      <rPr>
        <sz val="12"/>
        <rFont val="Arial"/>
        <family val="2"/>
      </rPr>
      <t>P/</t>
    </r>
    <r>
      <rPr>
        <sz val="12"/>
        <rFont val="Microsoft JhengHei"/>
        <family val="2"/>
      </rPr>
      <t>出</t>
    </r>
    <r>
      <rPr>
        <sz val="12"/>
        <rFont val="Arial"/>
        <family val="2"/>
      </rPr>
      <t>P</t>
    </r>
    <phoneticPr fontId="45" type="noConversion"/>
  </si>
  <si>
    <t>241</t>
  </si>
  <si>
    <t>電子駐剎車1 life count 錯誤</t>
  </si>
  <si>
    <t>電子駐車1 life count 錯誤</t>
  </si>
  <si>
    <t>Detect life counter discontinuous from EPB1 for 50ms continuously</t>
  </si>
  <si>
    <t>No CAN BUS-OFF detected (AND)
No CAN Loss of EPB1 detected (AND)
Vehicle power state ~= OFF</t>
  </si>
  <si>
    <t>Monitor detect life counter continue from EPB1 for 2000ms continuously</t>
    <phoneticPr fontId="45" type="noConversion"/>
  </si>
  <si>
    <t xml:space="preserve">None </t>
    <phoneticPr fontId="45" type="noConversion"/>
  </si>
  <si>
    <t>1. DTC write into NVM (AND)
2. Set EDriveSysErr_ShifterErr to Error when in Park gear (AND)
3. Set red indicator ON when in Park gear (AND)
4. Set EngageP_Fail to Fail when in Park gear</t>
    <phoneticPr fontId="45" type="noConversion"/>
  </si>
  <si>
    <t>242</t>
  </si>
  <si>
    <t>電子駐剎車1 checksum 錯誤</t>
  </si>
  <si>
    <t>電子駐車1 checksum錯誤</t>
  </si>
  <si>
    <t>1. 軟體版本錯誤
2.外部CAN連接設備造成通訊干擾</t>
  </si>
  <si>
    <t>1. 軟體版次錯誤
2.外部CAN連接設備造成通訊干擾</t>
  </si>
  <si>
    <t>Detect checksum incorrect from EPB1 for 50ms continuously</t>
  </si>
  <si>
    <t>Monitor detect checksum continue from EPB1 for 2000ms continuously</t>
    <phoneticPr fontId="45" type="noConversion"/>
  </si>
  <si>
    <t>243</t>
  </si>
  <si>
    <t>電子駐刹車訊號異常</t>
  </si>
  <si>
    <t>Check EPB condition</t>
  </si>
  <si>
    <t>signal error</t>
  </si>
  <si>
    <t>Detect EPBErrSta = Failed
for 50ms continuously</t>
  </si>
  <si>
    <t>No CAN1 BUS-OFF (AND)
No CAN Loss of EPB1 (AND)
No life count error of EPB1 (AND)
No checksum error of EPB1 (AND)
Vehicle power state ~= OFF</t>
  </si>
  <si>
    <t>After 1 time(s) of above detection continuously. (Total time for decision = 50ms)</t>
    <phoneticPr fontId="45" type="noConversion"/>
  </si>
  <si>
    <t>Detect EPBErrSta = Normal
for 250ms continuously</t>
  </si>
  <si>
    <t>1. DTC write into NVM (AND)
2. Set EDriveSysErr_ShifterErr to Error when in gear P</t>
  </si>
  <si>
    <t>1. Key OFF -&gt; STANDBY (OR)
2. When clear DTC is requested (OR)
3.  Pass Criteria = True (AND) 
    TQD GearActualPosn = P (OR)
4. KDDM_TQDDiagnosisOffSW = On</t>
  </si>
  <si>
    <t>244</t>
  </si>
  <si>
    <t>低壓輸入訊號錯誤</t>
  </si>
  <si>
    <t>低压输入讯号错误</t>
  </si>
  <si>
    <t>1. The low voltage input of the Fusion ECU module is abnormal.</t>
  </si>
  <si>
    <t>1. 聯合控制模組低電壓輸入異常</t>
  </si>
  <si>
    <t>1. 联合控制模组低电压输入异常</t>
  </si>
  <si>
    <t>1. Please check whether the Fusion ECU module power pin connector terminal is damaged, bent, protruded or corroded.</t>
  </si>
  <si>
    <r>
      <t>1.</t>
    </r>
    <r>
      <rPr>
        <sz val="12"/>
        <rFont val="MS Gothic"/>
        <family val="3"/>
        <charset val="128"/>
      </rPr>
      <t>請檢</t>
    </r>
    <r>
      <rPr>
        <sz val="12"/>
        <rFont val="Microsoft YaHei"/>
        <family val="2"/>
        <charset val="134"/>
      </rPr>
      <t>查聯合控制模組電源腳位</t>
    </r>
    <r>
      <rPr>
        <sz val="12"/>
        <rFont val="MS Gothic"/>
        <family val="3"/>
        <charset val="128"/>
      </rPr>
      <t xml:space="preserve">接頭端子是否有損壞、彎曲、退出或是腐蝕。
</t>
    </r>
  </si>
  <si>
    <t>1.请检查联合控制模组电源脚位接头端子是否有损坏、弯曲、退出或是腐蚀。</t>
  </si>
  <si>
    <t>Monitor detect difference of FD LV input between BMS LV input &gt;=10 %  for 5s continuousl</t>
  </si>
  <si>
    <t>for D31L CAN MM use:
FD ECU wake up (AND) 
No CAN Loss of BMS2 detected
for FPD1 CAN MM use:
FD ECU wake up (AND) 
No CAN Loss of BMS5 detected</t>
    <phoneticPr fontId="28" type="noConversion"/>
  </si>
  <si>
    <t>After 5 time(s) of above detection. (Total time for decision = 25s)</t>
  </si>
  <si>
    <t>Monitor detect difference of FD LV input between BMS LV input &lt; 10 %  for 25s continuousl</t>
  </si>
  <si>
    <t>1.  Key OFF -&gt; STANDBY (OR)
2. When clear DTC is requested (OR)
3. Pass Criteria = True (OR)
4. KDDM_LVDiagnosis_flg = On</t>
  </si>
  <si>
    <t>245</t>
  </si>
  <si>
    <t>前鏡頭模組2 通訊超時</t>
  </si>
  <si>
    <t>前镜头模块2 通讯超时</t>
  </si>
  <si>
    <t>1. Please check whether the wiring or terminals of the joint control module and the driver assistance system - ADAS front lens module are damaged, bent, exited or corroded.</t>
  </si>
  <si>
    <r>
      <t>1.</t>
    </r>
    <r>
      <rPr>
        <sz val="12"/>
        <rFont val="微軟正黑體"/>
        <family val="2"/>
        <charset val="136"/>
      </rPr>
      <t>請檢查聯合控制模組與駕駛輔助系統</t>
    </r>
    <r>
      <rPr>
        <sz val="12"/>
        <rFont val="Arial"/>
        <family val="2"/>
      </rPr>
      <t>-ADAS</t>
    </r>
    <r>
      <rPr>
        <sz val="12"/>
        <rFont val="微軟正黑體"/>
        <family val="2"/>
        <charset val="136"/>
      </rPr>
      <t>前鏡頭模組線路或端子是否有損壞、彎曲、退出或是腐蝕。</t>
    </r>
  </si>
  <si>
    <r>
      <t>1.</t>
    </r>
    <r>
      <rPr>
        <sz val="12"/>
        <rFont val="微軟正黑體"/>
        <family val="2"/>
        <charset val="136"/>
      </rPr>
      <t>请检查联合控制模块与驾驶辅助系统</t>
    </r>
    <r>
      <rPr>
        <sz val="12"/>
        <rFont val="Arial"/>
        <family val="2"/>
      </rPr>
      <t>-ADAS</t>
    </r>
    <r>
      <rPr>
        <sz val="12"/>
        <rFont val="微軟正黑體"/>
        <family val="2"/>
        <charset val="136"/>
      </rPr>
      <t>前镜头模块线路或端子是否有损坏、弯曲、退出或是腐蚀。</t>
    </r>
  </si>
  <si>
    <t>Detect lost comm from FCM2 for 50ms continuously</t>
  </si>
  <si>
    <t>Monitor detect no lost comm with FCM2 for 1000ms continuously</t>
    <phoneticPr fontId="45" type="noConversion"/>
  </si>
  <si>
    <t>1. Disable ACC (AND)
2. VMC ACC handshake control allow = Off (AND)
3. TQD Tq source bypass ADAS force idle (AND)
4. DTC write into NVM</t>
  </si>
  <si>
    <t>1. Key OFF -&gt; STANDBY (OR)
2. When clear DTC is requested (OR)
3,  Pass Criteria = True (OR)
4. KDDM_VMCDiagnosisOffSW = On</t>
  </si>
  <si>
    <t>246</t>
  </si>
  <si>
    <t>前鏡頭模組3 通訊超時</t>
  </si>
  <si>
    <t>前镜头模块3 通讯超时</t>
  </si>
  <si>
    <t>Detect lost comm from FCM3 for 50ms continuously</t>
  </si>
  <si>
    <t>Monitor detect no lost comm with FCM3 for 1000ms continuously</t>
    <phoneticPr fontId="45" type="noConversion"/>
  </si>
  <si>
    <t>247</t>
  </si>
  <si>
    <t>前鏡頭模組4 通訊超時</t>
  </si>
  <si>
    <t>前镜头模块4 通讯超时</t>
  </si>
  <si>
    <t>Detect lost comm from FCM4 for 500ms continuously</t>
  </si>
  <si>
    <t>Monitor detect no lost comm with FCM4 for 2000ms continuously</t>
    <phoneticPr fontId="45" type="noConversion"/>
  </si>
  <si>
    <t>248</t>
  </si>
  <si>
    <t>前鏡頭模組5 通訊超時</t>
  </si>
  <si>
    <t>前镜头模块5 通讯超时</t>
  </si>
  <si>
    <t>Detect lost comm from FCM5 for 500ms continuously</t>
  </si>
  <si>
    <t>Monitor detect no lost comm with FCM5 for 2000ms continuously</t>
    <phoneticPr fontId="45" type="noConversion"/>
  </si>
  <si>
    <t>249</t>
  </si>
  <si>
    <r>
      <t xml:space="preserve">Zone_DR_SCP </t>
    </r>
    <r>
      <rPr>
        <sz val="12"/>
        <rFont val="新細明體"/>
        <family val="1"/>
        <charset val="136"/>
      </rPr>
      <t>通訊超時</t>
    </r>
  </si>
  <si>
    <r>
      <t xml:space="preserve">Zone_DR_SCP </t>
    </r>
    <r>
      <rPr>
        <sz val="12"/>
        <rFont val="新細明體"/>
        <family val="1"/>
        <charset val="136"/>
      </rPr>
      <t>通讯超时</t>
    </r>
  </si>
  <si>
    <r>
      <t xml:space="preserve">1. </t>
    </r>
    <r>
      <rPr>
        <sz val="12"/>
        <rFont val="新細明體"/>
        <family val="1"/>
        <charset val="136"/>
      </rPr>
      <t xml:space="preserve">控制器電源狀態異常
</t>
    </r>
    <r>
      <rPr>
        <sz val="12"/>
        <rFont val="Arial"/>
        <family val="2"/>
      </rPr>
      <t>2. CAN</t>
    </r>
    <r>
      <rPr>
        <sz val="12"/>
        <rFont val="新細明體"/>
        <family val="1"/>
        <charset val="136"/>
      </rPr>
      <t xml:space="preserve">線路異常
</t>
    </r>
    <r>
      <rPr>
        <sz val="12"/>
        <rFont val="Arial"/>
        <family val="2"/>
      </rPr>
      <t xml:space="preserve">3. </t>
    </r>
    <r>
      <rPr>
        <sz val="12"/>
        <rFont val="新細明體"/>
        <family val="1"/>
        <charset val="136"/>
      </rPr>
      <t xml:space="preserve">控制器接頭連接異常
</t>
    </r>
    <r>
      <rPr>
        <sz val="12"/>
        <rFont val="Arial"/>
        <family val="2"/>
      </rPr>
      <t xml:space="preserve">4. </t>
    </r>
    <r>
      <rPr>
        <sz val="12"/>
        <rFont val="新細明體"/>
        <family val="1"/>
        <charset val="136"/>
      </rPr>
      <t>軟體版本錯誤</t>
    </r>
  </si>
  <si>
    <r>
      <t xml:space="preserve">1. </t>
    </r>
    <r>
      <rPr>
        <sz val="12"/>
        <rFont val="新細明體"/>
        <family val="1"/>
        <charset val="136"/>
      </rPr>
      <t xml:space="preserve">控制器电源状态异常
</t>
    </r>
    <r>
      <rPr>
        <sz val="12"/>
        <rFont val="Arial"/>
        <family val="2"/>
      </rPr>
      <t>2. CAN</t>
    </r>
    <r>
      <rPr>
        <sz val="12"/>
        <rFont val="新細明體"/>
        <family val="1"/>
        <charset val="136"/>
      </rPr>
      <t xml:space="preserve">线路连接异常
</t>
    </r>
    <r>
      <rPr>
        <sz val="12"/>
        <rFont val="Arial"/>
        <family val="2"/>
      </rPr>
      <t xml:space="preserve">3. </t>
    </r>
    <r>
      <rPr>
        <sz val="12"/>
        <rFont val="新細明體"/>
        <family val="1"/>
        <charset val="136"/>
      </rPr>
      <t xml:space="preserve">控制器接头连接异常
</t>
    </r>
    <r>
      <rPr>
        <sz val="12"/>
        <rFont val="Arial"/>
        <family val="2"/>
      </rPr>
      <t xml:space="preserve">4. </t>
    </r>
    <r>
      <rPr>
        <sz val="12"/>
        <rFont val="新細明體"/>
        <family val="1"/>
        <charset val="136"/>
      </rPr>
      <t>软件版次错误</t>
    </r>
  </si>
  <si>
    <t>1. Check the connector contact status
2. Check for broken lines
3. Check whether the power supply of the B+ pin of the DR area control module is abnormal
4. Confirm whether there is any noise interference caused by non-original power equipment</t>
  </si>
  <si>
    <r>
      <t>1.</t>
    </r>
    <r>
      <rPr>
        <sz val="12"/>
        <rFont val="新細明體"/>
        <family val="1"/>
        <charset val="136"/>
      </rPr>
      <t xml:space="preserve">檢查連接器接觸狀態
</t>
    </r>
    <r>
      <rPr>
        <sz val="12"/>
        <rFont val="Arial"/>
        <family val="2"/>
      </rPr>
      <t>2.</t>
    </r>
    <r>
      <rPr>
        <sz val="12"/>
        <rFont val="新細明體"/>
        <family val="1"/>
        <charset val="136"/>
      </rPr>
      <t xml:space="preserve">檢查線路破損
</t>
    </r>
    <r>
      <rPr>
        <sz val="12"/>
        <rFont val="Arial"/>
        <family val="2"/>
      </rPr>
      <t>3.</t>
    </r>
    <r>
      <rPr>
        <sz val="12"/>
        <rFont val="新細明體"/>
        <family val="1"/>
        <charset val="136"/>
      </rPr>
      <t>檢查</t>
    </r>
    <r>
      <rPr>
        <sz val="12"/>
        <rFont val="Arial"/>
        <family val="2"/>
      </rPr>
      <t>DR</t>
    </r>
    <r>
      <rPr>
        <sz val="12"/>
        <rFont val="新細明體"/>
        <family val="1"/>
        <charset val="136"/>
      </rPr>
      <t>區域控制模組</t>
    </r>
    <r>
      <rPr>
        <sz val="12"/>
        <rFont val="Arial"/>
        <family val="2"/>
      </rPr>
      <t>B+</t>
    </r>
    <r>
      <rPr>
        <sz val="12"/>
        <rFont val="新細明體"/>
        <family val="1"/>
        <charset val="136"/>
      </rPr>
      <t xml:space="preserve">腳位元元供電是否異常
</t>
    </r>
    <r>
      <rPr>
        <sz val="12"/>
        <rFont val="Arial"/>
        <family val="2"/>
      </rPr>
      <t>4.</t>
    </r>
    <r>
      <rPr>
        <sz val="12"/>
        <rFont val="新細明體"/>
        <family val="1"/>
        <charset val="136"/>
      </rPr>
      <t>確認是否有非原廠功率設備導致雜訊干擾</t>
    </r>
  </si>
  <si>
    <r>
      <t>1.</t>
    </r>
    <r>
      <rPr>
        <sz val="12"/>
        <rFont val="新細明體"/>
        <family val="1"/>
        <charset val="136"/>
      </rPr>
      <t xml:space="preserve">检查连接器接触状态
</t>
    </r>
    <r>
      <rPr>
        <sz val="12"/>
        <rFont val="Arial"/>
        <family val="2"/>
      </rPr>
      <t>2.</t>
    </r>
    <r>
      <rPr>
        <sz val="12"/>
        <rFont val="新細明體"/>
        <family val="1"/>
        <charset val="136"/>
      </rPr>
      <t xml:space="preserve">检查线路破损
</t>
    </r>
    <r>
      <rPr>
        <sz val="12"/>
        <rFont val="Arial"/>
        <family val="2"/>
      </rPr>
      <t>3.</t>
    </r>
    <r>
      <rPr>
        <sz val="12"/>
        <rFont val="新細明體"/>
        <family val="1"/>
        <charset val="136"/>
      </rPr>
      <t>检查</t>
    </r>
    <r>
      <rPr>
        <sz val="12"/>
        <rFont val="Arial"/>
        <family val="2"/>
      </rPr>
      <t>DR</t>
    </r>
    <r>
      <rPr>
        <sz val="12"/>
        <rFont val="新細明體"/>
        <family val="1"/>
        <charset val="136"/>
      </rPr>
      <t>区域控制模块</t>
    </r>
    <r>
      <rPr>
        <sz val="12"/>
        <rFont val="Arial"/>
        <family val="2"/>
      </rPr>
      <t>B+</t>
    </r>
    <r>
      <rPr>
        <sz val="12"/>
        <rFont val="新細明體"/>
        <family val="1"/>
        <charset val="136"/>
      </rPr>
      <t xml:space="preserve">脚位元元供电是否异常
</t>
    </r>
    <r>
      <rPr>
        <sz val="12"/>
        <rFont val="Arial"/>
        <family val="2"/>
      </rPr>
      <t>4.</t>
    </r>
    <r>
      <rPr>
        <sz val="12"/>
        <rFont val="新細明體"/>
        <family val="1"/>
        <charset val="136"/>
      </rPr>
      <t>确认是否有非原厂功率设备导致噪声干扰</t>
    </r>
  </si>
  <si>
    <t>Detect lost comm from Zone_DR_SCP for 500ms continuously</t>
  </si>
  <si>
    <t>Monitor detect no lost comm with Zone_DR_SCP for 2000ms continuously</t>
    <phoneticPr fontId="45" type="noConversion"/>
  </si>
  <si>
    <t>1.  Set VDDM_Zone_Spd_Ctrl_Mode = 0 (Off) (AND)
2. TQD VTQD_RegenMode = Level 1 (AND)
3. VMC ACC handshake control allow = Off (AND)
4. VMC CC control state = Error (AND)
5. VMC MSA control state = Error (AND)
6. Set red indicator ON (AND)
7. DTC write into NVM</t>
  </si>
  <si>
    <t>1. Key OFF -&gt; STANDBY (OR)
2. When clear DTC is requested (OR)
3,  Pass Criteria = True (AND)
     TQD GearActualPosn = P (OR)
4. KDDM_VMCDiagnosisOffSW = On</t>
  </si>
  <si>
    <t>250</t>
  </si>
  <si>
    <t>前鏡頭模組2  life count 錯誤</t>
  </si>
  <si>
    <t>前镜头模块2  life count 错误</t>
  </si>
  <si>
    <t>Detect life counter discontinuous from FCM2 for 50ms continuously</t>
  </si>
  <si>
    <t>No CAN BUS-OFF detected (AND)
No CAN Loss of FCM2 detected (AND)
Vehicle power state ~= OFF</t>
  </si>
  <si>
    <t>Monitor detect life counter continue from FCM2 for 2000ms continuously</t>
    <phoneticPr fontId="45" type="noConversion"/>
  </si>
  <si>
    <t>251</t>
  </si>
  <si>
    <t>前鏡頭模組3 life count 錯誤</t>
  </si>
  <si>
    <t>前镜头模块3 life count 错误</t>
  </si>
  <si>
    <t>Detect life counter discontinuous from FCM3 for 50ms continuously</t>
  </si>
  <si>
    <t>No CAN BUS-OFF detected (AND)
No CAN Loss of FCM3 detected (AND)
Vehicle power state ~= OFF</t>
  </si>
  <si>
    <t>Monitor detect life counter continue from FCM3 for 2000ms continuously</t>
    <phoneticPr fontId="45" type="noConversion"/>
  </si>
  <si>
    <t>252</t>
  </si>
  <si>
    <t>前鏡頭模組4 life count 錯誤</t>
  </si>
  <si>
    <t>前镜头模块4 life count 错误</t>
  </si>
  <si>
    <t>1. Check CAN harness connection
2. Check controller(s) connector connection 
3. Check controller part number and software version</t>
  </si>
  <si>
    <t>1. 確認CAN線路連接狀態
2. 確認控制器接頭連接狀態
3. 確認控制器件號及軟體版次</t>
  </si>
  <si>
    <t>1. 确认CAN线路连接状态
2. 确认控制器接头连接状态
3. 确认控制器件号及软件版次</t>
  </si>
  <si>
    <t>Detect life counter discontinuous from FCM4 for 500ms continuously</t>
  </si>
  <si>
    <t>CAN communication Normal (AND)
Vehicle power state =
ON (OR)
READY</t>
  </si>
  <si>
    <t>Monitor detect life counter continue from FCM4 for 4000ms continuously</t>
    <phoneticPr fontId="45" type="noConversion"/>
  </si>
  <si>
    <t>Keep last correctly received signal status for the below signals until confirm
ADAS_ACC_Sta</t>
  </si>
  <si>
    <t>1. Disable ACC (AND)
2. Set red indicator ON (AND)
3. DTC write into NVM</t>
  </si>
  <si>
    <t>Keep signal status last received correctly until Release condition for DTC-Confirm is met</t>
  </si>
  <si>
    <t>Key OFF -&gt; STANDBY (OR)
When clear DTC is requested (OR)
Fault disappears keep for 1500ms.</t>
  </si>
  <si>
    <t>253</t>
  </si>
  <si>
    <t>前鏡頭模組5 life count 錯誤</t>
  </si>
  <si>
    <t>前镜头模块5 life count 错误</t>
  </si>
  <si>
    <t>Detect life counter discontinuous from FCM5 for 500ms continuously</t>
  </si>
  <si>
    <t>Monitor detect life counter continue from FCM5 for 4000ms continuously</t>
    <phoneticPr fontId="45" type="noConversion"/>
  </si>
  <si>
    <t>Keep last correctly received signal status for the below signals until confirm
ADAS_ISA_Sta</t>
  </si>
  <si>
    <t>1. Disable ISA (AND)
2. Set red indicator ON (AND)
3. DTC write into NVM</t>
  </si>
  <si>
    <t>254</t>
  </si>
  <si>
    <t>Zone_DR_SCP life count 錯誤</t>
  </si>
  <si>
    <t>Zone_DR_SCP life count 错误</t>
  </si>
  <si>
    <t>Detect life counter discontinuous from Zone_DR_SCP for 500ms continuously</t>
  </si>
  <si>
    <t>After 6 time(s) of above detection continuously. (Total time for decision = 3000ms)</t>
  </si>
  <si>
    <t>Monitor detect life counter continue from Zone_DR_SCP for 3000ms continuously</t>
  </si>
  <si>
    <t>Keep last correctly received signal status for the below signals until confirm
Set_Spd
Zone_Spd_Ctrl_Mode
Zone_Spd_Ctrl_Sta
RegenMode</t>
  </si>
  <si>
    <t>1.  Set Zone_Spd_Ctrl_Mode = 0 (Off) (AND)
2. Regen function set to default level 3 (AND)
2. Set red indicator ON (AND)
3. DTC write into NVM</t>
  </si>
  <si>
    <t>Key OFF -&gt; STANDBY (OR)
When clear DTC is requested (OR)
Fault disappears keep for 5000ms.</t>
  </si>
  <si>
    <t>255</t>
  </si>
  <si>
    <t>前鏡頭模組2 checksum 錯誤</t>
  </si>
  <si>
    <t>前镜头模块2 checksum 错误</t>
  </si>
  <si>
    <t>Detect checksum incorrect from FCM2 for 50ms continuously</t>
  </si>
  <si>
    <t>Monitor detect checksum continue from FCM2 for 2000ms continuously</t>
    <phoneticPr fontId="45" type="noConversion"/>
  </si>
  <si>
    <t>256</t>
  </si>
  <si>
    <t>前鏡頭模組3 checksum 錯誤</t>
  </si>
  <si>
    <t>前镜头模块3 checksum 错误</t>
  </si>
  <si>
    <t>Detect checksum incorrect from FCM3 for 50ms continuously</t>
  </si>
  <si>
    <t>Monitor detect checksum continue from FCM3 for 2000ms continuously</t>
    <phoneticPr fontId="45" type="noConversion"/>
  </si>
  <si>
    <t>257</t>
  </si>
  <si>
    <t>前鏡頭模組4 checksum 錯誤</t>
  </si>
  <si>
    <t>前镜头模块4 checksum 错误</t>
  </si>
  <si>
    <t>Detect checksum incorrect from FCM4 for 500ms continuously</t>
  </si>
  <si>
    <t>No CAN BUS-OFF detected (AND)
No CAN Loss of FCM4 detected (AND)
Vehicle power state ~= OFF</t>
  </si>
  <si>
    <t>Monitor detect checksum continue from FCM4 for 4000ms continuously</t>
    <phoneticPr fontId="45" type="noConversion"/>
  </si>
  <si>
    <t>258</t>
  </si>
  <si>
    <t>前鏡頭模組5 checksum 錯誤</t>
  </si>
  <si>
    <t>前镜头模块5 checksum 错误</t>
  </si>
  <si>
    <t>Detect checksum incorrect from FCM5 for 500ms continuously</t>
  </si>
  <si>
    <t>No CAN BUS-OFF detected (AND)
No CAN Loss of FCM5 detected (AND)
Vehicle power state ~= OFF</t>
  </si>
  <si>
    <t>Monitor detect checksum continue from FCM5 for 4000ms continuously</t>
    <phoneticPr fontId="45" type="noConversion"/>
  </si>
  <si>
    <t>259</t>
  </si>
  <si>
    <t>Zone_DR_SCP checksum 錯誤</t>
  </si>
  <si>
    <t>Zone_DR_SCP checksum 错误</t>
  </si>
  <si>
    <t>1. Check controller part number and software version
2. Check if there is any externally connected CAN device</t>
  </si>
  <si>
    <t>1. 確認控制器件號及軟體版次
2. 確認是否存在外部連接的CAN部件</t>
  </si>
  <si>
    <t>1. 确认控制器件号及软件版次
2. 确认是否存在外部连接的CAN部件</t>
  </si>
  <si>
    <t>Detect checksum incorrect from Zone_DR_SCP for 500ms continuously</t>
  </si>
  <si>
    <t>Monitor detect checksum continue from Zone_DR_SCP for 3000ms continuously</t>
  </si>
  <si>
    <t>260</t>
  </si>
  <si>
    <t>電池管理系統訊號異常</t>
  </si>
  <si>
    <t>电池管理系统讯号异常</t>
  </si>
  <si>
    <t>Check BMS system condition</t>
  </si>
  <si>
    <t>Detect 
BMS_Warn_8 = Fault (OR)
BMS_Warn_7 = Fault (OR)
BMS_Warn_6 = Fault (OR)
BMS_Warn_5 = Fault (OR)
BMS_Warn_4 = Fault (OR)
BMS_Warn_3 = Fault (OR)
BMS_Warn_2 = Fault (OR)
BMS_Warn_1 = Fault 
for 500ms continuously</t>
  </si>
  <si>
    <t>No CAN BUS-OFF detected (AND)
No CAN Loss of BMS6 detected (AND)
No BMS6 rolling count error (AND)
No BMS6 checksum error (AND)
Vehicle power state ~= OFF</t>
  </si>
  <si>
    <t>Detect 
BMS_Warn_8 = No Fault(OR)
BMS_Warn_7 = No Fault(OR)
BMS_Warn_6 = No Fault(OR)
BMS_Warn_5 = No Fault(OR)
BMS_Warn_4 = No Fault(OR)
BMS_Warn_3 = No Fault(OR)
BMS_Warn_2 = No Fault(OR)
BMS_Warn_1 = No Fault
for 500ms continuously</t>
  </si>
  <si>
    <t>DTC write into NVM</t>
  </si>
  <si>
    <t>261</t>
  </si>
  <si>
    <t>ACC 功能異常</t>
  </si>
  <si>
    <t>ACC 功能异常</t>
  </si>
  <si>
    <t>P100A12_FCM ACC signal error,  P100A19_Acceleration command error, 
P100A10_BMS signal error,  P100A16_Front MCU signal error,  
P100A17_Rear MCU signal error, P100A18_CCU signal error, 
U100A01_FCM2 lost comm, U100A03_FCM4 lost comm, 
U100A06_FCM2 life count error, U100A0B_FCM2 checksum error, 
U100A0D_FCM4 checksum error, U100A05_Zone_DR_SCP lost comm, 
U100230_MCU_R1 lost comm, U100236_MCU_R1 life count error, 
U10023C_MCU_R1 checksum error, U100231_MCU_F1 lost comm, 
U100237_MCU_F1 life count error, U10023D_MCU_F1 checksum error, 
U100233_ESC7 loss comm, U100234_ESC1 loss comm, 
U100235_ESC5 loss comm, U100239_ESC7 life count error, 
U10023A_ESC1 life count error, U10023B_ESC5 life count error, 
U10023F_ESC7 checksum error, U100240_ESC1 checksum error, 
U100241_ESC5 checksum error</t>
  </si>
  <si>
    <t>P100A12_前鏡頭模組ACC訊號異常,  P100A19_加速扭力指令異常,  
P100A10_電池管理系統訊號異常,  P100A16_前電機控制器訊號異常, 
P100A17_後電機控制器訊號異常,  P100A18_二合一充電模組訊號異常,  
U100A01_前鏡頭模組2 通訊超時,  U100A03_前鏡頭模組4 通訊超時,  
U100A06_前鏡頭模組2 life count 錯誤,  U100A0B_前鏡頭模組2 checksum錯誤,  
U100A0D_前鏡頭模組4 checksum錯誤,  U100A05_Zone_DR_SCP 通訊超時,  
U100230_後電機控制器1 通訊超時,  U100236_後電機控制器1 life count 錯誤,  
U10023C_後電機控制器1 checksum錯誤,  U100231_前電機控制器1 通訊超時,  
U100237_前電機控制器1 life count 錯誤,  U10023D_前電機控制器1 checksum錯誤,  U100233_動態穩定控制7 通訊超時,  U100234_動態穩定控制1 通訊超時,  
U100235_動態穩定控制5 通訊超時,  U100239_動態穩定控制7 life count 錯誤,  
U10023A_動態穩定控制1 life count 錯誤,  U10023B_動態穩定控制5 life count 錯誤,  U10023F_動態穩定控制7 checksum錯誤,  U100240_動態穩定控制1 checksum錯誤,  
U100241_動態穩定控制5 checksum錯誤</t>
  </si>
  <si>
    <t>P100A12_前镜头模组ACC讯号异常,  P100A19_加速扭力指令异常,  
P100A10_电池管理系统讯号异常,  P100A16_前电机控制器讯号异常, 
P100A17_后电机控制器讯号异常,  P100A18_二合一充电模组讯号异常,  
U100A01_前镜头模组2 通讯超时,  U100A03_前镜头模组4 通讯超时,  
U100A06_前镜头模组2 life count 错误,  U100A0B_前镜头模组2 checksum 错误,  U100A0D_前镜头模组4 life count 错误,  U100A05_Zone_DR_SCP 通讯超时,  
U100230_后电机控制器1 通讯超时,  U100236_后电机控制器1 life count 错误,  
U10023C_后电机控制器1 checksum 错误,  U100231_前电机控制器1 通讯超时,  
U100237_前电机控制器1 life count 错误,  U10023D_前电机控制器1 checksum 错误, U100233_动态稳定控制7 通讯超时,  U100234_动态稳定控制1 通讯超时,  
U100235_动态稳定控制5 通讯超时,  U100239_动态稳定控制7 life count 错误,  
U10023A_动态稳定控制1 life count 错误,  U10023B_动态稳定控制5 life count 错误, U10023F_动态稳定控制7 checksum 错误,  U100240_动态稳定控制1 checksum 错误,  U100241_动态稳定控制5 checksum 错误</t>
  </si>
  <si>
    <t>Check respective system condition according to possible fault causes</t>
  </si>
  <si>
    <t>依照DTC故障碼檢查各項可能失效系統運行狀態</t>
  </si>
  <si>
    <t>依照DTC故障码检查各项可能失效系统运行状态</t>
  </si>
  <si>
    <t>Detect any one item listed in Column K Possible Fault Causes activated
for 10ms continuously</t>
  </si>
  <si>
    <t>No CAN1 BUS-OFF detected (AND)
No CAN3 BUS-OFF detected (AND)
No CAN4 BUS-OFF detected (AND)
Vehicle power state = READY (AND)
Speed control mode = ACC</t>
  </si>
  <si>
    <t>After 1 time(s) of above detection continuously. (Total time for decision = 100ms)</t>
  </si>
  <si>
    <t>Monitor detect all of the listed possible confirmed DTC are released
for 25ms continuously</t>
  </si>
  <si>
    <t>1. Set ACC icon Red &amp; IVI popup (AND)
2. DTC write into NVM</t>
  </si>
  <si>
    <t>Pass criteria = true (OR)
Key OFF -&gt; STANDBY (OR)
When clear DTC is requested</t>
  </si>
  <si>
    <t>262</t>
  </si>
  <si>
    <t>前鏡頭模組 ACC訊號異常</t>
  </si>
  <si>
    <t>前镜头模组 ACC讯号异常</t>
  </si>
  <si>
    <t>FCM signal error</t>
  </si>
  <si>
    <t>前鏡頭模組訊號異常</t>
  </si>
  <si>
    <t>前镜头模块讯号异常</t>
  </si>
  <si>
    <t>Check FCM system condition</t>
  </si>
  <si>
    <t>請參照駕駛輔助系統故障處置</t>
  </si>
  <si>
    <t>请参照驾驶辅助系统故障处置</t>
  </si>
  <si>
    <t>Detect ADAS_ACC_Sta = 0x5 (Error) (AND)
TQD ExternalTqAllow = True (AND)
TQD ExtDoorAllow = True
for 500ms continuously</t>
    <phoneticPr fontId="45" type="noConversion"/>
  </si>
  <si>
    <t>for D31L CAN MM use:
No CAN1 BUS-OFF detected (AND)
No CAN Loss of FCM4 detected (AND)
No Checksum error of FCM4 detected (AND)
Vehicle power state ~= OFF (AND)
for FPD1 CAN MM use:
No CAN6 BUS-OFF detected (AND)
No CAN Loss of FCM1 detected (AND)
No life count error error of FCM1 detected (AND)
No checksum error of FCM1 detected (AND)
Vehicle power state ~= OFF (AND)</t>
    <phoneticPr fontId="45" type="noConversion"/>
  </si>
  <si>
    <t>Monitor detect ADAS_ACC_Sta = Off (OR)
ADAS_ACC_Sta = Standby
for 500ms continuously</t>
    <phoneticPr fontId="45" type="noConversion"/>
  </si>
  <si>
    <t>1. VMC ACC handshake control allow = Off (AND)
2. DTC write into NVM</t>
  </si>
  <si>
    <t>263</t>
  </si>
  <si>
    <t>CC 功能異常</t>
  </si>
  <si>
    <t>CC 功能异常</t>
  </si>
  <si>
    <t>P100A10_BMS signal error,  P100A16_Front MCU signal error,  
P100A17_Rear MCU signal error,  P100A18_CCU signal error, 
U100A05_Zone_DR_SCP lost comm,  U100230_MCU_R1 lost comm, U100236_MCU_R1 life count error,  U10023C_MCU_R1 checksum error,  
U100231_MCU_F1 lost comm,  U100237_MCU_F1 life count error, U10023D_MCU_F1 checksum error,  U100233_ESC7 loss comm, 
U100234_ESC1 loss comm,  U100235_ESC5 loss comm,  
U100239_ESC7 life count error,  U10023A_ESC1 life count error,  
U10023B_ESC5 life count error,  U10023F_ESC7 checksum error,  
U100240_ESC1 checksum error,  U100241_ESC5 checksum error</t>
  </si>
  <si>
    <t>P100A10_電池管理系統訊號異常,  P100A16_前電機控制器訊號異常, 
P100A17_後電機控制器訊號異常,  P100A18_二合一充電模組訊號異常,  
U100A05_Zone_DR_SCP 通訊超時,  U100230_後電機控制器1 通訊超時,  
U100236_後電機控制器1 life count 錯誤,  U10023C_後電機控制器1 checksum 錯誤,  
U100231_前電機控制器1 通訊超時,  U100237_前電機控制器1 life count 錯誤,  
U10023D_前電機控制器1 checksum 錯誤,  U100233_動態穩定控制7 通訊超時,  
U100234_動態穩定控制1 通訊超時,  U100235_動態穩定控制5 通訊超時,  
U100239_動態穩定控制7 life count 錯誤,  U10023A_動態穩定控制1 life count 錯誤,  
U10023B_動態穩定控制5 life count 錯誤,  U10023F_動態穩定控制7 checksum 錯誤,  
U100240_動態穩定控制1 checksum 錯誤,  U100241_動態穩定控制5 checksum 錯誤</t>
  </si>
  <si>
    <t>P100A10_电池管理系统讯号异常,  P100A16_前电机控制器讯号异常, 
P100A17_后电机控制器讯号异常,  P100A18_二合一充电模组讯号异常,  
U100A05_Zone_DR_SCP 通訊超時,  U100230_後電機控制器1 通訊超時,  
U100236_後電機控制器1 life count 错误,  U10023C_後電機控制器1 checksum 错误,  
U100231_前電機控制器1 通訊超時,  U100237_前電機控制器1 life count 错误,  
U10023D_前電機控制器1 checksum 错误,  U100233_動態穩定控制7 通訊超時,  
U100234_動態穩定控制1 通訊超時,  U100235_動態穩定控制5 通訊超時,  
U100239_動態穩定控制7 life count 错误,  U10023A_動態穩定控制1 life count 错误,  
U10023B_動態穩定控制5 life count 错误,  U10023F_動態穩定控制7 checksum 错误,  U100240_動態穩定控制1 checksum 错误,  U100241_動態穩定控制5 checksum 错误</t>
  </si>
  <si>
    <t>No CAN1 BUS-OFF detected (AND)
No CAN3 BUS-OFF detected (AND)
No CAN4 BUS-OFF detected (AND)
Vehicle power state = READY (AND)
Speed control mode = CC</t>
  </si>
  <si>
    <t>1. Set CC icon Red &amp; IVI popup (AND)
2. DTC write into NVM</t>
  </si>
  <si>
    <t>264</t>
  </si>
  <si>
    <t>MSA 功能異常</t>
  </si>
  <si>
    <t>MSA 功能异常</t>
  </si>
  <si>
    <t>No CAN1 BUS-OFF detected (AND)
No CAN3 BUS-OFF detected (AND)
No CAN4 BUS-OFF detected (AND)
Vehicle power state = READY (AND)
Speed control mode = MSA</t>
  </si>
  <si>
    <t>1. Set LIM icon Red &amp; IVI popup (AND)
2. DTC write into NVM</t>
  </si>
  <si>
    <t>265</t>
  </si>
  <si>
    <t>ISA 功能異常</t>
  </si>
  <si>
    <t>ISA 功能异常</t>
  </si>
  <si>
    <t>P100A10_BMS signal error,  P100A16_Front MCU signal error,  
P100A17_Rear MCU signal error, P100A18_CCU signal error, 
U100A02_FCM3 lost comm, U100A04_FCM5 lost comm, 
U100A07_FCM3 life count error, U100A0C_FCM3 checksum error, 
U100A0E_FCM5 checksum error, U100A05_Zone_DR_SCP lost comm, 
U100230_MCU_R1 lost comm, U100236_MCU_R1 life count error, 
U10023C_MCU_R1 checksum error, U100231_MCU_F1 lost comm, 
U100237_MCU_F1 life count error, U10023D_MCU_F1 checksum error, 
U100233_ESC7 loss comm, U100234_ESC1 loss comm, 
U100235_ESC5 loss comm, U100239_ESC7 life count error, 
U10023A_ESC1 life count error, U10023B_ESC5 life count error, 
U10023F_ESC7 checksum error, U100240_ESC1 checksum error, 
U100241_ESC5 checksum error</t>
  </si>
  <si>
    <t>P100A10_電池管理系統訊號異常,  P100A16_前電機控制器訊號異常, 
P100A17_後電機控制器訊號異常,  P100A18_二合一充電模組訊號異常,  
U100A02_前鏡頭模組3 通訊超時,  U100A04_前鏡頭模組5 通訊超時,  
U100A07_前鏡頭模組3 life count 錯誤,  U100A0C_前鏡頭模組3 checksum 錯誤,  
U100A0E_前鏡頭模組5 checksum 錯誤,  U100A05_Zone_DR_SCP 通訊超時,  
U100230_後電機控制器1 通訊超時,  U100236_後電機控制器1 life count 錯誤,  
U10023C_後電機控制器1 checksum 錯誤,  U100231_前電機控制器1 通訊超時,  
U100237_前電機控制器1 life count 錯誤,  U10023D_前電機控制器1 checksum 錯誤,  U100233_動態穩定控制7 通訊超時,  U100234_動態穩定控制1 通訊超時,  
U100235_動態穩定控制5 通訊超時,  U100239_動態穩定控制7 life count 錯誤,  
U10023A_動態穩定控制1 life count 錯誤,  U10023B_動態穩定控制5 life count 錯誤,  U10023F_動態穩定控制7 checksum 錯誤,  U100240_動態穩定控制1 checksum 錯誤,  U100241_動態穩定控制5 checksum 錯誤</t>
  </si>
  <si>
    <t>P100A10_电池管理系统讯号异常,  P100A16_前电机控制器讯号异常, 
P100A17_后电机控制器讯号异常,  P100A18_二合一充电模组讯号异常,  
U100A02_前鏡頭模組3 通訊超時,  U100A04_前鏡頭模組5 通訊超時,  
U100A07_前鏡頭模組3 life count 错误,  U100A0C_前鏡頭模組3 checksum 错误,  U100A0E_前鏡頭模組5 checksum 错误,  U100A05_Zone_DR_SCP 通訊超時,  
U100230_後電機控制器1 通訊超時,  U100236_後電機控制器1 life count 错误,  
U10023C_後電機控制器1 checksum 错误,  U100231_前電機控制器1 通訊超時,  
U100237_前電機控制器1 life count 错误,  U10023D_前電機控制器1 checksum 错误,  
U100233_動態穩定控制7 通訊超時,  U100234_動態穩定控制1 通訊超時,  
U100235_動態穩定控制5 通訊超時,  U100239_動態穩定控制7 life count 错误,  
U10023A_動態穩定控制1 life count 错误,  U10023B_動態穩定控制5 life count 错误,  
U10023F_動態穩定控制7 checksum 错误,  U100240_動態穩定控制1 checksum 错误,  U100241_動態穩定控制5 checksum 错误</t>
  </si>
  <si>
    <t>No CAN1 BUS-OFF detected (AND)
No CAN3 BUS-OFF detected (AND)
No CAN4 BUS-OFF detected (AND)
Vehicle power state = READY (AND)
Speed control mode = ISA</t>
  </si>
  <si>
    <t>1. Set ISA icon Red &amp; IVI popup (AND)
2. DTC write into NVM</t>
  </si>
  <si>
    <t>266</t>
  </si>
  <si>
    <t>前電機控制器訊號異常</t>
  </si>
  <si>
    <t>前电机控制器讯号异常</t>
  </si>
  <si>
    <t>for D31L CAN MM use:
Detect MCUWarn_F =  Error level 0 (OR)
MCUWarn_F = Error level 1 (OR)
MCUWarn_F = Error level 2 (OR)
MCUWarn_F = Error level 3
for 50ms continuously
for FPD1 CAN MM with Nidec motor use:
Detect MCUWarn_F_Nidec =  Error level 0 (OR)
MCUWarn_F_Nidec = Error level 1 (OR)
MCUWarn_F_Nidec = Error level 2 (OR)
MCUWarn_F_Nidec = Error level 3
for 50ms continuously
for FPD1 CAN MM with UAES motor use:
Detect MCUWarn_F =  Error level 0 (OR)
MCUWarn_F = Error level 1 (OR)
MCUWarn_F = Error level 2 (OR)
MCUWarn_F = Error level 3
for 50ms continuously</t>
    <phoneticPr fontId="45" type="noConversion"/>
  </si>
  <si>
    <t>for D31L CAN MM use:
No CAN BUS-OFF detected (AND)
No CAN Loss of MCU_F1 detected (AND)
No Life count error of MCU_F1 detected (AND)
No Checksum error of MCU_F1 detected (AND)
Vehicle power state ~= OFF
for FPD1 CAN MM with Nidec motor use:
No CAN BUS-OFF detected (AND)
No CAN Loss of MCU_N_F1 detected (AND)
No Life count error of MCU_N_F1 detected (AND)
No Checksum error of MCU_N_F1 detected (AND)
Vehicle power state ~= OFF
for FPD1 CAN MM with UAES motor use:
No CAN BUS-OFF detected (AND)
No CAN Loss of MCU_B_F1 detected (AND)
No Life count error of MCU_B_F1 detected (AND)
No Checksum error of MCU_B_F1 detected (AND)
Vehicle power state ~= OFF</t>
    <phoneticPr fontId="45" type="noConversion"/>
  </si>
  <si>
    <t>for D31L CAN MM use:
Monitor detect
MCUWarn_F ~= Error level 0 (AND)
MCUWarn_F ~= Error level 1 (AND)
MCUWarn_F ~= Error level 2 (AND)
MCUWarn_F ~= Error level 3
for 250ms continuously
for FPD1 CAN MM with Nidec motor use:
Monitor detect
MCUWarn_F_Nidec ~= Error level 0 (AND)
MCUWarn_F_Nidec ~= Error level 1 (AND)
MCUWarn_F_Nidec ~= Error level 2 (AND)
MCUWarn_F_Nidec ~= Error level 3
for 250ms continuously
for FPD1 CAN MM with UAES motor use:
Monitor detect
MCUWarn_F ~= Error level 0 (AND)
MCUWarn_F ~= Error level 1 (AND)
MCUWarn_F ~= Error level 2 (AND)
MCUWarn_F ~= Error level 3
for 50ms continuously</t>
    <phoneticPr fontId="45" type="noConversion"/>
  </si>
  <si>
    <t>267</t>
  </si>
  <si>
    <t>後電機控制器訊號異常</t>
  </si>
  <si>
    <t>后电机控制器讯号异常</t>
  </si>
  <si>
    <t>for D31L CAN MM use:
Detect MCUWarn_R = Error level 0 (OR)
MCUWarn_R = Error level 1 (OR)
MCUWarn_R = Error level 2 (OR)
MCUWarn_R = Error level 3
for 50ms continuously
for FPD1 CAN MM with Nidec motor use:
Detect MCUWarn_F_Nidec =  Error level 0 (OR)
MCUWarn_R_Nidec = Error level 1 (OR)
MCUWarn_R_Nidec = Error level 2 (OR)
MCUWarn_R_Nidec = Error level 3
for 50ms continuously
for FPD1 CAN MM with UAES motor use:
Detect MCUWarn_F =  Error level 0 (OR)
MCUWarn_R = Error level 1 (OR)
MCUWarn_R = Error level 2 (OR)
MCUWarn_R = Error level 3
for 50ms continuously</t>
    <phoneticPr fontId="45" type="noConversion"/>
  </si>
  <si>
    <t>for D31L CAN MM use:
No CAN BUS-OFF detected (AND)
No CAN Loss of MCU_R1 detected (AND)
No Life count error of MCU_R1 detected (AND)
No Checksum error of MCU_R1 detected (AND)
Vehicle power state ~= OFF
for FPD1 CAN MM with Nidec motor use:
No CAN BUS-OFF detected (AND)
No CAN Loss of MCU_N_R1 detected (AND)
No Life count error of MCU_N_R1 detected (AND)
No Checksum error of MCU_N_R1 detected (AND)
Vehicle power state ~= OFF
for FPD1 CAN MM with UAES motor use:
No CAN BUS-OFF detected (AND)
No CAN Loss of MCU_B_R1 detected (AND)
No Life count error of MCU_B_R1 detected (AND)
No Checksum error of MCU_B_R1 detected (AND)
Vehicle power state ~= OFF</t>
    <phoneticPr fontId="45" type="noConversion"/>
  </si>
  <si>
    <t>for D31L CAN MM use:
Monitor detect 
MCUWarn_R ~= Error level 0 (AND)
MCUWarn_R ~= Error level 1 (AND)
MCUWarn_R ~= Error level 2 (AND)
MCUWarn_R ~= Error level 3
for 250ms continuously
for FPD1 CAN MM with Nidec motor use:
Monitor detect
MCUWarn_R_Nidec ~= Error level 0 (AND)
MCUWarn_R_Nidec ~= Error level 1 (AND)
MCUWarn_R_Nidec ~= Error level 2 (AND)
MCUWarn_R_Nidec ~= Error level 3
for 250ms continuously
for FPD1 CAN MM with UAES motor use:
Monitor detect 
MCUWarn_R ~= Error level 0 (AND)
MCUWarn_R ~= Error level 1 (AND)
MCUWarn_R ~= Error level 2 (AND)
MCUWarn_R ~= Error level 3
for 50ms continuously</t>
    <phoneticPr fontId="45" type="noConversion"/>
  </si>
  <si>
    <t>268</t>
  </si>
  <si>
    <t>二合一充電模組訊號異常</t>
  </si>
  <si>
    <t>二合一充电模块讯号异常</t>
  </si>
  <si>
    <t>Check CCU system condition</t>
  </si>
  <si>
    <t>Detect DCDCFaultSta &gt;= Any Fault LV1
for 500ms continuously</t>
    <phoneticPr fontId="45" type="noConversion"/>
  </si>
  <si>
    <t>No CAN BUS-OFF detected (AND)
No CAN Loss of CCU2 detected (AND)
No Life count error of CCU2 detected (AND)
No Checksum error of CCU2 detected (AND)
Vehicle power state ~= OFF</t>
  </si>
  <si>
    <t>Monitor detect DCDCFaultSta &lt; Any Fault LV1
for 500ms continuously</t>
    <phoneticPr fontId="45" type="noConversion"/>
  </si>
  <si>
    <t>269</t>
  </si>
  <si>
    <t>加速扭力指令異常</t>
  </si>
  <si>
    <t>加速扭力指令异常</t>
  </si>
  <si>
    <t>1. Check whether there is any abnormality in the wiring harness, connector and lens of the front lens module
2. Check whether the front lens module sends relevant fault codes</t>
  </si>
  <si>
    <t>1.檢查前鏡頭模組線束、接頭、鏡頭有無異常
2.檢查前鏡頭模組是否發送相關故障碼</t>
  </si>
  <si>
    <t>1.检查前镜头模块线束、接头、镜头有无异常
2.检查前镜头模块是否发送相关故障码</t>
  </si>
  <si>
    <t>limiter</t>
  </si>
  <si>
    <t>Detect abs(ACC_RequiredAccel)&gt; 4 mps2 
for 50ms continuously</t>
  </si>
  <si>
    <t>for D31L CAN MM use:
No CAN BUS-OFF detected (AND)
No CAN Loss of FCM2 detected (AND)
No Life count error of FCM2 detected (AND)
No Checksum error of FCM2 detected (AND)
ACC is active
for FPD1 CAN MM use:
No CAN6 BUS-OFF detected (AND)
No CAN Loss of FCM1 detected (AND)
No Life count error of FCM1 detected (AND)
No Checksum error of FCM1 detected (AND)
ACC is active</t>
    <phoneticPr fontId="45" type="noConversion"/>
  </si>
  <si>
    <t>After 1 time(s) of above detection continuously. (Total time for decision = 50ms)</t>
  </si>
  <si>
    <t>Monitor detect abs(ACC_RequiredAccel) &lt;= 4 mps2 for 250ms continuously</t>
  </si>
  <si>
    <t>1. Key OFF -&gt; STANDBY (OR)
2. When clear DTC is requested (OR)
3,  Pass Criteria = True (AND)
     (ADASACCSta = OFF (OR)
      ADASACCSta  = STANDBY) (OR)
4. KDDM_VMCDiagnosisOffSW = On</t>
  </si>
  <si>
    <t>270</t>
  </si>
  <si>
    <t>U100A1A</t>
  </si>
  <si>
    <t>Zone_DR_VCU 通訊超時</t>
  </si>
  <si>
    <t>1. 控制器電源狀態異常
2. CAN線路連接異常
3. 控制器接頭連接異常
4. 軟體版次錯誤</t>
  </si>
  <si>
    <t>1. Please check whether the lines or terminals of the Fusion Domain and the DR area control module are damaged, bent, exited or corroded.</t>
  </si>
  <si>
    <r>
      <t>1.</t>
    </r>
    <r>
      <rPr>
        <sz val="12"/>
        <rFont val="MS Gothic"/>
        <family val="3"/>
        <charset val="128"/>
      </rPr>
      <t>請檢</t>
    </r>
    <r>
      <rPr>
        <sz val="12"/>
        <rFont val="Microsoft YaHei"/>
        <family val="2"/>
        <charset val="134"/>
      </rPr>
      <t>查聯合控制模組與</t>
    </r>
    <r>
      <rPr>
        <sz val="12"/>
        <rFont val="Arial"/>
        <family val="2"/>
      </rPr>
      <t>DR</t>
    </r>
    <r>
      <rPr>
        <sz val="12"/>
        <rFont val="MS Gothic"/>
        <family val="3"/>
        <charset val="128"/>
      </rPr>
      <t>區域控制模組線路或端子是否有損壞、彎曲、退出或是腐蝕。</t>
    </r>
  </si>
  <si>
    <r>
      <t>1.</t>
    </r>
    <r>
      <rPr>
        <sz val="12"/>
        <rFont val="Microsoft YaHei"/>
        <family val="2"/>
        <charset val="134"/>
      </rPr>
      <t>请检查联合控制模块与</t>
    </r>
    <r>
      <rPr>
        <sz val="12"/>
        <rFont val="Arial"/>
        <family val="2"/>
      </rPr>
      <t>DR</t>
    </r>
    <r>
      <rPr>
        <sz val="12"/>
        <rFont val="MS Gothic"/>
        <family val="3"/>
        <charset val="128"/>
      </rPr>
      <t>区域控制模</t>
    </r>
    <r>
      <rPr>
        <sz val="12"/>
        <rFont val="Microsoft YaHei"/>
        <family val="2"/>
        <charset val="134"/>
      </rPr>
      <t>块线路或端子是否有损坏、弯曲、退出或是腐蚀。</t>
    </r>
  </si>
  <si>
    <t>20ms</t>
  </si>
  <si>
    <t>Detect lost comm from Zone_DR_VCU for 100ms continuously</t>
  </si>
  <si>
    <t>After 1 time(s) of above detection continuously. (Total time for decision = 100ms)</t>
    <phoneticPr fontId="45" type="noConversion"/>
  </si>
  <si>
    <t>Monitor detect no lost comm with Zone_DR_VCU for 400ms continuously</t>
    <phoneticPr fontId="45" type="noConversion"/>
  </si>
  <si>
    <t>1. Activate Limp-home mode and limp home lamp (AND)
2. Set red indicator ON &amp; IVI popup (AND)
3. DTC write into NVM</t>
  </si>
  <si>
    <t>1. Key OFF -&gt; STANDBY (OR)
2. When clear DTC is requested (OR)
3. KDDM_VMCDiagnosisOffSW = On</t>
  </si>
  <si>
    <t>271</t>
  </si>
  <si>
    <t>Zone_FR_VCU 通訊超時</t>
  </si>
  <si>
    <t>1. Please check whether the lines or terminals of the Fusion Domain and the FR area control module are damaged, bent, exited or corroded.</t>
  </si>
  <si>
    <r>
      <t>1.</t>
    </r>
    <r>
      <rPr>
        <sz val="12"/>
        <rFont val="MS Gothic"/>
        <family val="3"/>
        <charset val="128"/>
      </rPr>
      <t>請檢</t>
    </r>
    <r>
      <rPr>
        <sz val="12"/>
        <rFont val="Microsoft YaHei"/>
        <family val="2"/>
        <charset val="134"/>
      </rPr>
      <t>查聯合控制模組與</t>
    </r>
    <r>
      <rPr>
        <sz val="12"/>
        <rFont val="Arial"/>
        <family val="2"/>
      </rPr>
      <t>FR</t>
    </r>
    <r>
      <rPr>
        <sz val="12"/>
        <rFont val="MS Gothic"/>
        <family val="3"/>
        <charset val="128"/>
      </rPr>
      <t>區域控制模組線路或端子是否有損壞、彎曲、退出或是腐蝕。</t>
    </r>
  </si>
  <si>
    <r>
      <t>1.</t>
    </r>
    <r>
      <rPr>
        <sz val="12"/>
        <rFont val="Microsoft YaHei"/>
        <family val="2"/>
        <charset val="134"/>
      </rPr>
      <t>请检查联合控制模块与</t>
    </r>
    <r>
      <rPr>
        <sz val="12"/>
        <rFont val="Arial"/>
        <family val="2"/>
      </rPr>
      <t>FR</t>
    </r>
    <r>
      <rPr>
        <sz val="12"/>
        <rFont val="MS Gothic"/>
        <family val="3"/>
        <charset val="128"/>
      </rPr>
      <t>区域控制模</t>
    </r>
    <r>
      <rPr>
        <sz val="12"/>
        <rFont val="Microsoft YaHei"/>
        <family val="2"/>
        <charset val="134"/>
      </rPr>
      <t xml:space="preserve">块线路或端子是否有损坏、弯曲、退出或是腐蚀。
</t>
    </r>
  </si>
  <si>
    <t>Detect lost comm from Zone_FR_VCU for 100ms continuously</t>
  </si>
  <si>
    <t>Monitor detect no lost comm with Zone_FR_VCU for 400ms continuously</t>
    <phoneticPr fontId="45" type="noConversion"/>
  </si>
  <si>
    <t>1. DTC write into NVM (AND)
2. Set red indicator ON (AND)
3. Activate Limp-home mode and limp home lamp (AND)
4. Power output derating to 0 Nm when VehSpeed &gt; 1 kph (AND)
When VehSpeed &lt;= 1 kph,
5. Do general power down process (AND)
6. Keep vehicle power state = STANDBY, if user request power up  (AND)
7. prohibit power up process in current driving cycle</t>
    <phoneticPr fontId="45" type="noConversion"/>
  </si>
  <si>
    <t>272</t>
  </si>
  <si>
    <t>動態穩定控制器訊號異常</t>
  </si>
  <si>
    <t>Please refer to Brake Control System Troubleshooting</t>
  </si>
  <si>
    <t>請參照剎車控制系統故障處置</t>
  </si>
  <si>
    <t>请参照剎车控制系统故障处置</t>
  </si>
  <si>
    <t>for D31L CAN MM, below condition for 50ms continuously:
( No ESC4 CAN Loss (AND)
( HDD Fail (OR) EBD Fail (OR) ABS Fail (OR) TCS Fail (OR) ESC Fail (OR) HBB Fail (OR) PBA Fail (OR) HSA Fail (OR) AVH Fail ) )
OR
( No ESC5 CAN loss (AND) No ESC5 life count error (AND) No ESC5 checksum error (AND)
( MCPressure Invalid (OR) Brake switch Invalid (OR) LongAccel_V Invalid (OR) LatAccel_V Invalid (OR) YawRate_V Invalid ) )
OR
( No ESC7 CAN Loss (AND) No ESC7 life count error (AND) No ESC7 checksum error (AND)
Brake pedal position Invalid )
for FPD1 CAN MM, below condition for 50ms continuously:
( No ESC1 CAN Loss (AND)
( HDD Fail (OR) EBD Fail (OR) ABS Fail (OR) TCS Fail (OR) ESC Fail (OR) HBB Fail (OR) PBA Fail (OR) HSA Fail (OR) AVH Fail ) ) 
OR
( No ESC5 CAN loss (AND) No ESC5 life count error (AND) No ESC5 checksum error (AND)
( MCPressure Invalid (OR) Brake switch Invalid (OR) LongAccel_V Invalid (OR) LatAccel_V Invalid (OR) YawRate_V Invalid (OR) Brake pedal position Invalid )</t>
  </si>
  <si>
    <t>No CAN1 BUS-OFF (AND)
Vehicle power state ~= OFF</t>
    <phoneticPr fontId="45" type="noConversion"/>
  </si>
  <si>
    <t xml:space="preserve"> </t>
  </si>
  <si>
    <t>1. Key OFF -&gt; STANDBY (OR)
2. When clear DTC is requested (OR)
3. Pass criteria = True (OR)
4. KDDM_VMCDiagnosisOffSW = On</t>
  </si>
  <si>
    <t>273</t>
  </si>
  <si>
    <t>電子輔助轉向訊號異常</t>
  </si>
  <si>
    <t>Detect SAS_V = Invalid
for 50ms continuously</t>
    <phoneticPr fontId="45" type="noConversion"/>
  </si>
  <si>
    <t>for D31L CAN MM use:
No CAN1 BUS-OFF (AND)
No CAN Loss of EPAS2 (AND)
No life count error of EPAS2 (AND)
No checksum error of EPAS2 (AND)
Vehicle power state ~= OFF
for FPD1 CAN MM use:
No CAN1 BUS-OFF (AND)
No CAN Loss of EPS1 (AND)
No life count error of EPS1 (AND)
No checksum error of EPS1 (AND)
Vehicle power state ~= OFF</t>
    <phoneticPr fontId="45" type="noConversion"/>
  </si>
  <si>
    <t>Detect SAS_V = valid
for 50ms continuously</t>
    <phoneticPr fontId="45" type="noConversion"/>
  </si>
  <si>
    <t>1. VINP_SASAngle_Deg = 0
2. DTC write into NVM</t>
    <phoneticPr fontId="45" type="noConversion"/>
  </si>
  <si>
    <t>1. Key OFF -&gt; STANDBY (OR)
2. When clear DTC is requested (OR)
3. Pass criteria = True (AND)
    TQD GearActualPosn = P (OR)
4. KDDM_VMCDiagnosisOffSW = On</t>
  </si>
  <si>
    <t>274</t>
  </si>
  <si>
    <t>排擋器訊號異常</t>
  </si>
  <si>
    <t>排文件器訊號異常</t>
  </si>
  <si>
    <t>Please refer to Motor System - Driving Paddle Fault Handling</t>
  </si>
  <si>
    <t>請參照電機系統-駕駛撥杆故障處置</t>
  </si>
  <si>
    <t>请参照电机系统-驾驶拨杆故障处置</t>
  </si>
  <si>
    <t>Detect Shifter_Fail_Sta ~= Normal
for 500ms continuously</t>
    <phoneticPr fontId="45" type="noConversion"/>
  </si>
  <si>
    <t>No CAN3 BUS-OFF (AND)
No CAN Loss Shifter1 (AND)
No life count error of Shifter1 (AND)
No checksum error of Shifter1 (AND)
Vehicle power state ~= OFF</t>
  </si>
  <si>
    <t>Detect Shifter_Fail_Sta = Normal for 500ms continuously</t>
  </si>
  <si>
    <t>1. TQD shift command = No request (AND)
2. TQD external shift allow = Not allow (AND)
3. Set EDriveSysErr_ShifterErr to Error (AND)
4. VMC APS handshake control allow = Off (AND)
5. Set red indicator ON (AND)
6. DTC write into NVM</t>
    <phoneticPr fontId="45" type="noConversion"/>
  </si>
  <si>
    <t>1. Key OFF -&gt; STANDBY (OR)
2. When clear DTC is requested (OR)
3. Pass criteria = True (AND)
4. KDDM_VMCDiagnosisOffSW = On</t>
  </si>
  <si>
    <t>275</t>
  </si>
  <si>
    <t>動態穩定控制2 通訊超時</t>
  </si>
  <si>
    <t>1. Please check whether the terminals of the Fusion Domain and the ABS_ECU connector are damaged, bent, withdrawn or corroded..</t>
  </si>
  <si>
    <r>
      <t>1.</t>
    </r>
    <r>
      <rPr>
        <sz val="12"/>
        <rFont val="MS Gothic"/>
        <family val="3"/>
        <charset val="128"/>
      </rPr>
      <t>請檢</t>
    </r>
    <r>
      <rPr>
        <sz val="12"/>
        <rFont val="Microsoft YaHei"/>
        <family val="2"/>
        <charset val="134"/>
      </rPr>
      <t>查聯合控制模組與</t>
    </r>
    <r>
      <rPr>
        <sz val="12"/>
        <rFont val="Arial"/>
        <family val="2"/>
      </rPr>
      <t>ABS_ECU</t>
    </r>
    <r>
      <rPr>
        <sz val="12"/>
        <rFont val="MS Gothic"/>
        <family val="3"/>
        <charset val="128"/>
      </rPr>
      <t>接頭端子是否有損壞、彎曲、退出或是腐蝕。</t>
    </r>
  </si>
  <si>
    <t>Detect lost comm from ESC2 for 50ms continuously</t>
  </si>
  <si>
    <t>Monitor detect no lost comm with ESC2 for 1000ms continuously</t>
    <phoneticPr fontId="45" type="noConversion"/>
  </si>
  <si>
    <t>1. VMC wheel slip = 0
2. DTC write into NVM</t>
    <phoneticPr fontId="45" type="noConversion"/>
  </si>
  <si>
    <t>276</t>
  </si>
  <si>
    <t>動態穩定控制2 life count 錯誤</t>
  </si>
  <si>
    <t>1. CAN線路連接異常
2. 控制器接頭連接異常
3. 軟體版次錯誤</t>
  </si>
  <si>
    <t>Detect life counter discontinuous from ESC2 for 50ms continuously</t>
  </si>
  <si>
    <t>No CAN BUS-OFF detected (AND)
No CAN Loss of ESC2 detected (AND)
Vehicle power state ~= OFF</t>
  </si>
  <si>
    <t>Monitor detect life counter continue from ESC2 for 2000ms continuously</t>
    <phoneticPr fontId="45" type="noConversion"/>
  </si>
  <si>
    <t>277</t>
  </si>
  <si>
    <t>動態穩定控制2 checksum 錯誤</t>
  </si>
  <si>
    <t>動態穩定控制2 checksum錯誤</t>
  </si>
  <si>
    <t>1. 軟體版本錯誤
2. 外部CAN連接設備造成通訊干擾</t>
  </si>
  <si>
    <t>1. 軟體版次錯誤
2. 外部CAN連接設備造成通訊干擾</t>
  </si>
  <si>
    <t>Detect checksum incorrect from ESC2 for 50ms continuously</t>
  </si>
  <si>
    <t>Monitor detect checksum continue from ESC2 for 2000ms continuously</t>
    <phoneticPr fontId="45" type="noConversion"/>
  </si>
  <si>
    <t>278</t>
  </si>
  <si>
    <t>動態穩定控制3 通訊超時</t>
  </si>
  <si>
    <t>Detect lost comm from ESC3 for 50ms continuously</t>
  </si>
  <si>
    <t>Monitor detect no lost comm with ESC3 for 1000ms continuously</t>
    <phoneticPr fontId="45" type="noConversion"/>
  </si>
  <si>
    <t>279</t>
  </si>
  <si>
    <t>動態穩定控制3 life count 錯誤</t>
  </si>
  <si>
    <t>Detect life counter discontinuous from ESC3 for 50ms continuously</t>
  </si>
  <si>
    <t>Monitor detect life counter continue from ESC3 for 2000ms continuously</t>
    <phoneticPr fontId="45" type="noConversion"/>
  </si>
  <si>
    <t>280</t>
  </si>
  <si>
    <t>動態穩定控制3 checksum 錯誤</t>
  </si>
  <si>
    <t>動態穩定控制3 checksum錯誤</t>
  </si>
  <si>
    <t>Detect checksum incorrect from ESC3 for 50ms continuously</t>
  </si>
  <si>
    <t>Monitor detect checksum continue from ESC3 for 2000ms continuously</t>
    <phoneticPr fontId="45" type="noConversion"/>
  </si>
  <si>
    <t>281</t>
  </si>
  <si>
    <t>電子輔助轉向2 通訊超時</t>
  </si>
  <si>
    <t>Please refer to the auxiliary protection system and follow the fault code for fault handling</t>
  </si>
  <si>
    <t>請參照輔助防護系統並依照故障碼做故障處置</t>
  </si>
  <si>
    <t>请参照辅助防护系统并依照故障码做故障处置</t>
  </si>
  <si>
    <t>Detect lost comm from EPAS2 for 50ms continuously</t>
  </si>
  <si>
    <t>No CAN1 BUS-OFF detected (AND)
Vehicle power state ~= OFF</t>
  </si>
  <si>
    <t>Monitor detect no lost comm with EPAS2 for 1000ms continuously</t>
    <phoneticPr fontId="45" type="noConversion"/>
  </si>
  <si>
    <t>282</t>
  </si>
  <si>
    <t>電子輔助轉向2 life count 錯誤</t>
  </si>
  <si>
    <t>Detect life counter discontinuous from EPAS2 for 50ms continuously</t>
  </si>
  <si>
    <t>No CAN1 BUS-OFF (AND)
No CAN Loss of EPAS2 (AND)
Vehicle power state ~= OFF</t>
  </si>
  <si>
    <t>Monitor detect life counter continue from EPAS2 for 2000ms continuously</t>
    <phoneticPr fontId="45" type="noConversion"/>
  </si>
  <si>
    <t>283</t>
  </si>
  <si>
    <t>電子輔助轉向2 checksum 錯誤</t>
  </si>
  <si>
    <t>電子輔助轉向2 checksum錯誤</t>
  </si>
  <si>
    <t>Detect checksum incorrect from EPAS2 for 50ms continuously</t>
  </si>
  <si>
    <t>Monitor detect checksum continue from EPAS2 for 2000ms continuously</t>
    <phoneticPr fontId="45" type="noConversion"/>
  </si>
  <si>
    <t>284</t>
  </si>
  <si>
    <t>電子輔助轉向1 通訊超時</t>
  </si>
  <si>
    <t>电子辅助转向1 通讯超时</t>
    <phoneticPr fontId="51" type="noConversion"/>
  </si>
  <si>
    <r>
      <t xml:space="preserve">1. </t>
    </r>
    <r>
      <rPr>
        <sz val="12"/>
        <rFont val="微軟正黑體"/>
        <family val="2"/>
        <charset val="136"/>
      </rPr>
      <t xml:space="preserve">控制器電源狀態異常
</t>
    </r>
    <r>
      <rPr>
        <sz val="12"/>
        <rFont val="Arial"/>
        <family val="2"/>
      </rPr>
      <t>2. CAN</t>
    </r>
    <r>
      <rPr>
        <sz val="12"/>
        <rFont val="微軟正黑體"/>
        <family val="2"/>
        <charset val="136"/>
      </rPr>
      <t xml:space="preserve">線路異常
</t>
    </r>
    <r>
      <rPr>
        <sz val="12"/>
        <rFont val="Arial"/>
        <family val="2"/>
      </rPr>
      <t xml:space="preserve">3. </t>
    </r>
    <r>
      <rPr>
        <sz val="12"/>
        <rFont val="微軟正黑體"/>
        <family val="2"/>
        <charset val="136"/>
      </rPr>
      <t xml:space="preserve">控制器接頭連接異常
</t>
    </r>
    <r>
      <rPr>
        <sz val="12"/>
        <rFont val="Arial"/>
        <family val="2"/>
      </rPr>
      <t xml:space="preserve">4. </t>
    </r>
    <r>
      <rPr>
        <sz val="12"/>
        <rFont val="微軟正黑體"/>
        <family val="2"/>
        <charset val="136"/>
      </rPr>
      <t>軟體版本錯誤</t>
    </r>
  </si>
  <si>
    <t>1. 控制器电源状态异常
2. CAN线路连接异常
3. 控制器接头连接异常
4. 软件版次错误</t>
    <phoneticPr fontId="51" type="noConversion"/>
  </si>
  <si>
    <r>
      <rPr>
        <sz val="12"/>
        <rFont val="MS Gothic"/>
        <family val="3"/>
        <charset val="128"/>
      </rPr>
      <t>請參照輔助防護系統並依照故障碼做故障處置</t>
    </r>
  </si>
  <si>
    <t>Detect lost comm from EPS1 for 50ms continuously</t>
  </si>
  <si>
    <t>Monitor detect no lost comm with EPS1 for 1000ms continuously</t>
    <phoneticPr fontId="45" type="noConversion"/>
  </si>
  <si>
    <t>285</t>
  </si>
  <si>
    <t>P100A29</t>
  </si>
  <si>
    <t>電子輔助轉向1 life count 錯誤</t>
  </si>
  <si>
    <t>电子辅助转向1 life count 错误</t>
    <phoneticPr fontId="51" type="noConversion"/>
  </si>
  <si>
    <r>
      <t>1. CAN</t>
    </r>
    <r>
      <rPr>
        <sz val="12"/>
        <rFont val="微軟正黑體"/>
        <family val="2"/>
        <charset val="136"/>
      </rPr>
      <t xml:space="preserve">線路異常
</t>
    </r>
    <r>
      <rPr>
        <sz val="12"/>
        <rFont val="Arial"/>
        <family val="2"/>
      </rPr>
      <t xml:space="preserve">2. </t>
    </r>
    <r>
      <rPr>
        <sz val="12"/>
        <rFont val="微軟正黑體"/>
        <family val="2"/>
        <charset val="136"/>
      </rPr>
      <t xml:space="preserve">控制器接頭連接異常
</t>
    </r>
    <r>
      <rPr>
        <sz val="12"/>
        <rFont val="Arial"/>
        <family val="2"/>
      </rPr>
      <t xml:space="preserve">3. </t>
    </r>
    <r>
      <rPr>
        <sz val="12"/>
        <rFont val="微軟正黑體"/>
        <family val="2"/>
        <charset val="136"/>
      </rPr>
      <t>軟體版本錯誤</t>
    </r>
  </si>
  <si>
    <t>1. CAN线路连接异常
2. 控制器接头连接异常
3. 软件版次错误</t>
    <phoneticPr fontId="51" type="noConversion"/>
  </si>
  <si>
    <t>Detect life counter discontinuous from EPS1 for 50ms continuously</t>
  </si>
  <si>
    <t>No CAN1 BUS-OFF (AND)
No CAN Loss of EPS1 (AND)
Vehicle power state ~= OFF</t>
  </si>
  <si>
    <t>Monitor detect life counter continue from EPS1 for 2000ms continuously</t>
    <phoneticPr fontId="45" type="noConversion"/>
  </si>
  <si>
    <t>286</t>
  </si>
  <si>
    <t>電子輔助轉向1 checksum 錯誤</t>
  </si>
  <si>
    <t>电子辅助转向1 checksum错误</t>
    <phoneticPr fontId="51" type="noConversion"/>
  </si>
  <si>
    <r>
      <t xml:space="preserve">1. </t>
    </r>
    <r>
      <rPr>
        <sz val="12"/>
        <rFont val="微軟正黑體"/>
        <family val="2"/>
        <charset val="136"/>
      </rPr>
      <t xml:space="preserve">軟體版本錯誤
</t>
    </r>
    <r>
      <rPr>
        <sz val="12"/>
        <rFont val="Arial"/>
        <family val="2"/>
      </rPr>
      <t xml:space="preserve">2. </t>
    </r>
    <r>
      <rPr>
        <sz val="12"/>
        <rFont val="微軟正黑體"/>
        <family val="2"/>
        <charset val="136"/>
      </rPr>
      <t>外部</t>
    </r>
    <r>
      <rPr>
        <sz val="12"/>
        <rFont val="Arial"/>
        <family val="2"/>
      </rPr>
      <t>CAN</t>
    </r>
    <r>
      <rPr>
        <sz val="12"/>
        <rFont val="微軟正黑體"/>
        <family val="2"/>
        <charset val="136"/>
      </rPr>
      <t>連接設備造成通訊干擾</t>
    </r>
  </si>
  <si>
    <t>1. 软件版次错误
2. 外部CAN连接设备造成通讯干扰</t>
    <phoneticPr fontId="51" type="noConversion"/>
  </si>
  <si>
    <t>Detect checksum incorrect from EPS1 for 50ms continuously</t>
  </si>
  <si>
    <t>Monitor detect checksum continue from EPS1 for 2000ms continuously</t>
    <phoneticPr fontId="45" type="noConversion"/>
  </si>
  <si>
    <t>287</t>
  </si>
  <si>
    <t>FCM1 Lost comm</t>
    <phoneticPr fontId="28" type="noConversion"/>
  </si>
  <si>
    <t>前鏡頭模組1 通訊超時</t>
    <phoneticPr fontId="45" type="noConversion"/>
  </si>
  <si>
    <r>
      <rPr>
        <sz val="12"/>
        <rFont val="微軟正黑體"/>
        <family val="2"/>
        <charset val="136"/>
      </rPr>
      <t>前镜头模块1</t>
    </r>
    <r>
      <rPr>
        <sz val="12"/>
        <rFont val="Arial"/>
        <family val="2"/>
      </rPr>
      <t xml:space="preserve"> </t>
    </r>
    <r>
      <rPr>
        <sz val="12"/>
        <rFont val="微軟正黑體"/>
        <family val="2"/>
        <charset val="136"/>
      </rPr>
      <t>通讯超时</t>
    </r>
    <phoneticPr fontId="28" type="noConversion"/>
  </si>
  <si>
    <r>
      <t>0.请检查联合控制模块与驾驶辅助系统-ADAS前镜头模块线路或端子是否有损坏、弯曲、退出或是腐蚀。</t>
    </r>
    <r>
      <rPr>
        <sz val="12"/>
        <rFont val="微軟正黑體"/>
        <family val="2"/>
        <charset val="136"/>
      </rPr>
      <t/>
    </r>
  </si>
  <si>
    <t>Detect lost comm from FCM1 for 50ms continuously</t>
    <phoneticPr fontId="45" type="noConversion"/>
  </si>
  <si>
    <t>No CAN BUS-OFF detected (AND)
Vehicle power state ~= OFF</t>
    <phoneticPr fontId="45" type="noConversion"/>
  </si>
  <si>
    <t>Monitor detect no lost comm with FCM1 for 1000ms continuously</t>
    <phoneticPr fontId="45" type="noConversion"/>
  </si>
  <si>
    <t>Same as detection window.</t>
    <phoneticPr fontId="45" type="noConversion"/>
  </si>
  <si>
    <t xml:space="preserve">1. Disable ACC (AND)
2. VMC ACC handshake control allow = Off (AND)
3. TQD Tq source bypass ADAS force idle (AND)
4. DTC write into NVM
</t>
    <phoneticPr fontId="45" type="noConversion"/>
  </si>
  <si>
    <t>None</t>
    <phoneticPr fontId="45" type="noConversion"/>
  </si>
  <si>
    <t>1. Key OFF -&gt; STANDBY (OR)
2. When clear DTC is requested (OR)
3,  Pass Criteria = True (OR)
4. KDDM_VMCDiagnosisOffSW = On</t>
    <phoneticPr fontId="45" type="noConversion"/>
  </si>
  <si>
    <t>none</t>
    <phoneticPr fontId="45" type="noConversion"/>
  </si>
  <si>
    <t>288</t>
  </si>
  <si>
    <t>前鏡頭模組1  life count 錯誤</t>
  </si>
  <si>
    <t>前镜头模块1 通讯超时</t>
  </si>
  <si>
    <t>Detect life counter discontinuous from FCM1 for 50ms continuously</t>
  </si>
  <si>
    <t>No CAN BUS-OFF detected (AND)
No CAN Loss of FCM1 detected (AND)
Vehicle power state ~= OFF</t>
  </si>
  <si>
    <t>Monitor detect life counter continue from FCM1 for 2000ms continuously</t>
    <phoneticPr fontId="45" type="noConversion"/>
  </si>
  <si>
    <t>289</t>
  </si>
  <si>
    <t>前鏡頭模組1 checksum 錯誤</t>
  </si>
  <si>
    <t>Detect checksum incorrect from FCM1 for 50ms continuously</t>
  </si>
  <si>
    <t>Monitor detect checksum continue from FCM1 for 2000ms continuously</t>
    <phoneticPr fontId="45" type="noConversion"/>
  </si>
  <si>
    <t>290</t>
  </si>
  <si>
    <r>
      <t xml:space="preserve">SSD </t>
    </r>
    <r>
      <rPr>
        <sz val="12"/>
        <rFont val="Microsoft JhengHei"/>
        <family val="2"/>
      </rPr>
      <t>唯讀</t>
    </r>
    <phoneticPr fontId="45" type="noConversion"/>
  </si>
  <si>
    <r>
      <t xml:space="preserve">SSD </t>
    </r>
    <r>
      <rPr>
        <sz val="12"/>
        <rFont val="Microsoft JhengHei"/>
        <family val="2"/>
        <charset val="136"/>
      </rPr>
      <t>只讀</t>
    </r>
    <phoneticPr fontId="45" type="noConversion"/>
  </si>
  <si>
    <t>1. SSD is read-only</t>
    <phoneticPr fontId="28" type="noConversion"/>
  </si>
  <si>
    <r>
      <t xml:space="preserve">1. SSD </t>
    </r>
    <r>
      <rPr>
        <sz val="12"/>
        <rFont val="微軟正黑體"/>
        <family val="2"/>
        <charset val="136"/>
      </rPr>
      <t>唯讀</t>
    </r>
    <phoneticPr fontId="28" type="noConversion"/>
  </si>
  <si>
    <r>
      <t xml:space="preserve">1. SSD </t>
    </r>
    <r>
      <rPr>
        <sz val="12"/>
        <rFont val="細明體"/>
        <family val="2"/>
        <charset val="136"/>
      </rPr>
      <t>只讀</t>
    </r>
    <phoneticPr fontId="28" type="noConversion"/>
  </si>
  <si>
    <t>1. Replace with FDC</t>
    <phoneticPr fontId="28" type="noConversion"/>
  </si>
  <si>
    <r>
      <rPr>
        <sz val="12"/>
        <rFont val="細明體"/>
        <family val="2"/>
        <charset val="136"/>
      </rPr>
      <t xml:space="preserve">1.更換 </t>
    </r>
    <r>
      <rPr>
        <sz val="12"/>
        <rFont val="Arial"/>
        <family val="2"/>
      </rPr>
      <t>FDC</t>
    </r>
    <phoneticPr fontId="28" type="noConversion"/>
  </si>
  <si>
    <t>1.更换 FDC</t>
    <phoneticPr fontId="28" type="noConversion"/>
  </si>
  <si>
    <t>system failure</t>
  </si>
  <si>
    <t>10s</t>
    <phoneticPr fontId="45" type="noConversion"/>
  </si>
  <si>
    <t>SSD is unable to be written</t>
    <phoneticPr fontId="45" type="noConversion"/>
  </si>
  <si>
    <t>FD enter wakeup mode</t>
  </si>
  <si>
    <t>FD detect SSD is unable to be written for 1 times</t>
    <phoneticPr fontId="45" type="noConversion"/>
  </si>
  <si>
    <t>SSD is able to be written</t>
    <phoneticPr fontId="45" type="noConversion"/>
  </si>
  <si>
    <t>291</t>
  </si>
  <si>
    <t>SocketCAN interfaces are not available</t>
  </si>
  <si>
    <t>SocketCAN介面無法存取</t>
  </si>
  <si>
    <t>SocketCAN界面无法存取</t>
  </si>
  <si>
    <r>
      <t>FD</t>
    </r>
    <r>
      <rPr>
        <sz val="12"/>
        <rFont val="微軟正黑體"/>
        <family val="2"/>
        <charset val="136"/>
      </rPr>
      <t>系統異常</t>
    </r>
    <phoneticPr fontId="28" type="noConversion"/>
  </si>
  <si>
    <r>
      <t>FD</t>
    </r>
    <r>
      <rPr>
        <sz val="12"/>
        <rFont val="微軟正黑體"/>
        <family val="2"/>
        <charset val="136"/>
      </rPr>
      <t>系统异常</t>
    </r>
    <phoneticPr fontId="28" type="noConversion"/>
  </si>
  <si>
    <t>Detect when VND start</t>
  </si>
  <si>
    <t>FD failed to access SocketCAN interfaces</t>
  </si>
  <si>
    <t>SocketCAN interfaces are  available</t>
  </si>
  <si>
    <t>292</t>
  </si>
  <si>
    <t>B100803</t>
  </si>
  <si>
    <r>
      <t xml:space="preserve">SSD </t>
    </r>
    <r>
      <rPr>
        <sz val="12"/>
        <rFont val="細明體"/>
        <family val="2"/>
        <charset val="136"/>
      </rPr>
      <t>沒有掛載</t>
    </r>
    <phoneticPr fontId="45" type="noConversion"/>
  </si>
  <si>
    <r>
      <t xml:space="preserve">SSD </t>
    </r>
    <r>
      <rPr>
        <sz val="12"/>
        <rFont val="細明體"/>
        <family val="2"/>
        <charset val="136"/>
      </rPr>
      <t>没有挂载</t>
    </r>
    <phoneticPr fontId="45" type="noConversion"/>
  </si>
  <si>
    <t>1. SSD is unmount</t>
    <phoneticPr fontId="45" type="noConversion"/>
  </si>
  <si>
    <r>
      <t xml:space="preserve">1.SSD </t>
    </r>
    <r>
      <rPr>
        <sz val="12"/>
        <rFont val="細明體"/>
        <family val="2"/>
        <charset val="136"/>
      </rPr>
      <t>沒有掛載</t>
    </r>
    <phoneticPr fontId="45" type="noConversion"/>
  </si>
  <si>
    <r>
      <t xml:space="preserve">1.  SSD </t>
    </r>
    <r>
      <rPr>
        <sz val="12"/>
        <rFont val="細明體"/>
        <family val="2"/>
        <charset val="136"/>
      </rPr>
      <t>没有挂载</t>
    </r>
    <phoneticPr fontId="45" type="noConversion"/>
  </si>
  <si>
    <t>1. Reconnect the battery, check SSD again.
2. Put the FDC into sleep mode and then wake it up, check SSD again.</t>
    <phoneticPr fontId="45" type="noConversion"/>
  </si>
  <si>
    <r>
      <rPr>
        <sz val="12"/>
        <rFont val="微軟正黑體"/>
        <family val="2"/>
        <charset val="136"/>
      </rPr>
      <t xml:space="preserve">1. 重新上下電瓶電後，再次檢查 SSD 
</t>
    </r>
    <r>
      <rPr>
        <sz val="12"/>
        <rFont val="細明體"/>
        <family val="3"/>
        <charset val="136"/>
      </rPr>
      <t>2.讓FDC進入睡眠模式再喚醒，再次檢查 SSD</t>
    </r>
    <phoneticPr fontId="45" type="noConversion"/>
  </si>
  <si>
    <t>1. 重新上下电瓶电后，再次检查 SSD 
2. 让 FDC 进入睡眠模式再唤醒，再次检查 SSD</t>
    <phoneticPr fontId="45" type="noConversion"/>
  </si>
  <si>
    <t>30s</t>
    <phoneticPr fontId="45" type="noConversion"/>
  </si>
  <si>
    <t>SSD is not properly mounted</t>
    <phoneticPr fontId="45" type="noConversion"/>
  </si>
  <si>
    <t>FD enter wakeup mode</t>
    <phoneticPr fontId="45" type="noConversion"/>
  </si>
  <si>
    <t>FD detect SSD SSD is not properly mounted for 1 times</t>
    <phoneticPr fontId="45" type="noConversion"/>
  </si>
  <si>
    <t>SSD is properly mounted</t>
    <phoneticPr fontId="45" type="noConversion"/>
  </si>
  <si>
    <t>VND</t>
  </si>
  <si>
    <t>293</t>
  </si>
  <si>
    <t>0x900804</t>
    <phoneticPr fontId="45" type="noConversion"/>
  </si>
  <si>
    <r>
      <t xml:space="preserve">SSD </t>
    </r>
    <r>
      <rPr>
        <sz val="12"/>
        <rFont val="Microsoft JhengHei"/>
        <family val="2"/>
        <charset val="136"/>
      </rPr>
      <t>無法存取</t>
    </r>
    <phoneticPr fontId="45" type="noConversion"/>
  </si>
  <si>
    <r>
      <t xml:space="preserve">SSD </t>
    </r>
    <r>
      <rPr>
        <sz val="12"/>
        <rFont val="微軟正黑體"/>
        <family val="2"/>
        <charset val="136"/>
      </rPr>
      <t>无法存取</t>
    </r>
    <phoneticPr fontId="45" type="noConversion"/>
  </si>
  <si>
    <t>1. FD operating system malfunction</t>
    <phoneticPr fontId="45" type="noConversion"/>
  </si>
  <si>
    <r>
      <t>1. FD</t>
    </r>
    <r>
      <rPr>
        <sz val="12"/>
        <rFont val="Microsoft JhengHei"/>
        <family val="2"/>
        <charset val="136"/>
      </rPr>
      <t>作業</t>
    </r>
    <r>
      <rPr>
        <sz val="12"/>
        <rFont val="細明體"/>
        <family val="3"/>
        <charset val="136"/>
      </rPr>
      <t>系統異常</t>
    </r>
    <phoneticPr fontId="45" type="noConversion"/>
  </si>
  <si>
    <r>
      <t>1. FD</t>
    </r>
    <r>
      <rPr>
        <sz val="12"/>
        <rFont val="細明體"/>
        <family val="3"/>
        <charset val="136"/>
      </rPr>
      <t>作业系统异常</t>
    </r>
    <phoneticPr fontId="45" type="noConversion"/>
  </si>
  <si>
    <t>Detect when VND read/written SSD</t>
    <phoneticPr fontId="45" type="noConversion"/>
  </si>
  <si>
    <t>SSD cannot be read/written</t>
    <phoneticPr fontId="45" type="noConversion"/>
  </si>
  <si>
    <t>SSD can be read/written</t>
    <phoneticPr fontId="45" type="noConversion"/>
  </si>
  <si>
    <t>294</t>
  </si>
  <si>
    <t>B100805</t>
    <phoneticPr fontId="45" type="noConversion"/>
  </si>
  <si>
    <t>0x900805</t>
    <phoneticPr fontId="45" type="noConversion"/>
  </si>
  <si>
    <r>
      <t xml:space="preserve">SSD </t>
    </r>
    <r>
      <rPr>
        <sz val="12"/>
        <rFont val="Microsoft JhengHei"/>
        <family val="2"/>
        <charset val="136"/>
      </rPr>
      <t>損毀</t>
    </r>
    <phoneticPr fontId="45" type="noConversion"/>
  </si>
  <si>
    <r>
      <t xml:space="preserve">SSD </t>
    </r>
    <r>
      <rPr>
        <sz val="12"/>
        <rFont val="微軟正黑體"/>
        <family val="2"/>
        <charset val="136"/>
      </rPr>
      <t>损毁</t>
    </r>
    <phoneticPr fontId="45" type="noConversion"/>
  </si>
  <si>
    <t>1. SSD is damaged</t>
    <phoneticPr fontId="45" type="noConversion"/>
  </si>
  <si>
    <r>
      <t xml:space="preserve">1. SSD </t>
    </r>
    <r>
      <rPr>
        <sz val="12"/>
        <rFont val="細明體"/>
        <family val="2"/>
        <charset val="136"/>
      </rPr>
      <t>損毀</t>
    </r>
    <phoneticPr fontId="45" type="noConversion"/>
  </si>
  <si>
    <r>
      <t xml:space="preserve">1. SSD </t>
    </r>
    <r>
      <rPr>
        <sz val="12"/>
        <rFont val="細明體"/>
        <family val="2"/>
        <charset val="136"/>
      </rPr>
      <t>损毁</t>
    </r>
    <phoneticPr fontId="45" type="noConversion"/>
  </si>
  <si>
    <t>SSD cannot be accessed</t>
    <phoneticPr fontId="45" type="noConversion"/>
  </si>
  <si>
    <t>FD detect SSD cannot be accessed for 1 times</t>
    <phoneticPr fontId="45" type="noConversion"/>
  </si>
  <si>
    <t>SSD can be accessed</t>
    <phoneticPr fontId="45" type="noConversion"/>
  </si>
  <si>
    <t>295</t>
    <phoneticPr fontId="45" type="noConversion"/>
  </si>
  <si>
    <t>P01201C</t>
    <phoneticPr fontId="28" type="noConversion"/>
  </si>
  <si>
    <t>0x01201C</t>
    <phoneticPr fontId="28" type="noConversion"/>
  </si>
  <si>
    <t>Throttle/Pedal Position Sensor/Switch "A" Circuit Range/Performance-circuit voltage out of range</t>
    <phoneticPr fontId="28" type="noConversion"/>
  </si>
  <si>
    <t>0x42</t>
  </si>
  <si>
    <t>(F18) ACC_PEDAL1_5V voltage &lt; 4.9 V (OR) 
&gt; 5.1 V for 500ms continuously.
After 1 time(s) of above detection
.</t>
  </si>
  <si>
    <t>After 1 time(s) of above detection continuously. (Total time for decision = 200ms)</t>
  </si>
  <si>
    <t>(F18) ACC_PEDAL1_5V voltage &gt;= 4.9 V (AND)
(F18) ACC_PEDAL1_5V voltage &lt;= 5.1 V
for 1000ms continuously</t>
  </si>
  <si>
    <t>ZEV</t>
  </si>
  <si>
    <t>296</t>
  </si>
  <si>
    <t>P02201C</t>
    <phoneticPr fontId="28" type="noConversion"/>
  </si>
  <si>
    <t>0x02201C</t>
    <phoneticPr fontId="28" type="noConversion"/>
  </si>
  <si>
    <t>Throttle/Pedal Position Sensor/Switch "B" Circuit Range/Performance-circuit voltage out of range</t>
    <phoneticPr fontId="28" type="noConversion"/>
  </si>
  <si>
    <t>(F25) ACC_PEDAL2_5V voltage &lt; 4.9 V (OR) 
&gt; 5.1 V for 500ms continuously.
After 1 time(s) of above detection
.</t>
  </si>
  <si>
    <t>(F25) ACC_PEDAL2_5V voltage &gt;= 4.9 V (AND)
(F25) ACC_PEDAL2_5V voltage &lt;= 5.1 V
for 1000ms continuously</t>
  </si>
  <si>
    <t>297</t>
  </si>
  <si>
    <t>P0560A3</t>
    <phoneticPr fontId="28" type="noConversion"/>
  </si>
  <si>
    <t>0x0560A3</t>
    <phoneticPr fontId="28" type="noConversion"/>
  </si>
  <si>
    <t>System Voltage High</t>
    <phoneticPr fontId="28" type="noConversion"/>
  </si>
  <si>
    <t>Monitor detect voltage &lt;13V for 5s continuously</t>
  </si>
  <si>
    <t xml:space="preserve">(Vehicle power state =
ON (OR)
READY (OR)
OFF-A (OR)
OFF-C) (AND)
No CAN Loss of BMS2 detected </t>
  </si>
  <si>
    <t>298</t>
  </si>
  <si>
    <t>P0560A2</t>
    <phoneticPr fontId="28" type="noConversion"/>
  </si>
  <si>
    <t>0x0560A2</t>
    <phoneticPr fontId="28" type="noConversion"/>
  </si>
  <si>
    <t>System Voltage Low</t>
    <phoneticPr fontId="28" type="noConversion"/>
  </si>
  <si>
    <t>Monitor detect voltage &gt;15.5V for 5s continuously</t>
  </si>
  <si>
    <t>299</t>
  </si>
  <si>
    <t>Gear Shift Control Module "A" - Performance or incorrect operation</t>
    <phoneticPr fontId="45" type="noConversion"/>
  </si>
  <si>
    <t>排擋器訊號異常</t>
    <phoneticPr fontId="28" type="noConversion"/>
  </si>
  <si>
    <t>排檔器訊號異常</t>
    <phoneticPr fontId="28" type="noConversion"/>
  </si>
  <si>
    <t>Detect Shifter_Fail_Sta ~= Normal
for 100ms continuously</t>
  </si>
  <si>
    <t>1. TQD shift command = No request (AND)
2. TQD external shift allow = Not allow (AND)
3. Set EDriveSysErr_ShifterErr to Error (AND)
4. VMC APS handshake control allow = Off (AND)
5. Set red indicator ON (AND)
6. DTC write into NVM</t>
  </si>
  <si>
    <t>300</t>
  </si>
  <si>
    <t>後電機控制器訊號異常</t>
    <phoneticPr fontId="28" type="noConversion"/>
  </si>
  <si>
    <t>Detect MCUWarn_R = Error level 0 (OR)
MCUWarn_R = Error level 1 (OR)
MCUWarn_R = Error level 2 (OR)
MCUWarn_R = Error level 3
for 25ms continuously</t>
  </si>
  <si>
    <t>No CAN BUS-OFF detected (AND)
No CAN Loss of MCU_R1 detected (AND)
No Life count error of MCU_R1 detected (AND)
No Checksum error of MCU_R1 detected (AND)
Vehicle power state ~= OFF</t>
  </si>
  <si>
    <t>After 1 time(s) of above detection continuously. (Total time for decision = 25ms)</t>
  </si>
  <si>
    <t>Monitor detect 
MCUWarn_R ~= Error level 0 (AND)
MCUWarn_R ~= Error level 1 (AND)
MCUWarn_R ~= Error level 2 (AND)
MCUWarn_R ~= Error level 3
for 1250ms continuously</t>
  </si>
  <si>
    <t>301</t>
  </si>
  <si>
    <t>Detect MCUWarn_F =  Error level 0 (OR)
MCUWarn_F = Error level 1 (OR)
MCUWarn_F = Error level 2 (OR)
MCUWarn_F = Error level 3
for 25ms continuously</t>
  </si>
  <si>
    <t>No CAN BUS-OFF detected (AND)
No CAN Loss of MCU_F1 detected (AND)
No Life count error of MCU_F1 detected (AND)
No Checksum error of MCU_F1 detected (AND)
Vehicle power state ~= OFF</t>
  </si>
  <si>
    <t>Monitor detect
MCUWarn_F ~= Error level 0 (AND)
MCUWarn_F ~= Error level 1 (AND)
MCUWarn_F ~= Error level 2 (AND)
MCUWarn_F ~= Error level 3
for 125ms continuously</t>
  </si>
  <si>
    <t>302</t>
  </si>
  <si>
    <t>P0A9492</t>
    <phoneticPr fontId="28" type="noConversion"/>
  </si>
  <si>
    <t>0x0A9492</t>
    <phoneticPr fontId="28" type="noConversion"/>
  </si>
  <si>
    <t>DC/DC Converter-performance or incorrect operation</t>
    <phoneticPr fontId="28" type="noConversion"/>
  </si>
  <si>
    <t>Detect DCDCFaultSta &gt;= Any Fault LV1
for 250ms continuously</t>
  </si>
  <si>
    <t>After 1 time(s) of above detection continuously. (Total time for decision = 250ms)</t>
  </si>
  <si>
    <t>Monitor detect DCDCFaultSta &lt; Any Fault LV1
for 1250ms continuously</t>
  </si>
  <si>
    <t>303</t>
  </si>
  <si>
    <t>P0AE172</t>
    <phoneticPr fontId="28" type="noConversion"/>
  </si>
  <si>
    <t>0x0AE172</t>
    <phoneticPr fontId="28" type="noConversion"/>
  </si>
  <si>
    <t>Hybrid/EV Battery Precharge Contactor Circuit Stuck Open</t>
    <phoneticPr fontId="28" type="noConversion"/>
  </si>
  <si>
    <t>1. Key OFF -&gt; STANDBY (OR)
2. When clear DTC is requested (OR)
3. KDDM_PwrUpDnDiagnosisOffSW = On</t>
  </si>
  <si>
    <t>304</t>
  </si>
  <si>
    <t>P0C1900</t>
    <phoneticPr fontId="28" type="noConversion"/>
  </si>
  <si>
    <t>0x0C1900</t>
    <phoneticPr fontId="28" type="noConversion"/>
  </si>
  <si>
    <t>Drive Motor "A" Torque Delivered Performance</t>
    <phoneticPr fontId="28" type="noConversion"/>
  </si>
  <si>
    <t>前电机扭力响应异常</t>
    <phoneticPr fontId="28" type="noConversion"/>
  </si>
  <si>
    <t>Detect EDU not following VCU torque request Abs( Fr_EDURealTMTq - Fr_TMTqReq ) &gt;= calibrated delta Tq 
for 500ms continuously
After 1 time(s) of above detection continuously.</t>
  </si>
  <si>
    <t>No CAN BUS-OFF detected (AND)
No CAN Loss of MCU_F1 detected (AND)
No rolling count error of MCU_F1 (AND)
No checksum error of MCU_F1 (AND)
MCUWarn_F = normal or Err lvl 0 (AND)
Fr_EDUDrtSta = normal operation (AND)
Vehicle speed &gt; 40 kph (AND)
Vehicle power state ~= OFF (AND)
Drivetrain ~= RWD</t>
  </si>
  <si>
    <t>Detect test fail condition evaluated false
for 2500ms continuously</t>
  </si>
  <si>
    <t>305</t>
  </si>
  <si>
    <t>P0C1A00</t>
    <phoneticPr fontId="28" type="noConversion"/>
  </si>
  <si>
    <t>0x0C1A00</t>
    <phoneticPr fontId="28" type="noConversion"/>
  </si>
  <si>
    <t>Drive Motor "B" Torque Delivered Performance</t>
    <phoneticPr fontId="28" type="noConversion"/>
  </si>
  <si>
    <t>后电机扭力响应异常</t>
    <phoneticPr fontId="28" type="noConversion"/>
  </si>
  <si>
    <t>Detect EDU not following VCU torque request Abs( Rr_EDURealTMTq - Rr_TMTqReq ) &gt;= calibrated delta Tq 
for 500ms continuously
After 1 time(s) of above detection continuously.</t>
  </si>
  <si>
    <t>No CAN BUS-OFF detected (AND)
No CAN Loss of MCU_R1 detected (AND)
No rolling count error of MCU_R1 (AND)
No checksum error of MCU_R1 (AND)
MCUWarn_R = normal or Err lvl 0 (AND)
Rr_EDUDrtSta = normal operation (AND)
Vehicle speed &gt; 40 kph (AND)
Vehicle power state ~= OFF (AND)
Drivetrain ~= FWD</t>
  </si>
  <si>
    <t>306</t>
  </si>
  <si>
    <t>P0FC592</t>
    <phoneticPr fontId="28" type="noConversion"/>
  </si>
  <si>
    <t>0x0FC592</t>
    <phoneticPr fontId="28" type="noConversion"/>
  </si>
  <si>
    <t>Electrical Drive Motor Inverter Disable Circuit Performance-performance or incorrect operation</t>
    <phoneticPr fontId="28" type="noConversion"/>
  </si>
  <si>
    <t>前馬達控制器停用失效 or 後馬達控制器停用失效</t>
    <phoneticPr fontId="28" type="noConversion"/>
  </si>
  <si>
    <r>
      <rPr>
        <sz val="12"/>
        <rFont val="Microsoft JhengHei"/>
        <family val="2"/>
      </rPr>
      <t>前</t>
    </r>
    <r>
      <rPr>
        <sz val="12"/>
        <rFont val="微軟正黑體"/>
        <family val="2"/>
        <charset val="136"/>
      </rPr>
      <t>马达控制器停用失效</t>
    </r>
    <r>
      <rPr>
        <sz val="12"/>
        <rFont val="Arial"/>
        <family val="2"/>
      </rPr>
      <t xml:space="preserve"> or </t>
    </r>
    <r>
      <rPr>
        <sz val="12"/>
        <rFont val="細明體"/>
        <family val="2"/>
        <charset val="136"/>
      </rPr>
      <t>后马达控制器停用失效</t>
    </r>
    <phoneticPr fontId="28" type="noConversion"/>
  </si>
  <si>
    <t>Monitor detect the MCU disable  timeout flag (VDMM_FrMCUDisChk_flg) from PMM
or
Monitor detect the MCU disable  timeout flag (VDMM_RrMCUDisChk_flg) from PMM</t>
    <phoneticPr fontId="28" type="noConversion"/>
  </si>
  <si>
    <t>Monitor not detect the FrMCU disable  timeout flag from PMM
or
Monitor not detect the RrMCU disable  timeout flag from PMM</t>
    <phoneticPr fontId="28" type="noConversion"/>
  </si>
  <si>
    <t>307</t>
  </si>
  <si>
    <t>P210900</t>
    <phoneticPr fontId="28" type="noConversion"/>
  </si>
  <si>
    <t>0x210900</t>
    <phoneticPr fontId="28" type="noConversion"/>
  </si>
  <si>
    <t>Throttle/Pedal Position Sensor "A" Minimum Stop Performance</t>
    <phoneticPr fontId="28" type="noConversion"/>
  </si>
  <si>
    <t xml:space="preserve">Detect VDHP_EAPS1BAD_flg = True after 1 time(s) of above detection continuously.  </t>
  </si>
  <si>
    <t>VDHP_EAPS1BAD_flg = True
for 1000ms continuously</t>
  </si>
  <si>
    <t>308</t>
  </si>
  <si>
    <t>P211300</t>
    <phoneticPr fontId="28" type="noConversion"/>
  </si>
  <si>
    <t>0x211300</t>
    <phoneticPr fontId="28" type="noConversion"/>
  </si>
  <si>
    <t>Throttle/Pedal Position Sensor "B" Minimum Stop Performance</t>
    <phoneticPr fontId="28" type="noConversion"/>
  </si>
  <si>
    <t xml:space="preserve">Detect VDHP_EAPS2BAD_flg = True after 1 time(s) of above detection continuously.  </t>
  </si>
  <si>
    <t>VDHP_EAPS2BAD_flg = True
for 1000ms continuously</t>
  </si>
  <si>
    <t>309</t>
  </si>
  <si>
    <t>P213500</t>
    <phoneticPr fontId="28" type="noConversion"/>
  </si>
  <si>
    <t>0x213500</t>
    <phoneticPr fontId="28" type="noConversion"/>
  </si>
  <si>
    <t>Throttle/Pedal Position Sensor/Switch "A"/"B" Voltage Correlation</t>
    <phoneticPr fontId="28" type="noConversion"/>
  </si>
  <si>
    <t xml:space="preserve">Detect VDHP_EAPCRBAD_flg = True after 1 time(s) of above detection continuously.  </t>
  </si>
  <si>
    <t>VDHP_EAPCRBAD_flg = False for 1000ms continuously</t>
  </si>
  <si>
    <t>310</t>
  </si>
  <si>
    <t>P216300</t>
    <phoneticPr fontId="28" type="noConversion"/>
  </si>
  <si>
    <t>0x216300</t>
    <phoneticPr fontId="28" type="noConversion"/>
  </si>
  <si>
    <t>Throttle/Pedal Position Sensor "A" Maximum Stop Performance</t>
    <phoneticPr fontId="28" type="noConversion"/>
  </si>
  <si>
    <t>311</t>
  </si>
  <si>
    <t>P216400</t>
    <phoneticPr fontId="28" type="noConversion"/>
  </si>
  <si>
    <t>0x216400</t>
    <phoneticPr fontId="28" type="noConversion"/>
  </si>
  <si>
    <t>Throttle/Pedal Position Sensor "B" Maximum Stop Performance</t>
    <phoneticPr fontId="28" type="noConversion"/>
  </si>
  <si>
    <t>312</t>
  </si>
  <si>
    <t>P254F01</t>
    <phoneticPr fontId="28" type="noConversion"/>
  </si>
  <si>
    <t>0x254F01</t>
    <phoneticPr fontId="28" type="noConversion"/>
  </si>
  <si>
    <t>313</t>
  </si>
  <si>
    <t>P2F8F63</t>
    <phoneticPr fontId="28" type="noConversion"/>
  </si>
  <si>
    <t>0x2F8F63</t>
    <phoneticPr fontId="28" type="noConversion"/>
  </si>
  <si>
    <t>Drive Motor Control Module "A" High Voltage System Discharge-circuit/component protection timeout</t>
    <phoneticPr fontId="28" type="noConversion"/>
  </si>
  <si>
    <t>後馬達控制器主動放電失效</t>
    <phoneticPr fontId="28" type="noConversion"/>
  </si>
  <si>
    <t>后马达控制器主动放电失效</t>
    <phoneticPr fontId="28" type="noConversion"/>
  </si>
  <si>
    <t>请参照电机系统故障处置</t>
    <phoneticPr fontId="28" type="noConversion"/>
  </si>
  <si>
    <t>Monitor detect the Rear MCU active discharge  timeout flag(VDMM_RrMCUActChk_flg) from PMM</t>
    <phoneticPr fontId="28" type="noConversion"/>
  </si>
  <si>
    <t>Monitor not detect the Rear MCU active discharge  timeout flag from PMM</t>
    <phoneticPr fontId="28" type="noConversion"/>
  </si>
  <si>
    <t>314</t>
  </si>
  <si>
    <t>P2F9063</t>
    <phoneticPr fontId="28" type="noConversion"/>
  </si>
  <si>
    <t>0x2F9063</t>
    <phoneticPr fontId="28" type="noConversion"/>
  </si>
  <si>
    <t>Drive Motor Control Module "B" High Voltage System Discharge-circuit/component protection timeout</t>
    <phoneticPr fontId="28" type="noConversion"/>
  </si>
  <si>
    <t>前馬達控制器主動放電失效</t>
    <phoneticPr fontId="28" type="noConversion"/>
  </si>
  <si>
    <t>前马达控制器主动放电失效</t>
    <phoneticPr fontId="28" type="noConversion"/>
  </si>
  <si>
    <t>Monitor detect the Front MCU active discharge  timeout flag(VDMM_FrMCUActChk_flg) from PMM</t>
    <phoneticPr fontId="28" type="noConversion"/>
  </si>
  <si>
    <t>Monitor not detect the Front MCU active discharge  timeout flag from PMM</t>
    <phoneticPr fontId="28" type="noConversion"/>
  </si>
  <si>
    <t>315</t>
  </si>
  <si>
    <t>P2FF573</t>
    <phoneticPr fontId="28" type="noConversion"/>
  </si>
  <si>
    <t>0x2FF573</t>
    <phoneticPr fontId="28" type="noConversion"/>
  </si>
  <si>
    <t>Hybrid/EV Battery Dual Contactor "A" Stuck Closed</t>
    <phoneticPr fontId="28" type="noConversion"/>
  </si>
  <si>
    <t>316</t>
  </si>
  <si>
    <t>P343A01</t>
    <phoneticPr fontId="28" type="noConversion"/>
  </si>
  <si>
    <t>0x343A01</t>
    <phoneticPr fontId="28" type="noConversion"/>
  </si>
  <si>
    <t>0x42</t>
    <phoneticPr fontId="45" type="noConversion"/>
  </si>
  <si>
    <t>317</t>
  </si>
  <si>
    <t>C004001</t>
    <phoneticPr fontId="28" type="noConversion"/>
  </si>
  <si>
    <t>0x404001</t>
    <phoneticPr fontId="28" type="noConversion"/>
  </si>
  <si>
    <t>Monitor detect any VDDM_BrakeSigMatrix_enum
= 1, 2, 4, 5, 6, 7, 8, 10, 11, 13, 14,15,16,
17, 18, 22, 23, 25, 26, 27, 28, 29,
30, 31, 32, 34, 35  for 1 sec continuously.</t>
  </si>
  <si>
    <t>Vehicle power state = ON or READY</t>
  </si>
  <si>
    <t>Monitor not detect any VDDM_BrakeSigMatrix_enum
= 1, 2, 4, 5, 6, 7, 8, 10, 11, 13, 14,15,16,17, 18, 22, 23, 25, 26, 27, 28, 29,
30, 31, 32, 34, 35  for 3 sec continuously.</t>
  </si>
  <si>
    <t>318</t>
  </si>
  <si>
    <r>
      <rPr>
        <sz val="12"/>
        <rFont val="微軟正黑體"/>
        <family val="2"/>
        <charset val="136"/>
      </rPr>
      <t xml:space="preserve">左前輪胎壓過低
</t>
    </r>
    <r>
      <rPr>
        <sz val="12"/>
        <rFont val="Arial"/>
        <family val="2"/>
      </rPr>
      <t xml:space="preserve">or
</t>
    </r>
    <r>
      <rPr>
        <sz val="12"/>
        <rFont val="微軟正黑體"/>
        <family val="2"/>
        <charset val="136"/>
      </rPr>
      <t xml:space="preserve">右前輪胎壓過低
</t>
    </r>
    <r>
      <rPr>
        <sz val="12"/>
        <rFont val="Arial"/>
        <family val="2"/>
        <charset val="136"/>
      </rPr>
      <t xml:space="preserve">or
</t>
    </r>
    <r>
      <rPr>
        <sz val="12"/>
        <rFont val="微軟正黑體"/>
        <family val="2"/>
        <charset val="136"/>
      </rPr>
      <t xml:space="preserve">左後輪胎壓過低
</t>
    </r>
    <r>
      <rPr>
        <sz val="12"/>
        <rFont val="Arial"/>
        <family val="2"/>
        <charset val="136"/>
      </rPr>
      <t xml:space="preserve">or
</t>
    </r>
    <r>
      <rPr>
        <sz val="12"/>
        <rFont val="微軟正黑體"/>
        <family val="2"/>
        <charset val="136"/>
      </rPr>
      <t>右後輪胎壓過低</t>
    </r>
    <phoneticPr fontId="28" type="noConversion"/>
  </si>
  <si>
    <r>
      <rPr>
        <sz val="12"/>
        <rFont val="微軟正黑體"/>
        <family val="2"/>
        <charset val="136"/>
      </rPr>
      <t xml:space="preserve">左前轮胎压过低
</t>
    </r>
    <r>
      <rPr>
        <sz val="12"/>
        <rFont val="Arial"/>
        <family val="2"/>
      </rPr>
      <t xml:space="preserve">or
</t>
    </r>
    <r>
      <rPr>
        <sz val="12"/>
        <rFont val="微軟正黑體"/>
        <family val="2"/>
        <charset val="136"/>
      </rPr>
      <t xml:space="preserve">右前轮胎压过低
</t>
    </r>
    <r>
      <rPr>
        <sz val="12"/>
        <rFont val="Arial"/>
        <family val="2"/>
      </rPr>
      <t xml:space="preserve">or
</t>
    </r>
    <r>
      <rPr>
        <sz val="12"/>
        <rFont val="微軟正黑體"/>
        <family val="2"/>
        <charset val="136"/>
      </rPr>
      <t xml:space="preserve">左后轮胎压过低
</t>
    </r>
    <r>
      <rPr>
        <sz val="12"/>
        <rFont val="Arial"/>
        <family val="2"/>
      </rPr>
      <t xml:space="preserve">or
</t>
    </r>
    <r>
      <rPr>
        <sz val="12"/>
        <rFont val="微軟正黑體"/>
        <family val="2"/>
        <charset val="136"/>
      </rPr>
      <t>右后轮胎压过低</t>
    </r>
    <phoneticPr fontId="28" type="noConversion"/>
  </si>
  <si>
    <r>
      <t>確認左前輪胎胎壓</t>
    </r>
    <r>
      <rPr>
        <sz val="12"/>
        <rFont val="微軟正黑體"/>
        <family val="2"/>
        <charset val="136"/>
      </rPr>
      <t xml:space="preserve"> or
右前輪輪胎胎壓 or
左後輪胎胎壓 or
右後輪輪胎胎壓
</t>
    </r>
    <r>
      <rPr>
        <sz val="12"/>
        <rFont val="宋体"/>
      </rPr>
      <t>是否低於最低胎壓210kPa(30.45psi)，或胎壓有急遽變化(輪胎戳穿)
請檢查輪胎，確保左前胎壓調整至出廠胎壓42psi</t>
    </r>
    <phoneticPr fontId="28" type="noConversion"/>
  </si>
  <si>
    <r>
      <rPr>
        <sz val="12"/>
        <rFont val="MS Gothic"/>
        <family val="3"/>
        <charset val="128"/>
      </rPr>
      <t>确</t>
    </r>
    <r>
      <rPr>
        <sz val="12"/>
        <rFont val="Microsoft YaHei"/>
        <family val="2"/>
        <charset val="134"/>
      </rPr>
      <t>认左前轮胎胎压</t>
    </r>
    <r>
      <rPr>
        <sz val="12"/>
        <rFont val="微軟正黑體"/>
        <family val="2"/>
        <charset val="136"/>
      </rPr>
      <t xml:space="preserve"> or 
右前轮轮胎胎压 </t>
    </r>
    <r>
      <rPr>
        <sz val="12"/>
        <rFont val="Arial"/>
        <family val="2"/>
      </rPr>
      <t xml:space="preserve">or
</t>
    </r>
    <r>
      <rPr>
        <sz val="12"/>
        <rFont val="微軟正黑體"/>
        <family val="2"/>
        <charset val="136"/>
      </rPr>
      <t xml:space="preserve">左后轮轮胎胎压 </t>
    </r>
    <r>
      <rPr>
        <sz val="12"/>
        <rFont val="Arial"/>
        <family val="2"/>
      </rPr>
      <t xml:space="preserve">or
</t>
    </r>
    <r>
      <rPr>
        <sz val="12"/>
        <rFont val="微軟正黑體"/>
        <family val="2"/>
        <charset val="136"/>
      </rPr>
      <t>右后轮轮胎胎压</t>
    </r>
    <r>
      <rPr>
        <sz val="12"/>
        <rFont val="Microsoft YaHei"/>
        <family val="2"/>
        <charset val="134"/>
      </rPr>
      <t>是否低于最低胎压</t>
    </r>
    <r>
      <rPr>
        <sz val="12"/>
        <rFont val="Arial"/>
        <family val="2"/>
      </rPr>
      <t>210kPa(30.45psi)</t>
    </r>
    <r>
      <rPr>
        <sz val="12"/>
        <rFont val="MS Gothic"/>
        <family val="3"/>
        <charset val="128"/>
      </rPr>
      <t>，或胎</t>
    </r>
    <r>
      <rPr>
        <sz val="12"/>
        <rFont val="Microsoft YaHei"/>
        <family val="2"/>
        <charset val="134"/>
      </rPr>
      <t>压有急遽变化</t>
    </r>
    <r>
      <rPr>
        <sz val="12"/>
        <rFont val="Arial"/>
        <family val="2"/>
      </rPr>
      <t>(</t>
    </r>
    <r>
      <rPr>
        <sz val="12"/>
        <rFont val="Microsoft YaHei"/>
        <family val="2"/>
        <charset val="134"/>
      </rPr>
      <t>轮胎戳穿</t>
    </r>
    <r>
      <rPr>
        <sz val="12"/>
        <rFont val="Arial"/>
        <family val="2"/>
      </rPr>
      <t>)</t>
    </r>
    <r>
      <rPr>
        <sz val="12"/>
        <rFont val="Arial"/>
        <family val="3"/>
        <charset val="128"/>
      </rPr>
      <t xml:space="preserve">
</t>
    </r>
    <r>
      <rPr>
        <sz val="12"/>
        <rFont val="細明體"/>
        <family val="3"/>
        <charset val="136"/>
      </rPr>
      <t>请检查轮胎，确保左前胎压调整至出厂胎压</t>
    </r>
    <r>
      <rPr>
        <sz val="12"/>
        <rFont val="Arial"/>
        <family val="3"/>
        <charset val="128"/>
      </rPr>
      <t>42psi</t>
    </r>
    <phoneticPr fontId="28" type="noConversion"/>
  </si>
  <si>
    <t>Left Forward Wheel Pressure or Right Forward Wheel Pressure or Left Rear Wheel Pressure or Right Rear Wheel Pressure is less than or equal to the low pressure threshold.</t>
    <phoneticPr fontId="28" type="noConversion"/>
  </si>
  <si>
    <t>Left Forward Wheel Pressure and Right Forward Wheel Pressure and Left Rear Wheel Pressure and Right Rear  Wheel Pressure are more than (the low pressure threshold)+2psi.</t>
    <phoneticPr fontId="28" type="noConversion"/>
  </si>
  <si>
    <t>319</t>
  </si>
  <si>
    <t>C060B7F</t>
    <phoneticPr fontId="28" type="noConversion"/>
  </si>
  <si>
    <t>0x460B7F</t>
    <phoneticPr fontId="28" type="noConversion"/>
  </si>
  <si>
    <t>Left Park Brake Actuator Performance/Stuck Off</t>
    <phoneticPr fontId="28" type="noConversion"/>
  </si>
  <si>
    <t>電子駐剎車做動響應超時</t>
    <phoneticPr fontId="28" type="noConversion"/>
  </si>
  <si>
    <t>After PrkReq changed to Request (AND)
EPBSta ~= Applied within 3000ms
for 1 time(s) of above detection.</t>
  </si>
  <si>
    <t>After 3 time(s) of above detection continuously. (Total time for decision = 9,000ms)</t>
  </si>
  <si>
    <t>After PrkReq changed to Request (AND)
EPBSta = Applied within 3000ms
for 1 time(s) of above detection.</t>
  </si>
  <si>
    <t>320</t>
  </si>
  <si>
    <t>After PrkReq changed to Release (AND)
EPBSta ~= Released within 3000ms
for 1 time(s) of above detection.</t>
  </si>
  <si>
    <t>After PrkReq changed to Release (AND)
EPBSta = Released within 3000ms
for 1 time(s) of above detection.</t>
  </si>
  <si>
    <t>321</t>
  </si>
  <si>
    <t>322</t>
  </si>
  <si>
    <t>323</t>
  </si>
  <si>
    <t>324</t>
  </si>
  <si>
    <t>B00B701</t>
    <phoneticPr fontId="28" type="noConversion"/>
  </si>
  <si>
    <t>0x80B701</t>
    <phoneticPr fontId="28" type="noConversion"/>
  </si>
  <si>
    <t>Driver Seat Occupant Position Sensor "A" - General circuit/electrical failure</t>
    <phoneticPr fontId="28" type="noConversion"/>
  </si>
  <si>
    <t>Monitor detect status of driver seat switch changed frequently, cycle less than 200msec  for 1 sec continuously. (OR)
Monitor detect seat switch = OFF and vehicle speed &gt;20kph 600sec continuously.</t>
  </si>
  <si>
    <t>325</t>
  </si>
  <si>
    <t>U00E101</t>
    <phoneticPr fontId="28" type="noConversion"/>
  </si>
  <si>
    <t>0xC0E101</t>
    <phoneticPr fontId="28" type="noConversion"/>
  </si>
  <si>
    <t>Drive Motor Control Module - Front "A" - General Circuit/Electrical Failure</t>
    <phoneticPr fontId="28" type="noConversion"/>
  </si>
  <si>
    <t>前馬達控制器準備預充電失效</t>
  </si>
  <si>
    <t>前马达控制器准备预充电失效</t>
    <phoneticPr fontId="28" type="noConversion"/>
  </si>
  <si>
    <t>Rear Motor control unit self-diagnosis is abnormal</t>
    <phoneticPr fontId="28" type="noConversion"/>
  </si>
  <si>
    <r>
      <rPr>
        <sz val="12"/>
        <rFont val="Microsoft JhengHei"/>
        <family val="2"/>
      </rPr>
      <t>前</t>
    </r>
    <r>
      <rPr>
        <sz val="12"/>
        <rFont val="微軟正黑體"/>
        <family val="2"/>
        <charset val="136"/>
      </rPr>
      <t>馬達控制單元自檢異常</t>
    </r>
    <phoneticPr fontId="28" type="noConversion"/>
  </si>
  <si>
    <t>前马达控制单元自检异常</t>
    <phoneticPr fontId="28" type="noConversion"/>
  </si>
  <si>
    <t>1. Check whether the front area controller or rear motor controller system has a fault code, and the fault code should be eliminated</t>
    <phoneticPr fontId="28" type="noConversion"/>
  </si>
  <si>
    <r>
      <t>1.</t>
    </r>
    <r>
      <rPr>
        <sz val="12"/>
        <rFont val="微軟正黑體"/>
        <family val="2"/>
        <charset val="136"/>
      </rPr>
      <t>檢查前區域控制器或者</t>
    </r>
    <r>
      <rPr>
        <sz val="12"/>
        <rFont val="Microsoft JhengHei"/>
        <family val="2"/>
      </rPr>
      <t>前</t>
    </r>
    <r>
      <rPr>
        <sz val="12"/>
        <rFont val="微軟正黑體"/>
        <family val="2"/>
        <charset val="136"/>
      </rPr>
      <t>馬達控制器系統是否有報故障碼，並應故障碼排除</t>
    </r>
    <phoneticPr fontId="28" type="noConversion"/>
  </si>
  <si>
    <r>
      <t>1.</t>
    </r>
    <r>
      <rPr>
        <sz val="12"/>
        <rFont val="微軟正黑體"/>
        <family val="2"/>
        <charset val="136"/>
      </rPr>
      <t>检查前区域控制器或者</t>
    </r>
    <r>
      <rPr>
        <sz val="12"/>
        <rFont val="Microsoft JhengHei"/>
        <family val="2"/>
      </rPr>
      <t>前</t>
    </r>
    <r>
      <rPr>
        <sz val="12"/>
        <rFont val="微軟正黑體"/>
        <family val="2"/>
        <charset val="136"/>
      </rPr>
      <t>马达控制器系统是否有报故障码，并应故障码排除</t>
    </r>
    <phoneticPr fontId="28" type="noConversion"/>
  </si>
  <si>
    <t>Monitor detect the Fr_MCU ready for precharge  timeout flag(VDMM_FrMCU4PreChk_flg)  from PMM</t>
    <phoneticPr fontId="28" type="noConversion"/>
  </si>
  <si>
    <t>Monitor not detect the Fr_MCU ready for precharge  timeout flag from PMM</t>
    <phoneticPr fontId="28" type="noConversion"/>
  </si>
  <si>
    <t>326</t>
  </si>
  <si>
    <t>U00E301</t>
    <phoneticPr fontId="28" type="noConversion"/>
  </si>
  <si>
    <t>0xC0E301</t>
    <phoneticPr fontId="28" type="noConversion"/>
  </si>
  <si>
    <t>Drive Motor Control Module - Rear "A" - General Circuit/Electrical Failure</t>
    <phoneticPr fontId="28" type="noConversion"/>
  </si>
  <si>
    <t>後馬達控制器準備預充電失效</t>
    <phoneticPr fontId="28" type="noConversion"/>
  </si>
  <si>
    <t>后马达控制器准备预充电失效</t>
    <phoneticPr fontId="28" type="noConversion"/>
  </si>
  <si>
    <r>
      <rPr>
        <sz val="12"/>
        <rFont val="Microsoft JhengHei"/>
        <family val="2"/>
      </rPr>
      <t>後</t>
    </r>
    <r>
      <rPr>
        <sz val="12"/>
        <rFont val="微軟正黑體"/>
        <family val="2"/>
        <charset val="136"/>
      </rPr>
      <t>馬達控制單元自檢異常</t>
    </r>
    <phoneticPr fontId="28" type="noConversion"/>
  </si>
  <si>
    <t>后马达控制单元自检异常</t>
    <phoneticPr fontId="28" type="noConversion"/>
  </si>
  <si>
    <r>
      <t>1.</t>
    </r>
    <r>
      <rPr>
        <sz val="12"/>
        <rFont val="微軟正黑體"/>
        <family val="2"/>
        <charset val="136"/>
      </rPr>
      <t>檢查前區域控制器或者</t>
    </r>
    <r>
      <rPr>
        <sz val="12"/>
        <rFont val="Microsoft JhengHei"/>
        <family val="2"/>
      </rPr>
      <t>後</t>
    </r>
    <r>
      <rPr>
        <sz val="12"/>
        <rFont val="微軟正黑體"/>
        <family val="2"/>
        <charset val="136"/>
      </rPr>
      <t>馬達控制器系統是否有報故障碼，並應故障碼排除</t>
    </r>
    <phoneticPr fontId="28" type="noConversion"/>
  </si>
  <si>
    <r>
      <t>1.</t>
    </r>
    <r>
      <rPr>
        <sz val="12"/>
        <rFont val="微軟正黑體"/>
        <family val="2"/>
        <charset val="136"/>
      </rPr>
      <t>检查前区域控制器或者后马达控制器系统是否有报故障码，并应故障码排除</t>
    </r>
    <phoneticPr fontId="28" type="noConversion"/>
  </si>
  <si>
    <t>Monitor detect the Rr_MCU ready for precharge  timeout flag(VDMM_RrMCU4PreChk_flg)  from PMM</t>
    <phoneticPr fontId="28" type="noConversion"/>
  </si>
  <si>
    <t>Monitor not detect the Rr_MCU ready for precharge  timeout flag from PMM</t>
    <phoneticPr fontId="28" type="noConversion"/>
  </si>
  <si>
    <t>327</t>
  </si>
  <si>
    <t>1. 控制器電源狀態異常
2. CAN線路異常
3. 控制器接頭連接異常
4. 軟體版本錯誤</t>
    <phoneticPr fontId="28" type="noConversion"/>
  </si>
  <si>
    <t>After 10 time(s) of above detection continuously. (Total time for decision = 1000ms)</t>
  </si>
  <si>
    <t>Monitor detect no lost comm with Zone_DR_VCU for 500ms continuously</t>
  </si>
  <si>
    <t>328</t>
  </si>
  <si>
    <t>Monitor detect no lost comm with Zone_FR_VCU for 500ms continuously</t>
  </si>
  <si>
    <t>329</t>
  </si>
  <si>
    <t>After 10 time(s) of above detection continuously. (Total time for decision = 5000ms)</t>
  </si>
  <si>
    <t>Monitor detect no lost comm with Shifter1 for 2500ms continuously</t>
  </si>
  <si>
    <t>330</t>
  </si>
  <si>
    <t>Detect lost comm from MCU_R1 for 50ms continuously</t>
  </si>
  <si>
    <t>Monitor detect no lost comm with MCU_R1 for 250ms continuously</t>
  </si>
  <si>
    <t>331</t>
  </si>
  <si>
    <r>
      <rPr>
        <sz val="12"/>
        <rFont val="微軟正黑體"/>
        <family val="2"/>
        <charset val="136"/>
      </rPr>
      <t>動態穩定控制</t>
    </r>
    <r>
      <rPr>
        <sz val="12"/>
        <rFont val="Arial"/>
        <family val="2"/>
      </rPr>
      <t xml:space="preserve">7 or 
</t>
    </r>
    <r>
      <rPr>
        <sz val="12"/>
        <rFont val="細明體"/>
        <family val="2"/>
        <charset val="136"/>
      </rPr>
      <t>動態穩定控制</t>
    </r>
    <r>
      <rPr>
        <sz val="12"/>
        <rFont val="Arial"/>
        <family val="2"/>
      </rPr>
      <t xml:space="preserve">1 or
</t>
    </r>
    <r>
      <rPr>
        <sz val="12"/>
        <rFont val="細明體"/>
        <family val="2"/>
        <charset val="136"/>
      </rPr>
      <t xml:space="preserve">動態穩定控制5 </t>
    </r>
    <r>
      <rPr>
        <sz val="12"/>
        <rFont val="Arial"/>
        <family val="2"/>
      </rPr>
      <t xml:space="preserve">or </t>
    </r>
    <r>
      <rPr>
        <sz val="12"/>
        <rFont val="細明體"/>
        <family val="2"/>
        <charset val="136"/>
      </rPr>
      <t xml:space="preserve">動態穩定控制4 </t>
    </r>
    <r>
      <rPr>
        <sz val="12"/>
        <rFont val="Arial"/>
        <family val="2"/>
      </rPr>
      <t xml:space="preserve">or
</t>
    </r>
    <r>
      <rPr>
        <sz val="12"/>
        <rFont val="細明體"/>
        <family val="2"/>
        <charset val="136"/>
      </rPr>
      <t xml:space="preserve">動態穩定控制2 </t>
    </r>
    <r>
      <rPr>
        <sz val="12"/>
        <rFont val="Arial"/>
        <family val="2"/>
      </rPr>
      <t xml:space="preserve">or
</t>
    </r>
    <r>
      <rPr>
        <sz val="12"/>
        <rFont val="細明體"/>
        <family val="2"/>
        <charset val="136"/>
      </rPr>
      <t>動態穩定控制3</t>
    </r>
    <r>
      <rPr>
        <sz val="12"/>
        <rFont val="微軟正黑體"/>
        <family val="2"/>
        <charset val="136"/>
      </rPr>
      <t>通訊超時</t>
    </r>
    <phoneticPr fontId="28" type="noConversion"/>
  </si>
  <si>
    <r>
      <rPr>
        <sz val="12"/>
        <rFont val="微軟正黑體"/>
        <family val="2"/>
        <charset val="136"/>
      </rPr>
      <t>动态稳定控制</t>
    </r>
    <r>
      <rPr>
        <sz val="12"/>
        <rFont val="Arial"/>
        <family val="2"/>
      </rPr>
      <t xml:space="preserve">7 or
</t>
    </r>
    <r>
      <rPr>
        <sz val="12"/>
        <rFont val="細明體"/>
        <family val="2"/>
        <charset val="136"/>
      </rPr>
      <t xml:space="preserve">动态稳定控制1 </t>
    </r>
    <r>
      <rPr>
        <sz val="12"/>
        <rFont val="Arial"/>
        <family val="2"/>
      </rPr>
      <t xml:space="preserve">or
</t>
    </r>
    <r>
      <rPr>
        <sz val="12"/>
        <rFont val="細明體"/>
        <family val="2"/>
        <charset val="136"/>
      </rPr>
      <t xml:space="preserve">动态稳定控制5 </t>
    </r>
    <r>
      <rPr>
        <sz val="12"/>
        <rFont val="Arial"/>
        <family val="2"/>
      </rPr>
      <t xml:space="preserve">or
</t>
    </r>
    <r>
      <rPr>
        <sz val="12"/>
        <rFont val="細明體"/>
        <family val="2"/>
        <charset val="136"/>
      </rPr>
      <t xml:space="preserve">动态稳定控制4 </t>
    </r>
    <r>
      <rPr>
        <sz val="12"/>
        <rFont val="Arial"/>
        <family val="2"/>
      </rPr>
      <t xml:space="preserve">or
</t>
    </r>
    <r>
      <rPr>
        <sz val="12"/>
        <rFont val="細明體"/>
        <family val="2"/>
        <charset val="136"/>
      </rPr>
      <t xml:space="preserve">动态稳定控制2 </t>
    </r>
    <r>
      <rPr>
        <sz val="12"/>
        <rFont val="Arial"/>
        <family val="2"/>
      </rPr>
      <t xml:space="preserve">or
</t>
    </r>
    <r>
      <rPr>
        <sz val="12"/>
        <rFont val="細明體"/>
        <family val="2"/>
        <charset val="136"/>
      </rPr>
      <t>动态稳定控制3</t>
    </r>
    <r>
      <rPr>
        <sz val="12"/>
        <rFont val="微軟正黑體"/>
        <family val="2"/>
        <charset val="136"/>
      </rPr>
      <t>通讯超时</t>
    </r>
    <phoneticPr fontId="28" type="noConversion"/>
  </si>
  <si>
    <t>Detect lost comm from ESC7 or ESC1 or ESC5 or ESC4 or ESC2 or ESC3 for 50ms continuously</t>
    <phoneticPr fontId="28" type="noConversion"/>
  </si>
  <si>
    <t>Monitor detect no lost comm with ESC7 and ESC1 and ESC5 and ESC4 and ESC2 and ESC3 for 250ms continuously</t>
    <phoneticPr fontId="28" type="noConversion"/>
  </si>
  <si>
    <t>332</t>
  </si>
  <si>
    <r>
      <rPr>
        <sz val="12"/>
        <rFont val="微軟正黑體"/>
        <family val="2"/>
        <charset val="136"/>
      </rPr>
      <t>左前感測器</t>
    </r>
    <r>
      <rPr>
        <sz val="12"/>
        <rFont val="Arial"/>
        <family val="2"/>
      </rPr>
      <t xml:space="preserve">or
</t>
    </r>
    <r>
      <rPr>
        <sz val="12"/>
        <rFont val="Microsoft JhengHei"/>
        <family val="2"/>
      </rPr>
      <t>右</t>
    </r>
    <r>
      <rPr>
        <sz val="12"/>
        <rFont val="細明體"/>
        <family val="2"/>
        <charset val="136"/>
      </rPr>
      <t>前感測器</t>
    </r>
    <r>
      <rPr>
        <sz val="12"/>
        <rFont val="Arial"/>
        <family val="2"/>
      </rPr>
      <t xml:space="preserve">or
</t>
    </r>
    <r>
      <rPr>
        <sz val="12"/>
        <rFont val="細明體"/>
        <family val="2"/>
        <charset val="136"/>
      </rPr>
      <t>左</t>
    </r>
    <r>
      <rPr>
        <sz val="12"/>
        <rFont val="Microsoft JhengHei"/>
        <family val="2"/>
      </rPr>
      <t>後</t>
    </r>
    <r>
      <rPr>
        <sz val="12"/>
        <rFont val="細明體"/>
        <family val="2"/>
        <charset val="136"/>
      </rPr>
      <t>感測器</t>
    </r>
    <r>
      <rPr>
        <sz val="12"/>
        <rFont val="Arial"/>
        <family val="2"/>
      </rPr>
      <t xml:space="preserve">or
</t>
    </r>
    <r>
      <rPr>
        <sz val="12"/>
        <rFont val="Microsoft JhengHei"/>
        <family val="2"/>
      </rPr>
      <t>右後</t>
    </r>
    <r>
      <rPr>
        <sz val="12"/>
        <rFont val="細明體"/>
        <family val="2"/>
        <charset val="136"/>
      </rPr>
      <t>感測器</t>
    </r>
    <r>
      <rPr>
        <sz val="12"/>
        <rFont val="微軟正黑體"/>
        <family val="2"/>
        <charset val="136"/>
      </rPr>
      <t>接收中斷</t>
    </r>
    <phoneticPr fontId="28" type="noConversion"/>
  </si>
  <si>
    <t>左前传感器or
右前传感器or
左后传感器or
右后传感器接收中断</t>
    <phoneticPr fontId="28" type="noConversion"/>
  </si>
  <si>
    <t>Left Forward Sensor signal or Right Forward Sensor signal or Left Rear Sensor signal or Right Rear Sensor signal has lost for continue 8 minutes when the car speed was bigger and equal than 25km.</t>
    <phoneticPr fontId="28" type="noConversion"/>
  </si>
  <si>
    <t>Left Forward Sensor signal and Right Forward Sensor signal and Left Rear Sensor signal and Right Rear Sensor signal is received again.</t>
    <phoneticPr fontId="28" type="noConversion"/>
  </si>
  <si>
    <t>333</t>
  </si>
  <si>
    <t>1. 控制器電源狀態異常
2. 控制器接頭連接異常
3. 軟體版本錯誤</t>
    <phoneticPr fontId="28" type="noConversion"/>
  </si>
  <si>
    <t>Monitor detect no lost comm with EPB1 for 250ms continuously</t>
  </si>
  <si>
    <t>334</t>
  </si>
  <si>
    <r>
      <rPr>
        <sz val="12"/>
        <rFont val="微軟正黑體"/>
        <family val="2"/>
        <charset val="136"/>
      </rPr>
      <t>電子輔助轉向</t>
    </r>
    <r>
      <rPr>
        <sz val="12"/>
        <rFont val="Arial"/>
        <family val="2"/>
      </rPr>
      <t xml:space="preserve">2 </t>
    </r>
    <r>
      <rPr>
        <sz val="12"/>
        <rFont val="微軟正黑體"/>
        <family val="2"/>
        <charset val="136"/>
      </rPr>
      <t>通訊超時</t>
    </r>
    <phoneticPr fontId="28" type="noConversion"/>
  </si>
  <si>
    <t>Monitor detect no lost comm with EPAS2 for 250ms continuously</t>
  </si>
  <si>
    <t>335</t>
  </si>
  <si>
    <r>
      <t>VCU</t>
    </r>
    <r>
      <rPr>
        <sz val="12"/>
        <rFont val="微軟正黑體"/>
        <family val="2"/>
        <charset val="136"/>
      </rPr>
      <t>接收</t>
    </r>
    <r>
      <rPr>
        <sz val="12"/>
        <rFont val="Arial"/>
        <family val="2"/>
      </rPr>
      <t>BMS6 or BMS1</t>
    </r>
    <r>
      <rPr>
        <sz val="12"/>
        <rFont val="微軟正黑體"/>
        <family val="2"/>
        <charset val="136"/>
      </rPr>
      <t>訊息丟失</t>
    </r>
    <phoneticPr fontId="28" type="noConversion"/>
  </si>
  <si>
    <r>
      <t>VCU</t>
    </r>
    <r>
      <rPr>
        <sz val="12"/>
        <rFont val="微軟正黑體"/>
        <family val="2"/>
        <charset val="136"/>
      </rPr>
      <t>接收</t>
    </r>
    <r>
      <rPr>
        <sz val="12"/>
        <rFont val="Arial"/>
        <family val="2"/>
      </rPr>
      <t>BMS6 or BMS1</t>
    </r>
    <r>
      <rPr>
        <sz val="12"/>
        <rFont val="微軟正黑體"/>
        <family val="2"/>
        <charset val="136"/>
      </rPr>
      <t>讯息丢失</t>
    </r>
    <phoneticPr fontId="28" type="noConversion"/>
  </si>
  <si>
    <t>Monitor detect lost communication  from BMS6 or BMS1 for 500ms continuously</t>
    <phoneticPr fontId="28" type="noConversion"/>
  </si>
  <si>
    <t xml:space="preserve">After 2 time(s) of above detection continuously. (Total time for decision = 1000ms)
</t>
  </si>
  <si>
    <t>Monitor detect not lost communication  from BMS6 and BMS1 for 1000ms continuously</t>
    <phoneticPr fontId="28" type="noConversion"/>
  </si>
  <si>
    <t>336</t>
  </si>
  <si>
    <r>
      <rPr>
        <sz val="12"/>
        <rFont val="微軟正黑體"/>
        <family val="2"/>
        <charset val="136"/>
      </rPr>
      <t>前鏡頭模組</t>
    </r>
    <r>
      <rPr>
        <sz val="12"/>
        <rFont val="Arial"/>
        <family val="2"/>
      </rPr>
      <t xml:space="preserve">2 or </t>
    </r>
    <r>
      <rPr>
        <sz val="12"/>
        <rFont val="微軟正黑體"/>
        <family val="2"/>
        <charset val="136"/>
      </rPr>
      <t xml:space="preserve">鏡頭模組3 </t>
    </r>
    <r>
      <rPr>
        <sz val="12"/>
        <rFont val="Arial"/>
        <family val="2"/>
      </rPr>
      <t xml:space="preserve">or </t>
    </r>
    <r>
      <rPr>
        <sz val="12"/>
        <rFont val="微軟正黑體"/>
        <family val="2"/>
        <charset val="136"/>
      </rPr>
      <t xml:space="preserve">鏡頭模組4 </t>
    </r>
    <r>
      <rPr>
        <sz val="12"/>
        <rFont val="Arial"/>
        <family val="2"/>
      </rPr>
      <t xml:space="preserve">or </t>
    </r>
    <r>
      <rPr>
        <sz val="12"/>
        <rFont val="微軟正黑體"/>
        <family val="2"/>
        <charset val="136"/>
      </rPr>
      <t>鏡頭模組5 通訊超時</t>
    </r>
    <phoneticPr fontId="28" type="noConversion"/>
  </si>
  <si>
    <r>
      <rPr>
        <sz val="12"/>
        <rFont val="微軟正黑體"/>
        <family val="2"/>
        <charset val="136"/>
      </rPr>
      <t>前镜头模块</t>
    </r>
    <r>
      <rPr>
        <sz val="12"/>
        <rFont val="Arial"/>
        <family val="2"/>
      </rPr>
      <t xml:space="preserve">2 or </t>
    </r>
    <r>
      <rPr>
        <sz val="12"/>
        <rFont val="微軟正黑體"/>
        <family val="2"/>
        <charset val="136"/>
      </rPr>
      <t xml:space="preserve">前镜头模块3 </t>
    </r>
    <r>
      <rPr>
        <sz val="12"/>
        <rFont val="Arial"/>
        <family val="2"/>
      </rPr>
      <t xml:space="preserve">or </t>
    </r>
    <r>
      <rPr>
        <sz val="12"/>
        <rFont val="微軟正黑體"/>
        <family val="2"/>
        <charset val="136"/>
      </rPr>
      <t xml:space="preserve">前镜头模块4 </t>
    </r>
    <r>
      <rPr>
        <sz val="12"/>
        <rFont val="Arial"/>
        <family val="2"/>
      </rPr>
      <t xml:space="preserve">or </t>
    </r>
    <r>
      <rPr>
        <sz val="12"/>
        <rFont val="微軟正黑體"/>
        <family val="2"/>
        <charset val="136"/>
      </rPr>
      <t>前镜头模块5 通讯超时</t>
    </r>
    <phoneticPr fontId="28" type="noConversion"/>
  </si>
  <si>
    <t>Detect lost comm from FCM2 or FCM3 or FCM4 or FCM5 for 50ms continuously</t>
    <phoneticPr fontId="28" type="noConversion"/>
  </si>
  <si>
    <t>Monitor detect no lost comm with FCM2 and FCM3 and FCM4 and FCM5 for 250ms continuously</t>
    <phoneticPr fontId="28" type="noConversion"/>
  </si>
  <si>
    <t>337</t>
  </si>
  <si>
    <r>
      <t>VCU</t>
    </r>
    <r>
      <rPr>
        <sz val="12"/>
        <rFont val="微軟正黑體"/>
        <family val="2"/>
        <charset val="136"/>
      </rPr>
      <t>接收</t>
    </r>
    <r>
      <rPr>
        <sz val="12"/>
        <rFont val="Arial"/>
        <family val="2"/>
      </rPr>
      <t>CCU1 or CCU2</t>
    </r>
    <r>
      <rPr>
        <sz val="12"/>
        <rFont val="微軟正黑體"/>
        <family val="2"/>
        <charset val="136"/>
      </rPr>
      <t>訊息丟失</t>
    </r>
    <phoneticPr fontId="28" type="noConversion"/>
  </si>
  <si>
    <r>
      <t>VCU</t>
    </r>
    <r>
      <rPr>
        <sz val="12"/>
        <rFont val="微軟正黑體"/>
        <family val="2"/>
        <charset val="136"/>
      </rPr>
      <t>接收</t>
    </r>
    <r>
      <rPr>
        <sz val="12"/>
        <rFont val="Arial"/>
        <family val="2"/>
      </rPr>
      <t>CCU1 or CCU2</t>
    </r>
    <r>
      <rPr>
        <sz val="12"/>
        <rFont val="微軟正黑體"/>
        <family val="2"/>
        <charset val="136"/>
      </rPr>
      <t>讯息丢失</t>
    </r>
    <phoneticPr fontId="28" type="noConversion"/>
  </si>
  <si>
    <t>Monitor detect lost communication from CCU1 or CCU2 for 50ms continuously</t>
    <phoneticPr fontId="28" type="noConversion"/>
  </si>
  <si>
    <t>After 5 time(s) of above detection continuously. (Total time for decision = 250ms)</t>
  </si>
  <si>
    <t>Monitor detect not lost communication from CCU1 and CCU2 for 250ms continuously</t>
    <phoneticPr fontId="28" type="noConversion"/>
  </si>
  <si>
    <t>338</t>
  </si>
  <si>
    <t>Detect lost comm from MCU_F1 for 50ms continuously</t>
  </si>
  <si>
    <t>Monitor detect no lost comm with MCU_F1 for 250ms continuously</t>
  </si>
  <si>
    <t>339</t>
  </si>
  <si>
    <t>Monitor detect  lost communication from CCU1 or CCU2 for 50ms continuously</t>
    <phoneticPr fontId="28" type="noConversion"/>
  </si>
  <si>
    <t>340</t>
  </si>
  <si>
    <t>341</t>
  </si>
  <si>
    <t>1. DKC金鑰與VCU配對失敗
2. 通訊異常</t>
    <phoneticPr fontId="28" type="noConversion"/>
  </si>
  <si>
    <t>Vehicle power state =
ON (AND)
Brake pedal press</t>
  </si>
  <si>
    <t>342</t>
  </si>
  <si>
    <t>Door Switch "A" - General Circuit/Electrical Failure</t>
    <phoneticPr fontId="45" type="noConversion"/>
  </si>
  <si>
    <t>Switch failure</t>
    <phoneticPr fontId="28" type="noConversion"/>
  </si>
  <si>
    <t>開關故障</t>
    <phoneticPr fontId="28" type="noConversion"/>
  </si>
  <si>
    <t>Monitor detect status of FL door switch changed frequently, cycle less than 200msec  for 1 sec continuously.</t>
  </si>
  <si>
    <t>343</t>
  </si>
  <si>
    <t>Door Switch "B" - General Circuit/Electrical Failure</t>
    <phoneticPr fontId="45" type="noConversion"/>
  </si>
  <si>
    <t xml:space="preserve">Switch failure </t>
    <phoneticPr fontId="28" type="noConversion"/>
  </si>
  <si>
    <t>Monitor detect status of FR door switch changed frequently, cycle less than 200msec  for 1 sec continuously.</t>
  </si>
  <si>
    <t>344</t>
  </si>
  <si>
    <t>Door Switch "C" - General Circuit/Electrical Failure</t>
    <phoneticPr fontId="45" type="noConversion"/>
  </si>
  <si>
    <t>Monitor detect status of RL door switch changed frequently, cycle less than 200msec for 1 sec continuously.</t>
  </si>
  <si>
    <t>345</t>
  </si>
  <si>
    <t>Door Switch "D" - General Circuit/Electrical Failure</t>
    <phoneticPr fontId="45" type="noConversion"/>
  </si>
  <si>
    <t>Monitor detect status of RR door switch changed frequently, cycle less than 200msec for 1 sec continuously.</t>
  </si>
  <si>
    <t>346</t>
  </si>
  <si>
    <t>U079801</t>
    <phoneticPr fontId="28" type="noConversion"/>
  </si>
  <si>
    <t>0xC79801</t>
    <phoneticPr fontId="28" type="noConversion"/>
  </si>
  <si>
    <t>DC/DC Converter Control Module "A" - General Circuit/Electrical Failure</t>
    <phoneticPr fontId="28" type="noConversion"/>
  </si>
  <si>
    <t>347</t>
  </si>
  <si>
    <t>U08BF04</t>
    <phoneticPr fontId="28" type="noConversion"/>
  </si>
  <si>
    <t>0xC8BF04</t>
    <phoneticPr fontId="28" type="noConversion"/>
  </si>
  <si>
    <t>Battery Management Control Module "A" - System Internal Failure</t>
    <phoneticPr fontId="28" type="noConversion"/>
  </si>
  <si>
    <t>348</t>
  </si>
  <si>
    <t>U08BF92</t>
    <phoneticPr fontId="28" type="noConversion"/>
  </si>
  <si>
    <t>0xC8BF92</t>
    <phoneticPr fontId="28" type="noConversion"/>
  </si>
  <si>
    <t>Battery Management Control Module "A" - Performance or Incorrect Operation</t>
    <phoneticPr fontId="28" type="noConversion"/>
  </si>
  <si>
    <t>Detect 
BMS_Warn_8 = Fault (OR)
BMS_Warn_7 = Fault (OR)
BMS_Warn_6 = Fault (OR)
BMS_Warn_5 = Fault (OR)
BMS_Warn_4 = Fault (OR)
BMS_Warn_3 = Fault (OR)
BMS_Warn_2 = Fault (OR)
BMS_Warn_1 = Fault 
for 250ms continuously</t>
  </si>
  <si>
    <t>Detect 
BMS_Warn_8 = No Fault(OR)
BMS_Warn_7 = No Fault(OR)
BMS_Warn_6 = No Fault(OR)
BMS_Warn_5 = No Fault(OR)
BMS_Warn_4 = No Fault(OR)
BMS_Warn_3 = No Fault(OR)
BMS_Warn_2 = No Fault(OR)
BMS_Warn_1 = No Fault
for 1250ms continuously</t>
  </si>
  <si>
    <t>349</t>
  </si>
  <si>
    <t>U3003A2</t>
    <phoneticPr fontId="28" type="noConversion"/>
  </si>
  <si>
    <t>0xF003A2</t>
    <phoneticPr fontId="28" type="noConversion"/>
  </si>
  <si>
    <t>Battery Voltage - System Voltage Low</t>
    <phoneticPr fontId="28" type="noConversion"/>
  </si>
  <si>
    <t>Monitor detect FD ECU B+ ADC input voltage &lt; 9.5V for 5s continuously</t>
  </si>
  <si>
    <t xml:space="preserve">Vehicle power state = Stnadby (AND) 
No CAN Loss of BMS2 detected </t>
  </si>
  <si>
    <t>350</t>
  </si>
  <si>
    <t>P0A9493</t>
    <phoneticPr fontId="28" type="noConversion"/>
  </si>
  <si>
    <t>0x0A9493</t>
    <phoneticPr fontId="28" type="noConversion"/>
  </si>
  <si>
    <t>DC/DC Converter - No Operation</t>
    <phoneticPr fontId="28" type="noConversion"/>
  </si>
  <si>
    <t>351</t>
  </si>
  <si>
    <t>P0A9494</t>
  </si>
  <si>
    <t>0x0A9494</t>
  </si>
  <si>
    <t>DC/DC Converter - Unexpected Operation</t>
    <phoneticPr fontId="28" type="noConversion"/>
  </si>
  <si>
    <t>352</t>
  </si>
  <si>
    <t>P085D83</t>
    <phoneticPr fontId="28" type="noConversion"/>
  </si>
  <si>
    <t>0x085D83</t>
    <phoneticPr fontId="28" type="noConversion"/>
  </si>
  <si>
    <t>Invalid Data Received From Gear Shift Control Module "A" - Value of Signal Protection Calculation Incorrect</t>
  </si>
  <si>
    <t>checksum match from Shifter1 for 2500ms continuously</t>
  </si>
  <si>
    <t>353</t>
  </si>
  <si>
    <t>U081083</t>
    <phoneticPr fontId="28" type="noConversion"/>
  </si>
  <si>
    <t>0xC81083</t>
    <phoneticPr fontId="28" type="noConversion"/>
  </si>
  <si>
    <t>Invalid Data Received From Drive Motor Control Module "A" - Value of Signal Protection Calculation Incorrect</t>
    <phoneticPr fontId="28" type="noConversion"/>
  </si>
  <si>
    <t>Detect checksum incorrect from MCU_R1 for 50ms continuously</t>
  </si>
  <si>
    <t>No CAN BUS-OFF detected (AND)
No CAN Loss of MCU_R1 detected (AND)
Vehicle power state ~= OFF (AND)
Drivetrain ~= FWD</t>
  </si>
  <si>
    <t>Monitor detect checksum correct from MCU_R1 for 250ms continuously</t>
  </si>
  <si>
    <t>354</t>
  </si>
  <si>
    <t>P085D87</t>
    <phoneticPr fontId="28" type="noConversion"/>
  </si>
  <si>
    <t>0x085D87</t>
    <phoneticPr fontId="28" type="noConversion"/>
  </si>
  <si>
    <t>Invalid Data Received From Gear Shift Control Module "A" - Missing Message</t>
  </si>
  <si>
    <t>life counter continuous from Shifter1 for 2500ms</t>
  </si>
  <si>
    <t>355</t>
  </si>
  <si>
    <t>U081087</t>
    <phoneticPr fontId="28" type="noConversion"/>
  </si>
  <si>
    <t>0xC81087</t>
    <phoneticPr fontId="28" type="noConversion"/>
  </si>
  <si>
    <t>Invalid Data Received From Drive Motor Control Module "A" - Missing Message</t>
  </si>
  <si>
    <r>
      <rPr>
        <sz val="12"/>
        <rFont val="微軟正黑體"/>
        <family val="2"/>
        <charset val="136"/>
      </rPr>
      <t>后电机控制器</t>
    </r>
    <r>
      <rPr>
        <sz val="12"/>
        <rFont val="Arial"/>
        <family val="2"/>
      </rPr>
      <t xml:space="preserve">1 life count </t>
    </r>
    <r>
      <rPr>
        <sz val="12"/>
        <rFont val="微軟正黑體"/>
        <family val="2"/>
        <charset val="136"/>
      </rPr>
      <t>错误</t>
    </r>
    <phoneticPr fontId="28" type="noConversion"/>
  </si>
  <si>
    <t>Detect life counter discontinuous from MCU_R1 for 50ms continuously</t>
  </si>
  <si>
    <t>No CAN BUS-OFF detected (AND)
No CAN Loss of MCU_R1 detected (AND)
Vehicle power state ~= OFF</t>
  </si>
  <si>
    <t>Monitor detect life counter continue from MCU_R1 for 250ms continuously</t>
  </si>
  <si>
    <t>356</t>
  </si>
  <si>
    <t>U082283</t>
    <phoneticPr fontId="28" type="noConversion"/>
  </si>
  <si>
    <t>0xC82283</t>
    <phoneticPr fontId="28" type="noConversion"/>
  </si>
  <si>
    <t>Invalid Data Received From Vehicle Dynamics Control Module - Value of Signal Protection Calculation Incorrect</t>
    <phoneticPr fontId="28" type="noConversion"/>
  </si>
  <si>
    <r>
      <rPr>
        <sz val="12"/>
        <rFont val="微軟正黑體"/>
        <family val="2"/>
        <charset val="136"/>
      </rPr>
      <t>動態穩定控制</t>
    </r>
    <r>
      <rPr>
        <sz val="12"/>
        <rFont val="Arial"/>
        <family val="2"/>
      </rPr>
      <t xml:space="preserve">7 or
</t>
    </r>
    <r>
      <rPr>
        <sz val="12"/>
        <rFont val="細明體"/>
        <family val="2"/>
        <charset val="136"/>
      </rPr>
      <t xml:space="preserve">動態穩定控制1 </t>
    </r>
    <r>
      <rPr>
        <sz val="12"/>
        <rFont val="Arial"/>
        <family val="2"/>
      </rPr>
      <t xml:space="preserve">or
</t>
    </r>
    <r>
      <rPr>
        <sz val="12"/>
        <rFont val="細明體"/>
        <family val="2"/>
        <charset val="136"/>
      </rPr>
      <t xml:space="preserve">動態穩定控制5 </t>
    </r>
    <r>
      <rPr>
        <sz val="12"/>
        <rFont val="Arial"/>
        <family val="2"/>
      </rPr>
      <t xml:space="preserve">or
</t>
    </r>
    <r>
      <rPr>
        <sz val="12"/>
        <rFont val="細明體"/>
        <family val="2"/>
        <charset val="136"/>
      </rPr>
      <t xml:space="preserve">動態穩定控制2 </t>
    </r>
    <r>
      <rPr>
        <sz val="12"/>
        <rFont val="Arial"/>
        <family val="2"/>
      </rPr>
      <t xml:space="preserve">or
</t>
    </r>
    <r>
      <rPr>
        <sz val="12"/>
        <rFont val="細明體"/>
        <family val="2"/>
        <charset val="136"/>
      </rPr>
      <t xml:space="preserve">動態穩定控制3
</t>
    </r>
    <r>
      <rPr>
        <sz val="12"/>
        <rFont val="Arial"/>
        <family val="2"/>
      </rPr>
      <t xml:space="preserve"> checksum </t>
    </r>
    <r>
      <rPr>
        <sz val="12"/>
        <rFont val="微軟正黑體"/>
        <family val="2"/>
        <charset val="136"/>
      </rPr>
      <t>錯誤</t>
    </r>
    <phoneticPr fontId="28" type="noConversion"/>
  </si>
  <si>
    <r>
      <rPr>
        <sz val="12"/>
        <rFont val="微軟正黑體"/>
        <family val="2"/>
        <charset val="136"/>
      </rPr>
      <t>动态稳定控制器</t>
    </r>
    <r>
      <rPr>
        <sz val="12"/>
        <rFont val="Arial"/>
        <family val="2"/>
      </rPr>
      <t xml:space="preserve">7 or
</t>
    </r>
    <r>
      <rPr>
        <sz val="12"/>
        <rFont val="細明體"/>
        <family val="2"/>
        <charset val="136"/>
      </rPr>
      <t xml:space="preserve">动态稳定控制器1 </t>
    </r>
    <r>
      <rPr>
        <sz val="12"/>
        <rFont val="Arial"/>
        <family val="2"/>
      </rPr>
      <t xml:space="preserve">or
</t>
    </r>
    <r>
      <rPr>
        <sz val="12"/>
        <rFont val="細明體"/>
        <family val="2"/>
        <charset val="136"/>
      </rPr>
      <t xml:space="preserve">动态稳定控制器5 </t>
    </r>
    <r>
      <rPr>
        <sz val="12"/>
        <rFont val="Arial"/>
        <family val="2"/>
      </rPr>
      <t xml:space="preserve">or
</t>
    </r>
    <r>
      <rPr>
        <sz val="12"/>
        <rFont val="細明體"/>
        <family val="2"/>
        <charset val="136"/>
      </rPr>
      <t xml:space="preserve">动态稳定控制器2 </t>
    </r>
    <r>
      <rPr>
        <sz val="12"/>
        <rFont val="Arial"/>
        <family val="2"/>
      </rPr>
      <t xml:space="preserve">or
</t>
    </r>
    <r>
      <rPr>
        <sz val="12"/>
        <rFont val="細明體"/>
        <family val="2"/>
        <charset val="136"/>
      </rPr>
      <t>动态稳定控制器3</t>
    </r>
    <r>
      <rPr>
        <sz val="12"/>
        <rFont val="Arial"/>
        <family val="2"/>
      </rPr>
      <t xml:space="preserve"> checksum</t>
    </r>
    <r>
      <rPr>
        <sz val="12"/>
        <rFont val="微軟正黑體"/>
        <family val="2"/>
        <charset val="136"/>
      </rPr>
      <t>错误</t>
    </r>
    <phoneticPr fontId="28" type="noConversion"/>
  </si>
  <si>
    <t>Detect checksum incorrect from ESC7 or ESC1 or ESC5 or ESC2 ESC3 for 50ms continuously</t>
    <phoneticPr fontId="28" type="noConversion"/>
  </si>
  <si>
    <t>No CAN BUS-OFF detected (AND)
No CAN Loss of ESC7 and ESC1 and ESC5 and ESC2 and ESC3 detected (AND) Vehicle power state ~= OFF</t>
    <phoneticPr fontId="28" type="noConversion"/>
  </si>
  <si>
    <t>Monitor detect checksum continue from ESC7 and ESC1 and ESC5 and ESC2 and ESC3 for 250ms continuously</t>
    <phoneticPr fontId="28" type="noConversion"/>
  </si>
  <si>
    <t>357</t>
  </si>
  <si>
    <t>U082287</t>
    <phoneticPr fontId="28" type="noConversion"/>
  </si>
  <si>
    <t>0xC82287</t>
    <phoneticPr fontId="28" type="noConversion"/>
  </si>
  <si>
    <t>Invalid Data Received From Vehicle Dynamics Control Module - Missing Message</t>
    <phoneticPr fontId="28" type="noConversion"/>
  </si>
  <si>
    <r>
      <rPr>
        <sz val="12"/>
        <rFont val="微軟正黑體"/>
        <family val="2"/>
        <charset val="136"/>
      </rPr>
      <t>動態穩定控制</t>
    </r>
    <r>
      <rPr>
        <sz val="12"/>
        <rFont val="Arial"/>
        <family val="2"/>
      </rPr>
      <t xml:space="preserve">7 or  </t>
    </r>
    <r>
      <rPr>
        <sz val="12"/>
        <rFont val="細明體"/>
        <family val="2"/>
        <charset val="136"/>
      </rPr>
      <t>動態穩定控制</t>
    </r>
    <r>
      <rPr>
        <sz val="12"/>
        <rFont val="Arial"/>
        <family val="2"/>
      </rPr>
      <t xml:space="preserve">1 or
</t>
    </r>
    <r>
      <rPr>
        <sz val="12"/>
        <rFont val="細明體"/>
        <family val="2"/>
        <charset val="136"/>
      </rPr>
      <t>動態穩定控制</t>
    </r>
    <r>
      <rPr>
        <sz val="12"/>
        <rFont val="Arial"/>
        <family val="2"/>
      </rPr>
      <t xml:space="preserve">5 or
</t>
    </r>
    <r>
      <rPr>
        <sz val="12"/>
        <rFont val="細明體"/>
        <family val="2"/>
        <charset val="136"/>
      </rPr>
      <t>動態穩定控制</t>
    </r>
    <r>
      <rPr>
        <sz val="12"/>
        <rFont val="Arial"/>
        <family val="2"/>
      </rPr>
      <t xml:space="preserve">2 or
</t>
    </r>
    <r>
      <rPr>
        <sz val="12"/>
        <rFont val="細明體"/>
        <family val="2"/>
        <charset val="136"/>
      </rPr>
      <t>動態穩定控制</t>
    </r>
    <r>
      <rPr>
        <sz val="12"/>
        <rFont val="Arial"/>
        <family val="2"/>
      </rPr>
      <t xml:space="preserve">3 life count </t>
    </r>
    <r>
      <rPr>
        <sz val="12"/>
        <rFont val="微軟正黑體"/>
        <family val="2"/>
        <charset val="136"/>
      </rPr>
      <t>錯誤</t>
    </r>
    <phoneticPr fontId="28" type="noConversion"/>
  </si>
  <si>
    <r>
      <rPr>
        <sz val="12"/>
        <rFont val="微軟正黑體"/>
        <family val="2"/>
        <charset val="136"/>
      </rPr>
      <t>动态稳定控制器</t>
    </r>
    <r>
      <rPr>
        <sz val="12"/>
        <rFont val="Arial"/>
        <family val="2"/>
      </rPr>
      <t xml:space="preserve">7 or
</t>
    </r>
    <r>
      <rPr>
        <sz val="12"/>
        <rFont val="細明體"/>
        <family val="2"/>
        <charset val="136"/>
      </rPr>
      <t>动态稳定控制器</t>
    </r>
    <r>
      <rPr>
        <sz val="12"/>
        <rFont val="Arial"/>
        <family val="2"/>
      </rPr>
      <t xml:space="preserve">1 or
</t>
    </r>
    <r>
      <rPr>
        <sz val="12"/>
        <rFont val="細明體"/>
        <family val="2"/>
        <charset val="136"/>
      </rPr>
      <t>动态稳定控制器</t>
    </r>
    <r>
      <rPr>
        <sz val="12"/>
        <rFont val="Arial"/>
        <family val="2"/>
      </rPr>
      <t xml:space="preserve">5 or
</t>
    </r>
    <r>
      <rPr>
        <sz val="12"/>
        <rFont val="細明體"/>
        <family val="2"/>
        <charset val="136"/>
      </rPr>
      <t>动态稳定控制器</t>
    </r>
    <r>
      <rPr>
        <sz val="12"/>
        <rFont val="Arial"/>
        <family val="2"/>
      </rPr>
      <t xml:space="preserve">2 or
</t>
    </r>
    <r>
      <rPr>
        <sz val="12"/>
        <rFont val="細明體"/>
        <family val="2"/>
        <charset val="136"/>
      </rPr>
      <t>动态稳定控制器</t>
    </r>
    <r>
      <rPr>
        <sz val="12"/>
        <rFont val="Arial"/>
        <family val="2"/>
      </rPr>
      <t xml:space="preserve">3 life count </t>
    </r>
    <r>
      <rPr>
        <sz val="12"/>
        <rFont val="微軟正黑體"/>
        <family val="2"/>
        <charset val="136"/>
      </rPr>
      <t>错误</t>
    </r>
    <phoneticPr fontId="28" type="noConversion"/>
  </si>
  <si>
    <t>Detect life counter discontinuous from ESC7 or ESC1 or ESC5 or ESC2 ESC3 for 50ms continuously</t>
    <phoneticPr fontId="28" type="noConversion"/>
  </si>
  <si>
    <t>No CAN BUS-OFF detected (AND)
No CAN Loss of ESC7 and ESC1 and ESC5 and ESC2 and ESC3 detected (AND)
Vehicle power state ~= OFF</t>
    <phoneticPr fontId="28" type="noConversion"/>
  </si>
  <si>
    <t>Monitor detect life counter continue from ESC7 and ESC1 and ESC5 and ESC2 and ESC3 for 250ms continuously</t>
    <phoneticPr fontId="28" type="noConversion"/>
  </si>
  <si>
    <t>358</t>
  </si>
  <si>
    <t>U082883</t>
    <phoneticPr fontId="28" type="noConversion"/>
  </si>
  <si>
    <t>0xC82883</t>
    <phoneticPr fontId="28" type="noConversion"/>
  </si>
  <si>
    <t>Invalid Data Received From Park Brake Control Module - Value of Signal Protection Calculation Incorrect</t>
    <phoneticPr fontId="28" type="noConversion"/>
  </si>
  <si>
    <r>
      <rPr>
        <sz val="12"/>
        <rFont val="微軟正黑體"/>
        <family val="2"/>
        <charset val="136"/>
      </rPr>
      <t>電子駐剎車</t>
    </r>
    <r>
      <rPr>
        <sz val="12"/>
        <rFont val="Arial"/>
        <family val="2"/>
      </rPr>
      <t xml:space="preserve">1 checksum </t>
    </r>
    <r>
      <rPr>
        <sz val="12"/>
        <rFont val="微軟正黑體"/>
        <family val="2"/>
        <charset val="136"/>
      </rPr>
      <t>錯誤</t>
    </r>
    <phoneticPr fontId="28" type="noConversion"/>
  </si>
  <si>
    <t>Monitor detect checksum continue from EPB1 for 250ms continuously</t>
  </si>
  <si>
    <t>359</t>
  </si>
  <si>
    <r>
      <rPr>
        <sz val="12"/>
        <rFont val="微軟正黑體"/>
        <family val="2"/>
        <charset val="136"/>
      </rPr>
      <t>電子駐剎車</t>
    </r>
    <r>
      <rPr>
        <sz val="12"/>
        <rFont val="Arial"/>
        <family val="2"/>
      </rPr>
      <t xml:space="preserve">1 life count </t>
    </r>
    <r>
      <rPr>
        <sz val="12"/>
        <rFont val="微軟正黑體"/>
        <family val="2"/>
        <charset val="136"/>
      </rPr>
      <t>錯誤</t>
    </r>
    <phoneticPr fontId="28" type="noConversion"/>
  </si>
  <si>
    <t>Monitor detect life counter continue from EPB1 for 250ms continuously</t>
  </si>
  <si>
    <t>360</t>
  </si>
  <si>
    <t>C05D683</t>
    <phoneticPr fontId="28" type="noConversion"/>
  </si>
  <si>
    <t>0x45D683</t>
    <phoneticPr fontId="28" type="noConversion"/>
  </si>
  <si>
    <t>Invalid Data Received From Power Steering Control Module "A" - Value of Signal Protection Calculation Incorrect</t>
    <phoneticPr fontId="28" type="noConversion"/>
  </si>
  <si>
    <r>
      <rPr>
        <sz val="12"/>
        <rFont val="微軟正黑體"/>
        <family val="2"/>
        <charset val="136"/>
      </rPr>
      <t>電子輔助轉向</t>
    </r>
    <r>
      <rPr>
        <sz val="12"/>
        <rFont val="Arial"/>
        <family val="2"/>
      </rPr>
      <t xml:space="preserve">2 checksum </t>
    </r>
    <r>
      <rPr>
        <sz val="12"/>
        <rFont val="微軟正黑體"/>
        <family val="2"/>
        <charset val="136"/>
      </rPr>
      <t>錯誤</t>
    </r>
    <phoneticPr fontId="28" type="noConversion"/>
  </si>
  <si>
    <t>Monitor detect checksum continue from EPAS2 for 250ms continuously</t>
  </si>
  <si>
    <t>361</t>
  </si>
  <si>
    <r>
      <rPr>
        <sz val="12"/>
        <rFont val="微軟正黑體"/>
        <family val="2"/>
        <charset val="136"/>
      </rPr>
      <t>電子輔助轉向</t>
    </r>
    <r>
      <rPr>
        <sz val="12"/>
        <rFont val="Arial"/>
        <family val="2"/>
      </rPr>
      <t xml:space="preserve">2 life count </t>
    </r>
    <r>
      <rPr>
        <sz val="12"/>
        <rFont val="微軟正黑體"/>
        <family val="2"/>
        <charset val="136"/>
      </rPr>
      <t>錯誤</t>
    </r>
    <phoneticPr fontId="28" type="noConversion"/>
  </si>
  <si>
    <t>Monitor detect life counter continue from EPAS2 for 250ms continuously</t>
  </si>
  <si>
    <t>362</t>
  </si>
  <si>
    <t>U08BF83</t>
    <phoneticPr fontId="28" type="noConversion"/>
  </si>
  <si>
    <t>0xC8BF83</t>
    <phoneticPr fontId="28" type="noConversion"/>
  </si>
  <si>
    <t>Invalid Data Received From Battery Management Control Module - Value of Signal Protection Calculation Incorrect</t>
    <phoneticPr fontId="28" type="noConversion"/>
  </si>
  <si>
    <r>
      <rPr>
        <sz val="12"/>
        <rFont val="微軟正黑體"/>
        <family val="2"/>
        <charset val="136"/>
      </rPr>
      <t>車輛控制器與電池管理模組</t>
    </r>
    <r>
      <rPr>
        <sz val="12"/>
        <rFont val="Arial"/>
        <family val="2"/>
      </rPr>
      <t>6</t>
    </r>
    <r>
      <rPr>
        <sz val="12"/>
        <rFont val="微軟正黑體"/>
        <family val="2"/>
        <charset val="136"/>
      </rPr>
      <t>間</t>
    </r>
    <r>
      <rPr>
        <sz val="12"/>
        <rFont val="Arial"/>
        <family val="2"/>
      </rPr>
      <t xml:space="preserve"> 
or 
</t>
    </r>
    <r>
      <rPr>
        <sz val="12"/>
        <rFont val="細明體"/>
        <family val="2"/>
        <charset val="136"/>
      </rPr>
      <t>車輛控制器與電池管理模組1間</t>
    </r>
    <r>
      <rPr>
        <sz val="12"/>
        <rFont val="Arial"/>
        <family val="2"/>
      </rPr>
      <t>CAN</t>
    </r>
    <r>
      <rPr>
        <sz val="12"/>
        <rFont val="微軟正黑體"/>
        <family val="2"/>
        <charset val="136"/>
      </rPr>
      <t>信號不完整</t>
    </r>
    <phoneticPr fontId="28" type="noConversion"/>
  </si>
  <si>
    <r>
      <rPr>
        <sz val="12"/>
        <rFont val="微軟正黑體"/>
        <family val="2"/>
        <charset val="136"/>
      </rPr>
      <t>车辆控制器与电池管理模块</t>
    </r>
    <r>
      <rPr>
        <sz val="12"/>
        <rFont val="Arial"/>
        <family val="2"/>
      </rPr>
      <t>6</t>
    </r>
    <r>
      <rPr>
        <sz val="12"/>
        <rFont val="微軟正黑體"/>
        <family val="2"/>
        <charset val="136"/>
      </rPr>
      <t xml:space="preserve">间 
</t>
    </r>
    <r>
      <rPr>
        <sz val="12"/>
        <rFont val="Arial"/>
        <family val="2"/>
      </rPr>
      <t xml:space="preserve">or 
</t>
    </r>
    <r>
      <rPr>
        <sz val="12"/>
        <rFont val="細明體"/>
        <family val="2"/>
        <charset val="136"/>
      </rPr>
      <t>车辆控制器与电池管理模块1间</t>
    </r>
    <r>
      <rPr>
        <sz val="12"/>
        <rFont val="Arial"/>
        <family val="2"/>
      </rPr>
      <t>CAN</t>
    </r>
    <r>
      <rPr>
        <sz val="12"/>
        <rFont val="微軟正黑體"/>
        <family val="2"/>
        <charset val="136"/>
      </rPr>
      <t>信号不完整</t>
    </r>
    <phoneticPr fontId="28" type="noConversion"/>
  </si>
  <si>
    <t>Monitor detect checksum not continue from BMS6 for 500ms continuously 
or 
Monitor detect checksum not continue from BMS1 for 50ms continuously</t>
    <phoneticPr fontId="28" type="noConversion"/>
  </si>
  <si>
    <t>After 2 time(s) of above detection continuously. (Total time for decision = 1000ms for BMS6) 
or
 After 5 time(s) of above detection continuously. (Total time for decision = 250ms for BMS1)</t>
    <phoneticPr fontId="28" type="noConversion"/>
  </si>
  <si>
    <t>Monitor detect checksum continue from BMS6 for 1000ms continuously 
and
 Monitor detect checksum continue from BMS1 for 250ms continuously</t>
    <phoneticPr fontId="28" type="noConversion"/>
  </si>
  <si>
    <t>363</t>
  </si>
  <si>
    <r>
      <rPr>
        <sz val="12"/>
        <rFont val="微軟正黑體"/>
        <family val="2"/>
        <charset val="136"/>
      </rPr>
      <t>車輛控制器與電池管理模組</t>
    </r>
    <r>
      <rPr>
        <sz val="12"/>
        <rFont val="Arial"/>
        <family val="2"/>
      </rPr>
      <t>6</t>
    </r>
    <r>
      <rPr>
        <sz val="12"/>
        <rFont val="微軟正黑體"/>
        <family val="2"/>
        <charset val="136"/>
      </rPr>
      <t xml:space="preserve">間
</t>
    </r>
    <r>
      <rPr>
        <sz val="12"/>
        <rFont val="Arial"/>
        <family val="2"/>
      </rPr>
      <t xml:space="preserve">or
</t>
    </r>
    <r>
      <rPr>
        <sz val="12"/>
        <rFont val="細明體"/>
        <family val="2"/>
        <charset val="136"/>
      </rPr>
      <t>車輛控制器與電池管理模組1間</t>
    </r>
    <r>
      <rPr>
        <sz val="12"/>
        <rFont val="Arial"/>
        <family val="2"/>
      </rPr>
      <t>CAN</t>
    </r>
    <r>
      <rPr>
        <sz val="12"/>
        <rFont val="微軟正黑體"/>
        <family val="2"/>
        <charset val="136"/>
      </rPr>
      <t>信號不連續</t>
    </r>
    <phoneticPr fontId="28" type="noConversion"/>
  </si>
  <si>
    <r>
      <rPr>
        <sz val="12"/>
        <rFont val="微軟正黑體"/>
        <family val="2"/>
        <charset val="136"/>
      </rPr>
      <t>车辆控制器与电池管理模块</t>
    </r>
    <r>
      <rPr>
        <sz val="12"/>
        <rFont val="Arial"/>
        <family val="2"/>
      </rPr>
      <t>6</t>
    </r>
    <r>
      <rPr>
        <sz val="12"/>
        <rFont val="微軟正黑體"/>
        <family val="2"/>
        <charset val="136"/>
      </rPr>
      <t xml:space="preserve">间
</t>
    </r>
    <r>
      <rPr>
        <sz val="12"/>
        <rFont val="Arial"/>
        <family val="2"/>
      </rPr>
      <t xml:space="preserve">or
</t>
    </r>
    <r>
      <rPr>
        <sz val="12"/>
        <rFont val="細明體"/>
        <family val="2"/>
        <charset val="136"/>
      </rPr>
      <t>车辆控制器与电池管理模块1间</t>
    </r>
    <r>
      <rPr>
        <sz val="12"/>
        <rFont val="Arial"/>
        <family val="2"/>
      </rPr>
      <t>CAN</t>
    </r>
    <r>
      <rPr>
        <sz val="12"/>
        <rFont val="微軟正黑體"/>
        <family val="2"/>
        <charset val="136"/>
      </rPr>
      <t>信号不连续</t>
    </r>
    <phoneticPr fontId="28" type="noConversion"/>
  </si>
  <si>
    <t>Monitor detect life counter not continue from BMS6 for 500ms continuously
or
Monitor detect life counter not continue from BMS1 for 50ms continuously</t>
    <phoneticPr fontId="28" type="noConversion"/>
  </si>
  <si>
    <t>After 2 time(s) of above detection continuously. (Total time for decision = 1000ms for BMS6)
or
After 5 time(s) of above detection continuously. (Total time for decision = 250ms for BMS1)</t>
    <phoneticPr fontId="28" type="noConversion"/>
  </si>
  <si>
    <t>Monitor detect life counter continue from BMS6 for 1000ms continuously
and
Monitor detect life counter continue from BMS1 for 250ms continuously</t>
    <phoneticPr fontId="28" type="noConversion"/>
  </si>
  <si>
    <t>364</t>
  </si>
  <si>
    <t>P036483</t>
    <phoneticPr fontId="28" type="noConversion"/>
  </si>
  <si>
    <t>0x036483</t>
    <phoneticPr fontId="28" type="noConversion"/>
  </si>
  <si>
    <t>Invalid Data Received From DC/AC Converter Control Module "A" - Value of Signal Protection Calculation Incorrect</t>
    <phoneticPr fontId="28" type="noConversion"/>
  </si>
  <si>
    <r>
      <rPr>
        <sz val="12"/>
        <rFont val="微軟正黑體"/>
        <family val="2"/>
        <charset val="136"/>
      </rPr>
      <t>車輛控制器與二合一充電模組</t>
    </r>
    <r>
      <rPr>
        <sz val="12"/>
        <rFont val="Arial"/>
        <family val="2"/>
      </rPr>
      <t>1</t>
    </r>
    <r>
      <rPr>
        <sz val="12"/>
        <rFont val="微軟正黑體"/>
        <family val="2"/>
        <charset val="136"/>
      </rPr>
      <t>間</t>
    </r>
    <r>
      <rPr>
        <sz val="12"/>
        <rFont val="Arial"/>
        <family val="2"/>
      </rPr>
      <t>CAN</t>
    </r>
    <r>
      <rPr>
        <sz val="12"/>
        <rFont val="微軟正黑體"/>
        <family val="2"/>
        <charset val="136"/>
      </rPr>
      <t>信號不完整</t>
    </r>
    <r>
      <rPr>
        <sz val="12"/>
        <rFont val="Arial"/>
        <family val="2"/>
      </rPr>
      <t xml:space="preserve">
or
</t>
    </r>
    <r>
      <rPr>
        <sz val="12"/>
        <rFont val="細明體"/>
        <family val="2"/>
        <charset val="136"/>
      </rPr>
      <t>車輛控制器與二合一充電模組</t>
    </r>
    <r>
      <rPr>
        <sz val="12"/>
        <rFont val="Arial"/>
        <family val="2"/>
        <charset val="136"/>
      </rPr>
      <t>2</t>
    </r>
    <r>
      <rPr>
        <sz val="12"/>
        <rFont val="細明體"/>
        <family val="2"/>
        <charset val="136"/>
      </rPr>
      <t>間</t>
    </r>
    <r>
      <rPr>
        <sz val="12"/>
        <rFont val="Arial"/>
        <family val="2"/>
        <charset val="136"/>
      </rPr>
      <t>CAN</t>
    </r>
    <r>
      <rPr>
        <sz val="12"/>
        <rFont val="細明體"/>
        <family val="2"/>
        <charset val="136"/>
      </rPr>
      <t>信號不完整</t>
    </r>
    <phoneticPr fontId="28" type="noConversion"/>
  </si>
  <si>
    <r>
      <rPr>
        <sz val="12"/>
        <rFont val="微軟正黑體"/>
        <family val="2"/>
        <charset val="136"/>
      </rPr>
      <t>车辆控制器与二合一充电模块</t>
    </r>
    <r>
      <rPr>
        <sz val="12"/>
        <rFont val="Arial"/>
        <family val="2"/>
      </rPr>
      <t>1</t>
    </r>
    <r>
      <rPr>
        <sz val="12"/>
        <rFont val="微軟正黑體"/>
        <family val="2"/>
        <charset val="136"/>
      </rPr>
      <t>间</t>
    </r>
    <r>
      <rPr>
        <sz val="12"/>
        <rFont val="Arial"/>
        <family val="2"/>
      </rPr>
      <t>CAN</t>
    </r>
    <r>
      <rPr>
        <sz val="12"/>
        <rFont val="微軟正黑體"/>
        <family val="2"/>
        <charset val="136"/>
      </rPr>
      <t>信号不完整</t>
    </r>
    <r>
      <rPr>
        <sz val="12"/>
        <rFont val="Arial"/>
        <family val="2"/>
      </rPr>
      <t xml:space="preserve">
or
</t>
    </r>
    <r>
      <rPr>
        <sz val="12"/>
        <rFont val="細明體"/>
        <family val="2"/>
        <charset val="136"/>
      </rPr>
      <t>车辆控制器与二合一充电模块</t>
    </r>
    <r>
      <rPr>
        <sz val="12"/>
        <rFont val="Arial"/>
        <family val="2"/>
      </rPr>
      <t>2</t>
    </r>
    <r>
      <rPr>
        <sz val="12"/>
        <rFont val="細明體"/>
        <family val="2"/>
        <charset val="136"/>
      </rPr>
      <t>间</t>
    </r>
    <r>
      <rPr>
        <sz val="12"/>
        <rFont val="Arial"/>
        <family val="2"/>
      </rPr>
      <t>CAN</t>
    </r>
    <r>
      <rPr>
        <sz val="12"/>
        <rFont val="細明體"/>
        <family val="2"/>
        <charset val="136"/>
      </rPr>
      <t>信号不完整</t>
    </r>
    <phoneticPr fontId="28" type="noConversion"/>
  </si>
  <si>
    <t>Monitor detect checksum not continue from CCU1 for 50ms continuously
or
Monitor detect checksum not continue from CCU2 for 500ms continuously</t>
    <phoneticPr fontId="28" type="noConversion"/>
  </si>
  <si>
    <t>After 5 time(s) of above detection continuously. (Total time for decision = 250ms for CCU1)
or
After 2 time(s) of above detection continuously. (Total time for decision = 1000ms for CCU2)</t>
    <phoneticPr fontId="28" type="noConversion"/>
  </si>
  <si>
    <t>Monitor detect checksum continue from CCU1 for 250ms continuously
and
Monitor detect checksum continue from CCU2 for 1000ms continuously</t>
    <phoneticPr fontId="28" type="noConversion"/>
  </si>
  <si>
    <t>365</t>
  </si>
  <si>
    <r>
      <rPr>
        <sz val="12"/>
        <rFont val="微軟正黑體"/>
        <family val="2"/>
        <charset val="136"/>
      </rPr>
      <t>車輛控制器與二合一充電模組</t>
    </r>
    <r>
      <rPr>
        <sz val="12"/>
        <rFont val="Arial"/>
        <family val="2"/>
      </rPr>
      <t>1</t>
    </r>
    <r>
      <rPr>
        <sz val="12"/>
        <rFont val="微軟正黑體"/>
        <family val="2"/>
        <charset val="136"/>
      </rPr>
      <t>間</t>
    </r>
    <r>
      <rPr>
        <sz val="12"/>
        <rFont val="Arial"/>
        <family val="2"/>
      </rPr>
      <t>CAN</t>
    </r>
    <r>
      <rPr>
        <sz val="12"/>
        <rFont val="微軟正黑體"/>
        <family val="2"/>
        <charset val="136"/>
      </rPr>
      <t>信號不連續</t>
    </r>
    <r>
      <rPr>
        <sz val="12"/>
        <rFont val="Arial"/>
        <family val="2"/>
        <charset val="136"/>
      </rPr>
      <t xml:space="preserve">
or
</t>
    </r>
    <r>
      <rPr>
        <sz val="12"/>
        <rFont val="細明體"/>
        <family val="2"/>
        <charset val="136"/>
      </rPr>
      <t>車輛控制器與二合一充電模組</t>
    </r>
    <r>
      <rPr>
        <sz val="12"/>
        <rFont val="Arial"/>
        <family val="2"/>
        <charset val="136"/>
      </rPr>
      <t>2</t>
    </r>
    <r>
      <rPr>
        <sz val="12"/>
        <rFont val="細明體"/>
        <family val="2"/>
        <charset val="136"/>
      </rPr>
      <t>間</t>
    </r>
    <r>
      <rPr>
        <sz val="12"/>
        <rFont val="Arial"/>
        <family val="2"/>
        <charset val="136"/>
      </rPr>
      <t>CAN</t>
    </r>
    <r>
      <rPr>
        <sz val="12"/>
        <rFont val="細明體"/>
        <family val="2"/>
        <charset val="136"/>
      </rPr>
      <t>信號不連續</t>
    </r>
    <phoneticPr fontId="28" type="noConversion"/>
  </si>
  <si>
    <r>
      <rPr>
        <sz val="12"/>
        <rFont val="微軟正黑體"/>
        <family val="2"/>
        <charset val="136"/>
      </rPr>
      <t>车辆控制器与二合一充电模块</t>
    </r>
    <r>
      <rPr>
        <sz val="12"/>
        <rFont val="Arial"/>
        <family val="2"/>
      </rPr>
      <t>1</t>
    </r>
    <r>
      <rPr>
        <sz val="12"/>
        <rFont val="微軟正黑體"/>
        <family val="2"/>
        <charset val="136"/>
      </rPr>
      <t>间</t>
    </r>
    <r>
      <rPr>
        <sz val="12"/>
        <rFont val="Arial"/>
        <family val="2"/>
      </rPr>
      <t>CAN</t>
    </r>
    <r>
      <rPr>
        <sz val="12"/>
        <rFont val="微軟正黑體"/>
        <family val="2"/>
        <charset val="136"/>
      </rPr>
      <t>信号不连续</t>
    </r>
    <r>
      <rPr>
        <sz val="12"/>
        <rFont val="Arial"/>
        <family val="2"/>
      </rPr>
      <t xml:space="preserve">
or
</t>
    </r>
    <r>
      <rPr>
        <sz val="12"/>
        <rFont val="細明體"/>
        <family val="2"/>
        <charset val="136"/>
      </rPr>
      <t>车辆控制器与二合一充电模块</t>
    </r>
    <r>
      <rPr>
        <sz val="12"/>
        <rFont val="Arial"/>
        <family val="2"/>
        <charset val="136"/>
      </rPr>
      <t>2</t>
    </r>
    <r>
      <rPr>
        <sz val="12"/>
        <rFont val="細明體"/>
        <family val="2"/>
        <charset val="136"/>
      </rPr>
      <t>间</t>
    </r>
    <r>
      <rPr>
        <sz val="12"/>
        <rFont val="Arial"/>
        <family val="2"/>
        <charset val="136"/>
      </rPr>
      <t>CAN</t>
    </r>
    <r>
      <rPr>
        <sz val="12"/>
        <rFont val="細明體"/>
        <family val="2"/>
        <charset val="136"/>
      </rPr>
      <t>信号不连续</t>
    </r>
    <phoneticPr fontId="28" type="noConversion"/>
  </si>
  <si>
    <t>Monitor detect life counter not continue from CCU1 for 50ms continuously
or
Monitor detect life counter not continue from CCU2 for 500ms continuously</t>
    <phoneticPr fontId="28" type="noConversion"/>
  </si>
  <si>
    <t>After 5 time(s) of above detection continuously. (Total time for decision = 250ms)
or
After 2 time(s) of above detection continuously. (Total time for decision = 1000ms)</t>
    <phoneticPr fontId="28" type="noConversion"/>
  </si>
  <si>
    <t>Monitor detect life counter continue from CCU1 for 250ms continuously
and
Monitor detect life counter continue from CCU2 for 1000ms continuously</t>
    <phoneticPr fontId="28" type="noConversion"/>
  </si>
  <si>
    <t>366</t>
  </si>
  <si>
    <t>U079283</t>
    <phoneticPr fontId="28" type="noConversion"/>
  </si>
  <si>
    <t>0xC79283</t>
    <phoneticPr fontId="28" type="noConversion"/>
  </si>
  <si>
    <t>Invalid Data Received From Drive Motor Control Module "B" - Value of Signal Protection Calculation Incorrect</t>
    <phoneticPr fontId="28" type="noConversion"/>
  </si>
  <si>
    <t>Detect checksum incorrect from MCU_F1 for 50ms continuously</t>
  </si>
  <si>
    <t>No CAN BUS-OFF detected (AND)
No CAN Loss of MCU_F1 detected (AND)
Vehicle power state ~= OFF (AND)
Drivetrain ~= RWD</t>
  </si>
  <si>
    <t>Monitor detect checksum continue from MCU_F1 for 250ms continuously</t>
  </si>
  <si>
    <t>367</t>
  </si>
  <si>
    <r>
      <rPr>
        <sz val="12"/>
        <rFont val="微軟正黑體"/>
        <family val="2"/>
        <charset val="136"/>
      </rPr>
      <t>前電機控制器</t>
    </r>
    <r>
      <rPr>
        <sz val="12"/>
        <rFont val="Arial"/>
        <family val="2"/>
      </rPr>
      <t xml:space="preserve">1 life count </t>
    </r>
    <r>
      <rPr>
        <sz val="12"/>
        <rFont val="微軟正黑體"/>
        <family val="2"/>
        <charset val="136"/>
      </rPr>
      <t>錯誤</t>
    </r>
    <phoneticPr fontId="28" type="noConversion"/>
  </si>
  <si>
    <t>Detect life counter discontinuous from MCU_F1 for 50ms continuously</t>
  </si>
  <si>
    <t>No CAN BUS-OFF detected (AND)
No CAN Loss of MCU_F1 detected (AND)
Vehicle power state ~= OFF</t>
  </si>
  <si>
    <t>Monitor detect life counter continue from MCU_F1 for 250ms continuously</t>
  </si>
  <si>
    <t>368</t>
  </si>
  <si>
    <t>U079883</t>
    <phoneticPr fontId="28" type="noConversion"/>
  </si>
  <si>
    <t>0xC79883</t>
    <phoneticPr fontId="28" type="noConversion"/>
  </si>
  <si>
    <t>Invalid Data Received From DC/DC Converter Control Module "A" - Value of Signal Protection Calculation Incorrect</t>
    <phoneticPr fontId="28" type="noConversion"/>
  </si>
  <si>
    <t>369</t>
  </si>
  <si>
    <t>370</t>
  </si>
  <si>
    <t>B020083</t>
    <phoneticPr fontId="28" type="noConversion"/>
  </si>
  <si>
    <t>0x820083</t>
    <phoneticPr fontId="28" type="noConversion"/>
  </si>
  <si>
    <t>Invalid Data Received From Camera "A" - Value of Signal Protection Calculation Incorrect</t>
    <phoneticPr fontId="28" type="noConversion"/>
  </si>
  <si>
    <r>
      <rPr>
        <sz val="12"/>
        <rFont val="微軟正黑體"/>
        <family val="2"/>
        <charset val="136"/>
      </rPr>
      <t>前鏡頭模組</t>
    </r>
    <r>
      <rPr>
        <sz val="12"/>
        <rFont val="Arial"/>
        <family val="2"/>
      </rPr>
      <t xml:space="preserve">2 or
</t>
    </r>
    <r>
      <rPr>
        <sz val="12"/>
        <rFont val="細明體"/>
        <family val="2"/>
        <charset val="136"/>
      </rPr>
      <t xml:space="preserve">前鏡頭模組3 </t>
    </r>
    <r>
      <rPr>
        <sz val="12"/>
        <rFont val="Arial"/>
        <family val="2"/>
      </rPr>
      <t xml:space="preserve">or
</t>
    </r>
    <r>
      <rPr>
        <sz val="12"/>
        <rFont val="細明體"/>
        <family val="2"/>
        <charset val="136"/>
      </rPr>
      <t xml:space="preserve">前鏡頭模組4 </t>
    </r>
    <r>
      <rPr>
        <sz val="12"/>
        <rFont val="Arial"/>
        <family val="2"/>
      </rPr>
      <t xml:space="preserve">or
</t>
    </r>
    <r>
      <rPr>
        <sz val="12"/>
        <rFont val="細明體"/>
        <family val="2"/>
        <charset val="136"/>
      </rPr>
      <t xml:space="preserve">前鏡頭模組5 </t>
    </r>
    <r>
      <rPr>
        <sz val="12"/>
        <rFont val="Arial"/>
        <family val="2"/>
      </rPr>
      <t xml:space="preserve">checksum </t>
    </r>
    <r>
      <rPr>
        <sz val="12"/>
        <rFont val="微軟正黑體"/>
        <family val="2"/>
        <charset val="136"/>
      </rPr>
      <t>錯誤</t>
    </r>
    <phoneticPr fontId="28" type="noConversion"/>
  </si>
  <si>
    <r>
      <rPr>
        <sz val="12"/>
        <rFont val="微軟正黑體"/>
        <family val="2"/>
        <charset val="136"/>
      </rPr>
      <t>前镜头模块</t>
    </r>
    <r>
      <rPr>
        <sz val="12"/>
        <rFont val="Arial"/>
        <family val="2"/>
      </rPr>
      <t xml:space="preserve">2 or
</t>
    </r>
    <r>
      <rPr>
        <sz val="12"/>
        <rFont val="細明體"/>
        <family val="2"/>
        <charset val="136"/>
      </rPr>
      <t xml:space="preserve">前镜头模块3 </t>
    </r>
    <r>
      <rPr>
        <sz val="12"/>
        <rFont val="Arial"/>
        <family val="2"/>
      </rPr>
      <t xml:space="preserve">or
</t>
    </r>
    <r>
      <rPr>
        <sz val="12"/>
        <rFont val="細明體"/>
        <family val="2"/>
        <charset val="136"/>
      </rPr>
      <t xml:space="preserve">前镜头模块4 </t>
    </r>
    <r>
      <rPr>
        <sz val="12"/>
        <rFont val="Arial"/>
        <family val="2"/>
      </rPr>
      <t xml:space="preserve">or
</t>
    </r>
    <r>
      <rPr>
        <sz val="12"/>
        <rFont val="細明體"/>
        <family val="2"/>
        <charset val="136"/>
      </rPr>
      <t>前镜头模块5</t>
    </r>
    <r>
      <rPr>
        <sz val="12"/>
        <rFont val="Arial"/>
        <family val="2"/>
      </rPr>
      <t xml:space="preserve"> checksum </t>
    </r>
    <r>
      <rPr>
        <sz val="12"/>
        <rFont val="微軟正黑體"/>
        <family val="2"/>
        <charset val="136"/>
      </rPr>
      <t>错误</t>
    </r>
    <phoneticPr fontId="28" type="noConversion"/>
  </si>
  <si>
    <t>Detect checksum incorrect from FCM2 or FCM3 for 50ms continuously
or
Detect checksum incorrect from FCM4 or FCM5 for 500ms continuously</t>
    <phoneticPr fontId="28" type="noConversion"/>
  </si>
  <si>
    <t>No CAN BUS-OFF detected (AND)
No CAN Loss of FCM2 or FCM3 or FCM4 or FCM5 detected (AND)
Vehicle power state ~= OFF</t>
    <phoneticPr fontId="28" type="noConversion"/>
  </si>
  <si>
    <t>Monitor detect checksum continue from FCM2 and FCM3 for 250ms continuously
and
Monitor detect checksum continue from FCM4 and FCM5 for 2500ms continuously</t>
    <phoneticPr fontId="28" type="noConversion"/>
  </si>
  <si>
    <t>371</t>
  </si>
  <si>
    <r>
      <rPr>
        <sz val="12"/>
        <rFont val="微軟正黑體"/>
        <family val="2"/>
        <charset val="136"/>
      </rPr>
      <t>前鏡頭模組</t>
    </r>
    <r>
      <rPr>
        <sz val="12"/>
        <rFont val="Arial"/>
        <family val="2"/>
      </rPr>
      <t xml:space="preserve">2  or
</t>
    </r>
    <r>
      <rPr>
        <sz val="12"/>
        <rFont val="細明體"/>
        <family val="2"/>
        <charset val="136"/>
      </rPr>
      <t xml:space="preserve">前鏡頭模組3 </t>
    </r>
    <r>
      <rPr>
        <sz val="12"/>
        <rFont val="Arial"/>
        <family val="2"/>
      </rPr>
      <t xml:space="preserve">or
</t>
    </r>
    <r>
      <rPr>
        <sz val="12"/>
        <rFont val="細明體"/>
        <family val="2"/>
        <charset val="136"/>
      </rPr>
      <t xml:space="preserve">前鏡頭模組4 </t>
    </r>
    <r>
      <rPr>
        <sz val="12"/>
        <rFont val="Arial"/>
        <family val="2"/>
      </rPr>
      <t xml:space="preserve">or
</t>
    </r>
    <r>
      <rPr>
        <sz val="12"/>
        <rFont val="細明體"/>
        <family val="2"/>
        <charset val="136"/>
      </rPr>
      <t xml:space="preserve">前鏡頭模組5 </t>
    </r>
    <r>
      <rPr>
        <sz val="12"/>
        <rFont val="Arial"/>
        <family val="2"/>
      </rPr>
      <t xml:space="preserve">life count </t>
    </r>
    <r>
      <rPr>
        <sz val="12"/>
        <rFont val="微軟正黑體"/>
        <family val="2"/>
        <charset val="136"/>
      </rPr>
      <t>錯誤</t>
    </r>
    <phoneticPr fontId="28" type="noConversion"/>
  </si>
  <si>
    <r>
      <rPr>
        <sz val="12"/>
        <rFont val="微軟正黑體"/>
        <family val="2"/>
        <charset val="136"/>
      </rPr>
      <t>前镜头模块</t>
    </r>
    <r>
      <rPr>
        <sz val="12"/>
        <rFont val="Arial"/>
        <family val="2"/>
      </rPr>
      <t xml:space="preserve">2 or
</t>
    </r>
    <r>
      <rPr>
        <sz val="12"/>
        <rFont val="細明體"/>
        <family val="2"/>
        <charset val="136"/>
      </rPr>
      <t xml:space="preserve">前镜头模块3 </t>
    </r>
    <r>
      <rPr>
        <sz val="12"/>
        <rFont val="Arial"/>
        <family val="2"/>
      </rPr>
      <t xml:space="preserve">or
</t>
    </r>
    <r>
      <rPr>
        <sz val="12"/>
        <rFont val="細明體"/>
        <family val="2"/>
        <charset val="136"/>
      </rPr>
      <t xml:space="preserve">前镜头模块4 </t>
    </r>
    <r>
      <rPr>
        <sz val="12"/>
        <rFont val="Arial"/>
        <family val="2"/>
      </rPr>
      <t xml:space="preserve">or
</t>
    </r>
    <r>
      <rPr>
        <sz val="12"/>
        <rFont val="細明體"/>
        <family val="2"/>
        <charset val="136"/>
      </rPr>
      <t>前镜头模块5</t>
    </r>
    <r>
      <rPr>
        <sz val="12"/>
        <rFont val="Arial"/>
        <family val="2"/>
      </rPr>
      <t xml:space="preserve"> life count </t>
    </r>
    <r>
      <rPr>
        <sz val="12"/>
        <rFont val="微軟正黑體"/>
        <family val="2"/>
        <charset val="136"/>
      </rPr>
      <t>错误</t>
    </r>
    <phoneticPr fontId="28" type="noConversion"/>
  </si>
  <si>
    <t>Detect life counter discontinuous from FCM2 or FCM3 for 50ms continuously
or
Detect life counter discontinuous from FCM4 or FCM5 for 500ms continuously</t>
    <phoneticPr fontId="28" type="noConversion"/>
  </si>
  <si>
    <t>No CAN BUS-OFF detected (AND)
No CAN Loss of FCM2 or FCM3 detected (AND)
Vehicle power state ~= OFF
or
CAN communication Normal (AND)
Vehicle power state =
ON (OR)
READY</t>
    <phoneticPr fontId="28" type="noConversion"/>
  </si>
  <si>
    <t>Monitor detect life counter continue from FCM2 and FCM3 for 250ms continuously
or
Monitor detect life counter continue from FCM4 and FCM5 for 3000ms continuously</t>
    <phoneticPr fontId="28" type="noConversion"/>
  </si>
  <si>
    <t>372</t>
  </si>
  <si>
    <t>C05D692</t>
    <phoneticPr fontId="28" type="noConversion"/>
  </si>
  <si>
    <t>0x45D692</t>
    <phoneticPr fontId="28" type="noConversion"/>
  </si>
  <si>
    <t>Invalid Data Received From Power Steering Control Module "A" - Performance or Incorrect Operation</t>
    <phoneticPr fontId="28" type="noConversion"/>
  </si>
  <si>
    <t>Detect SAS_V = Invalid
for 10ms continuously</t>
  </si>
  <si>
    <t>No CAN1 BUS-OFF (AND)
No CAN Loss of EPAS2 (AND)
No life count error of EPAS2 (AND)
No checksum error of EPAS2 (AND)
Vehicle power state ~= OFF</t>
  </si>
  <si>
    <t>After 1 time(s) of above detection continuously. (Total time for decision = 10ms)</t>
  </si>
  <si>
    <t>Detect SAS_V = valid
for 125ms continuously</t>
  </si>
  <si>
    <t>373</t>
  </si>
  <si>
    <t>U082292</t>
    <phoneticPr fontId="28" type="noConversion"/>
  </si>
  <si>
    <t>0xC82292</t>
    <phoneticPr fontId="28" type="noConversion"/>
  </si>
  <si>
    <t>Invalid Data Received From Vehicle Dynamics Control Module - Performance or Incorrect Operation</t>
    <phoneticPr fontId="28" type="noConversion"/>
  </si>
  <si>
    <r>
      <t>( N</t>
    </r>
    <r>
      <rPr>
        <sz val="12"/>
        <rFont val="Microsoft YaHei"/>
        <family val="2"/>
      </rPr>
      <t>o ESC4 CAN Loss (AND)
( HDD Fail (OR) EBD Fail (OR)
ABS Fail (OR) TCS Fail (OR)</t>
    </r>
    <r>
      <rPr>
        <sz val="12"/>
        <rFont val="Arial"/>
        <family val="2"/>
      </rPr>
      <t xml:space="preserve">
ESC Fail (OR) HBB Fail (OR)
PBA Fail (OR) HSA Fail (OR)
AVH Fail ) )
OR
( No ESC5 CAN loss (AND)
No ESC5 life count error (AND)
No ESC5 checksum error (AND)
( MCPressure Invalid (OR) Brake switch Invalid (OR)
LongAccel_V Invalid (OR) LatAccel_V Invalid (OR)
YawRate_V Invalid ) )
OR
( No ESC7 CAN Loss (AND)
No ESC7 life count error (AND)
No ESC7 checksum error (AND)
Brake pedal position Invalid )</t>
    </r>
  </si>
  <si>
    <t>No CAN1 BUS-OFF (AND)
Vehicle power state ~= OFF</t>
  </si>
  <si>
    <t>Detection condition evaluated False
for 200ms continuously</t>
  </si>
  <si>
    <t>374</t>
  </si>
  <si>
    <t>P0E2D04</t>
    <phoneticPr fontId="28" type="noConversion"/>
  </si>
  <si>
    <t>0x0E2D04</t>
    <phoneticPr fontId="28" type="noConversion"/>
  </si>
  <si>
    <t>Internal Control Module Hybrid/EV Battery Monitor Performance - System Internal Failure</t>
    <phoneticPr fontId="28" type="noConversion"/>
  </si>
  <si>
    <t>375</t>
  </si>
  <si>
    <t>U079683</t>
    <phoneticPr fontId="28" type="noConversion"/>
  </si>
  <si>
    <t>0xC79683</t>
    <phoneticPr fontId="28" type="noConversion"/>
  </si>
  <si>
    <t>Invalid Data Received From AC/DC Converter Control Module "A" - Value of Signal Protection Calculation Incorrect</t>
    <phoneticPr fontId="28" type="noConversion"/>
  </si>
  <si>
    <t>376</t>
  </si>
  <si>
    <t>Unsigned</t>
  </si>
  <si>
    <t>HexDecimal</t>
  </si>
  <si>
    <t>Diagnostic Questionnaire - Snapshot List</t>
  </si>
  <si>
    <t>Octal</t>
  </si>
  <si>
    <t>Binary</t>
  </si>
  <si>
    <t xml:space="preserve">Snapshot Data is read via ReportDTCSnapshotRecordByDTCNumber [$19 04]
</t>
    <phoneticPr fontId="28" type="noConversion"/>
  </si>
  <si>
    <t>Singed</t>
  </si>
  <si>
    <t xml:space="preserve">Common DIDs:  Information is provided for module identification
</t>
  </si>
  <si>
    <t>Num</t>
    <phoneticPr fontId="28" type="noConversion"/>
  </si>
  <si>
    <t>Snapshot Record Num</t>
    <phoneticPr fontId="28" type="noConversion"/>
  </si>
  <si>
    <t>Data Identifier</t>
    <phoneticPr fontId="28" type="noConversion"/>
  </si>
  <si>
    <t>Snapshot Record Description</t>
    <phoneticPr fontId="28" type="noConversion"/>
  </si>
  <si>
    <t>Size
(Bytes)</t>
  </si>
  <si>
    <t>Start Byte</t>
    <phoneticPr fontId="28" type="noConversion"/>
  </si>
  <si>
    <t>MSB bit
(Motorola)</t>
    <phoneticPr fontId="28" type="noConversion"/>
  </si>
  <si>
    <t>LSB bit
(Motorola)</t>
    <phoneticPr fontId="28" type="noConversion"/>
  </si>
  <si>
    <t>Sub Data Name</t>
    <phoneticPr fontId="28" type="noConversion"/>
  </si>
  <si>
    <t>Range, Min
(Phy.)</t>
    <phoneticPr fontId="28" type="noConversion"/>
  </si>
  <si>
    <t>Range, Max
(Phy.)</t>
    <phoneticPr fontId="28" type="noConversion"/>
  </si>
  <si>
    <t>Data Type</t>
    <phoneticPr fontId="28" type="noConversion"/>
  </si>
  <si>
    <t>Discrete Value Description</t>
    <phoneticPr fontId="28" type="noConversion"/>
  </si>
  <si>
    <t>Factor</t>
    <phoneticPr fontId="28" type="noConversion"/>
  </si>
  <si>
    <t>Offset</t>
    <phoneticPr fontId="28" type="noConversion"/>
  </si>
  <si>
    <t>1</t>
    <phoneticPr fontId="28" type="noConversion"/>
  </si>
  <si>
    <t>01/02</t>
  </si>
  <si>
    <t>1301</t>
  </si>
  <si>
    <t>Vehicle Power Status</t>
    <phoneticPr fontId="28" type="noConversion"/>
  </si>
  <si>
    <r>
      <t>M
(Signal data refer to message matrix.)</t>
    </r>
    <r>
      <rPr>
        <sz val="8"/>
        <color theme="1"/>
        <rFont val="新細明體"/>
        <family val="2"/>
        <charset val="136"/>
      </rPr>
      <t>。</t>
    </r>
    <phoneticPr fontId="28" type="noConversion"/>
  </si>
  <si>
    <t>Vehicle Power Status</t>
  </si>
  <si>
    <t>0x0：OFF
0x1：OFF-Charging
0x2：OFF-After-Run
0x3：STANDBY
0x4：ON
0x5：READY</t>
  </si>
  <si>
    <t>2</t>
    <phoneticPr fontId="28" type="noConversion"/>
  </si>
  <si>
    <t>1302</t>
  </si>
  <si>
    <t>Vehicle speed</t>
  </si>
  <si>
    <t>7</t>
    <phoneticPr fontId="28" type="noConversion"/>
  </si>
  <si>
    <t>8</t>
    <phoneticPr fontId="28" type="noConversion"/>
  </si>
  <si>
    <t>255.875</t>
  </si>
  <si>
    <t>km/h</t>
  </si>
  <si>
    <t>0.125</t>
  </si>
  <si>
    <t>1303</t>
  </si>
  <si>
    <t>GPS Satellite Time</t>
    <phoneticPr fontId="28" type="noConversion"/>
  </si>
  <si>
    <t>5</t>
    <phoneticPr fontId="28" type="noConversion"/>
  </si>
  <si>
    <t>ss</t>
  </si>
  <si>
    <t>sec</t>
  </si>
  <si>
    <t>15</t>
    <phoneticPr fontId="28" type="noConversion"/>
  </si>
  <si>
    <t>mm</t>
  </si>
  <si>
    <t>min</t>
  </si>
  <si>
    <t>23</t>
    <phoneticPr fontId="28" type="noConversion"/>
  </si>
  <si>
    <t>HH</t>
  </si>
  <si>
    <t>hr</t>
  </si>
  <si>
    <t>31</t>
    <phoneticPr fontId="28" type="noConversion"/>
  </si>
  <si>
    <t>24</t>
    <phoneticPr fontId="28" type="noConversion"/>
  </si>
  <si>
    <t>dd</t>
  </si>
  <si>
    <t>date</t>
  </si>
  <si>
    <t>39</t>
    <phoneticPr fontId="28" type="noConversion"/>
  </si>
  <si>
    <t>32</t>
    <phoneticPr fontId="28" type="noConversion"/>
  </si>
  <si>
    <t>MM</t>
  </si>
  <si>
    <t>mounth</t>
  </si>
  <si>
    <t>4</t>
    <phoneticPr fontId="28" type="noConversion"/>
  </si>
  <si>
    <t>01/02</t>
    <phoneticPr fontId="28" type="noConversion"/>
  </si>
  <si>
    <t>0x0E04</t>
    <phoneticPr fontId="28" type="noConversion"/>
  </si>
  <si>
    <t>FD system time</t>
    <phoneticPr fontId="28" type="noConversion"/>
  </si>
  <si>
    <t>120</t>
    <phoneticPr fontId="28" type="noConversion"/>
  </si>
  <si>
    <t>0x0503</t>
    <phoneticPr fontId="28" type="noConversion"/>
  </si>
  <si>
    <t>CP Status</t>
  </si>
  <si>
    <t>CpStatus</t>
  </si>
  <si>
    <t>0x0:AEF
0x1:B1
0x2:B2
0x3:C1
0x4:C2
0x5:D1
0x6:D2</t>
  </si>
  <si>
    <t>CpVoltage</t>
  </si>
  <si>
    <t>V</t>
  </si>
  <si>
    <t>0.1</t>
  </si>
  <si>
    <t>CpPwmDuty</t>
  </si>
  <si>
    <t>%</t>
  </si>
  <si>
    <t>S2SwitchStatus</t>
  </si>
  <si>
    <t>0x0:OFF
0x1:ON</t>
  </si>
  <si>
    <t>6</t>
    <phoneticPr fontId="28" type="noConversion"/>
  </si>
  <si>
    <t>0x050D</t>
    <phoneticPr fontId="28" type="noConversion"/>
  </si>
  <si>
    <t>EVCCDebugMessage</t>
  </si>
  <si>
    <t>EVCC_ss</t>
    <phoneticPr fontId="28" type="noConversion"/>
  </si>
  <si>
    <t>EVCC_mm</t>
    <phoneticPr fontId="28" type="noConversion"/>
  </si>
  <si>
    <t>EVCC_HH</t>
    <phoneticPr fontId="28" type="noConversion"/>
  </si>
  <si>
    <t>EVCC_dd</t>
    <phoneticPr fontId="28" type="noConversion"/>
  </si>
  <si>
    <t>EVCC_MM</t>
    <phoneticPr fontId="28" type="noConversion"/>
  </si>
  <si>
    <t>GbdcDebugCode</t>
  </si>
  <si>
    <t>SlacDebugCode</t>
  </si>
  <si>
    <t>EvccPwrStaDebugCode</t>
    <phoneticPr fontId="28" type="noConversion"/>
  </si>
  <si>
    <t>V2gDcDebugCode</t>
  </si>
  <si>
    <t>V2gAcDebugCode</t>
  </si>
  <si>
    <t>PlcChargeEnd</t>
    <phoneticPr fontId="28" type="noConversion"/>
  </si>
  <si>
    <t>EvChargeEnd</t>
    <phoneticPr fontId="28" type="noConversion"/>
  </si>
  <si>
    <t>ChargeFailCode</t>
    <phoneticPr fontId="28" type="noConversion"/>
  </si>
  <si>
    <t>PpStatus</t>
  </si>
  <si>
    <t>ElecLockStatus</t>
  </si>
  <si>
    <t>BmsChoiceChargeMode</t>
    <phoneticPr fontId="28" type="noConversion"/>
  </si>
  <si>
    <t>Diagnostic Questionnaire - Snapshot List</t>
    <phoneticPr fontId="45" type="noConversion"/>
  </si>
  <si>
    <t>DID1</t>
    <phoneticPr fontId="28" type="noConversion"/>
  </si>
  <si>
    <t>DID2</t>
  </si>
  <si>
    <t>DID3</t>
  </si>
  <si>
    <t>DID4</t>
  </si>
  <si>
    <t>DID5</t>
  </si>
  <si>
    <t>DID6</t>
  </si>
  <si>
    <t>DID7</t>
  </si>
  <si>
    <t>DID8</t>
  </si>
  <si>
    <t>DID9</t>
  </si>
  <si>
    <t>DID10</t>
  </si>
  <si>
    <t>0x1301</t>
    <phoneticPr fontId="28" type="noConversion"/>
  </si>
  <si>
    <t>0x1302</t>
  </si>
  <si>
    <t>0x1303</t>
  </si>
  <si>
    <t>0x0E04</t>
  </si>
  <si>
    <t>FD</t>
    <phoneticPr fontId="45" type="noConversion"/>
  </si>
  <si>
    <t>0x0503</t>
  </si>
  <si>
    <t>Charging communication handshake abnormality (TimeoutRxCTSCML timeout:BRO stage)</t>
    <phoneticPr fontId="28" type="noConversion"/>
  </si>
  <si>
    <t>Charging communication handshake abnormality (TimeoutRxCTSCML timeout:precharge stage)</t>
    <phoneticPr fontId="28" type="noConversion"/>
  </si>
  <si>
    <t>EVSE charging end current does not drop below the minimum value</t>
    <phoneticPr fontId="45" type="noConversion"/>
  </si>
  <si>
    <t>SSD is not available</t>
  </si>
  <si>
    <t>B10022E</t>
  </si>
  <si>
    <t>Diagnostic Questionnaire - Extended Data List</t>
  </si>
  <si>
    <t>Snapshot Data is read via ReportDTCExtendedDataByDTCNumber [$19 06]</t>
    <phoneticPr fontId="28" type="noConversion"/>
  </si>
  <si>
    <t>Extended Record Num</t>
    <phoneticPr fontId="28" type="noConversion"/>
  </si>
  <si>
    <t>Extended Record Description</t>
    <phoneticPr fontId="28" type="noConversion"/>
  </si>
  <si>
    <t>DTC Identifier</t>
    <phoneticPr fontId="28" type="noConversion"/>
  </si>
  <si>
    <t>Example_DTC occurrence counter</t>
    <phoneticPr fontId="28" type="noConversion"/>
  </si>
  <si>
    <t>All DTCs</t>
    <phoneticPr fontId="28" type="noConversion"/>
  </si>
  <si>
    <t>DTC occurrence counter</t>
    <phoneticPr fontId="28" type="noConversion"/>
  </si>
  <si>
    <t>count</t>
  </si>
  <si>
    <t>Example_Report number of aging counter</t>
    <phoneticPr fontId="28" type="noConversion"/>
  </si>
  <si>
    <t>Aging Counter</t>
    <phoneticPr fontId="28" type="noConversion"/>
  </si>
  <si>
    <t>Diagnostic Questionnaire - DID List</t>
  </si>
  <si>
    <t>DID number</t>
    <phoneticPr fontId="28" type="noConversion"/>
  </si>
  <si>
    <t>DID Description</t>
    <phoneticPr fontId="28" type="noConversion"/>
  </si>
  <si>
    <t>Service</t>
    <phoneticPr fontId="28" type="noConversion"/>
  </si>
  <si>
    <r>
      <t xml:space="preserve">Comments / Information
</t>
    </r>
    <r>
      <rPr>
        <b/>
        <sz val="8"/>
        <rFont val="細明體"/>
        <family val="2"/>
        <charset val="136"/>
      </rPr>
      <t>备注</t>
    </r>
    <phoneticPr fontId="28" type="noConversion"/>
  </si>
  <si>
    <r>
      <t xml:space="preserve">Functional classification
</t>
    </r>
    <r>
      <rPr>
        <b/>
        <i/>
        <sz val="8"/>
        <rFont val="宋体"/>
        <family val="3"/>
        <charset val="134"/>
      </rPr>
      <t>功能分类</t>
    </r>
    <phoneticPr fontId="28" type="noConversion"/>
  </si>
  <si>
    <t>$22</t>
    <phoneticPr fontId="28" type="noConversion"/>
  </si>
  <si>
    <t>$2E</t>
    <phoneticPr fontId="28" type="noConversion"/>
  </si>
  <si>
    <t>$2F</t>
    <phoneticPr fontId="28" type="noConversion"/>
  </si>
  <si>
    <t>$31</t>
    <phoneticPr fontId="28" type="noConversion"/>
  </si>
  <si>
    <t>$23</t>
    <phoneticPr fontId="28" type="noConversion"/>
  </si>
  <si>
    <t>$2A</t>
    <phoneticPr fontId="28" type="noConversion"/>
  </si>
  <si>
    <t>0xF180</t>
    <phoneticPr fontId="28" type="noConversion"/>
  </si>
  <si>
    <t>bootSoftwareIdentification</t>
    <phoneticPr fontId="28" type="noConversion"/>
  </si>
  <si>
    <t>Remove by CAN Team</t>
    <phoneticPr fontId="28" type="noConversion"/>
  </si>
  <si>
    <t>FD-A</t>
  </si>
  <si>
    <t>0xF187</t>
    <phoneticPr fontId="28" type="noConversion"/>
  </si>
  <si>
    <t>vehicleManufacturerSparePartNumberDataIdentifier</t>
    <phoneticPr fontId="28" type="noConversion"/>
  </si>
  <si>
    <t>0xF18A</t>
  </si>
  <si>
    <t>systemSupplierIdentifierDataIdentifier</t>
  </si>
  <si>
    <t>0xF18C</t>
  </si>
  <si>
    <t>ECUSerialNumberDataIdentifier</t>
    <phoneticPr fontId="28" type="noConversion"/>
  </si>
  <si>
    <t>0xF192</t>
    <phoneticPr fontId="28" type="noConversion"/>
  </si>
  <si>
    <t>systemSupplierECUHardwareNumberDataIdentifier</t>
  </si>
  <si>
    <t>0xF193</t>
  </si>
  <si>
    <t>systemSupplierECUHardwareVersionNumberDataIdentifier</t>
  </si>
  <si>
    <t>0xF194</t>
  </si>
  <si>
    <t>systemSupplierECUSoftwareNumberDataIdentifier</t>
  </si>
  <si>
    <t>0xF195</t>
  </si>
  <si>
    <t>systemSupplierECUSoftwareVersionNumberDataIdentifier</t>
  </si>
  <si>
    <t>0xF190</t>
  </si>
  <si>
    <t>VINDataIdentifier</t>
  </si>
  <si>
    <t>0xF090</t>
  </si>
  <si>
    <t>FVTIdentificationNumberDataIdenifier</t>
  </si>
  <si>
    <t>0xF16F</t>
  </si>
  <si>
    <t>MessageMapVersionNumber</t>
  </si>
  <si>
    <t>0x1301</t>
  </si>
  <si>
    <t>Vehicle Speed</t>
  </si>
  <si>
    <t>GPS Satellite Time</t>
  </si>
  <si>
    <t>0xF181</t>
    <phoneticPr fontId="28" type="noConversion"/>
  </si>
  <si>
    <t>applicationSoftwareIdentificationDataIdentifier</t>
  </si>
  <si>
    <t>0xF184</t>
    <phoneticPr fontId="28" type="noConversion"/>
  </si>
  <si>
    <t>applicationSoftwareFingerprintDataIdentifier</t>
    <phoneticPr fontId="28" type="noConversion"/>
  </si>
  <si>
    <t>0xF199</t>
    <phoneticPr fontId="28" type="noConversion"/>
  </si>
  <si>
    <t>programmingDateDataIdentifier</t>
    <phoneticPr fontId="28" type="noConversion"/>
  </si>
  <si>
    <t>0x0301</t>
  </si>
  <si>
    <t>TurnLampFrontRightThresholdCurrent</t>
  </si>
  <si>
    <t>BCM</t>
  </si>
  <si>
    <t>0x0302</t>
  </si>
  <si>
    <t>TurnLampRearRightThresholdCurrent</t>
  </si>
  <si>
    <t>0x0303</t>
  </si>
  <si>
    <t>TurnLampFrontLeftThresholdCurrent</t>
  </si>
  <si>
    <t>0x0304</t>
  </si>
  <si>
    <t>TurnLampRearLeftThresholdCurrent</t>
  </si>
  <si>
    <t>0x0305</t>
  </si>
  <si>
    <t>FollowMeHomeTimer</t>
  </si>
  <si>
    <t>0x0306</t>
  </si>
  <si>
    <t>AutoLock</t>
  </si>
  <si>
    <t>0x0307</t>
  </si>
  <si>
    <t>DRLDisable</t>
  </si>
  <si>
    <t>0x0308</t>
  </si>
  <si>
    <t>Auto Wiper High Speed Function Enable</t>
    <phoneticPr fontId="28" type="noConversion"/>
  </si>
  <si>
    <t>0x0309</t>
  </si>
  <si>
    <t>Wiper RLS Command Hold Filter</t>
  </si>
  <si>
    <t>0x030A</t>
  </si>
  <si>
    <t>Wiper RLS Command Cut Filter</t>
  </si>
  <si>
    <t>0x0201</t>
  </si>
  <si>
    <t>XWD switch</t>
  </si>
  <si>
    <t>VCU</t>
  </si>
  <si>
    <t>0x0202</t>
  </si>
  <si>
    <t>WriteRandomNumberDKC</t>
  </si>
  <si>
    <t>0x0203</t>
  </si>
  <si>
    <t>Dyno mode switch</t>
  </si>
  <si>
    <t>0x0204</t>
    <phoneticPr fontId="28" type="noConversion"/>
  </si>
  <si>
    <t>IMU Sensor Calibration</t>
    <phoneticPr fontId="28" type="noConversion"/>
  </si>
  <si>
    <t>0x0205</t>
    <phoneticPr fontId="28" type="noConversion"/>
  </si>
  <si>
    <t>ResetPedalZP</t>
    <phoneticPr fontId="28" type="noConversion"/>
  </si>
  <si>
    <t>0x0206</t>
  </si>
  <si>
    <t>APPPedalZP</t>
  </si>
  <si>
    <t>0x0207</t>
  </si>
  <si>
    <t>NVMPedalZP</t>
  </si>
  <si>
    <t>FD-A</t>
    <phoneticPr fontId="28" type="noConversion"/>
  </si>
  <si>
    <t>0x0501</t>
  </si>
  <si>
    <t>SupportProtocol</t>
  </si>
  <si>
    <t>EVCC</t>
  </si>
  <si>
    <t>0x0502</t>
  </si>
  <si>
    <t>APlusOutputStatus</t>
  </si>
  <si>
    <t>0x0504</t>
  </si>
  <si>
    <t>EvccMacAddress</t>
  </si>
  <si>
    <t>0x0505</t>
  </si>
  <si>
    <t>EvccReadCSRoemProv2</t>
  </si>
  <si>
    <t>0x0506</t>
  </si>
  <si>
    <t>EvccWriteCertificateoemProv2</t>
  </si>
  <si>
    <t>0x0507</t>
  </si>
  <si>
    <t>EvccReadCSRoemProv20</t>
  </si>
  <si>
    <t>0x0508</t>
  </si>
  <si>
    <t>EvccWriteCertificateoemProv20</t>
  </si>
  <si>
    <t>0x0509</t>
  </si>
  <si>
    <t>EvccReadCSRvehicleCert</t>
  </si>
  <si>
    <t>0x050A</t>
  </si>
  <si>
    <t>EvccWriteCertificatevehicleCert</t>
  </si>
  <si>
    <t>0x050B</t>
  </si>
  <si>
    <t>EvccSoftwareVersionSwitching</t>
    <phoneticPr fontId="28" type="noConversion"/>
  </si>
  <si>
    <t>0x050C</t>
  </si>
  <si>
    <t>EVSEType</t>
  </si>
  <si>
    <t>0x050D</t>
  </si>
  <si>
    <t>0x0601</t>
  </si>
  <si>
    <t>OTAReadCSR</t>
  </si>
  <si>
    <t>OTA</t>
  </si>
  <si>
    <t>0x0602</t>
  </si>
  <si>
    <t>OTAWriteCertificate</t>
  </si>
  <si>
    <t>0x0610</t>
  </si>
  <si>
    <t>OtaEmergencyMode</t>
    <phoneticPr fontId="28" type="noConversion"/>
  </si>
  <si>
    <t>0x0611</t>
  </si>
  <si>
    <t>OtaUpgradeErrorECU</t>
  </si>
  <si>
    <t>0x0701</t>
  </si>
  <si>
    <t>ConnectivityReadCSR</t>
  </si>
  <si>
    <t>Connectivity</t>
  </si>
  <si>
    <t>0x0702</t>
  </si>
  <si>
    <t>ConnectivityWriteCertificate</t>
  </si>
  <si>
    <t>0x0703</t>
  </si>
  <si>
    <t>ConnectivityWriteIntermediateCertificate</t>
  </si>
  <si>
    <t>Connectivity</t>
    <phoneticPr fontId="28" type="noConversion"/>
  </si>
  <si>
    <t>0x07F1</t>
    <phoneticPr fontId="28" type="noConversion"/>
  </si>
  <si>
    <t>UploadProductionStationDiagnosticsData</t>
    <phoneticPr fontId="28" type="noConversion"/>
  </si>
  <si>
    <t>0x0801</t>
  </si>
  <si>
    <t>SSD Healthy</t>
  </si>
  <si>
    <t>0x0802</t>
  </si>
  <si>
    <t>RTC time</t>
  </si>
  <si>
    <t>0x0803</t>
  </si>
  <si>
    <t>VNDReadCSR</t>
  </si>
  <si>
    <t>0x0804</t>
  </si>
  <si>
    <t>VNDWriteCertificate</t>
  </si>
  <si>
    <t>0x0805</t>
  </si>
  <si>
    <t>VNDWriteIntermediateCertificate</t>
  </si>
  <si>
    <t>0x0901</t>
  </si>
  <si>
    <t>apsUssConfiguration</t>
  </si>
  <si>
    <t>0x0902</t>
  </si>
  <si>
    <t>apsVehicleTireSize</t>
  </si>
  <si>
    <t>0x0903</t>
  </si>
  <si>
    <t>apsFunctionConfiguration</t>
  </si>
  <si>
    <t>0x0B01</t>
  </si>
  <si>
    <t>readLeftForwardSensorID</t>
  </si>
  <si>
    <t>TPM</t>
  </si>
  <si>
    <t>0x0B02</t>
  </si>
  <si>
    <t>readRightForwardSensorID</t>
  </si>
  <si>
    <t>0x0B03</t>
  </si>
  <si>
    <t>readLeftRearSensorID</t>
  </si>
  <si>
    <t>0x0B04</t>
  </si>
  <si>
    <t>readRightRearSensorID</t>
  </si>
  <si>
    <t>0x0B05</t>
  </si>
  <si>
    <t>readWheelPressure</t>
  </si>
  <si>
    <t>0x0B06</t>
  </si>
  <si>
    <t>readWheelTemperature</t>
  </si>
  <si>
    <t>0x0B07</t>
  </si>
  <si>
    <t>readWheelSensorBatteryStatus</t>
  </si>
  <si>
    <t>0x0B08</t>
  </si>
  <si>
    <t>readLeftForwardLowPressureThreshold</t>
  </si>
  <si>
    <t>0x0B09</t>
  </si>
  <si>
    <t>readRightForwardLowPressureThreshold</t>
  </si>
  <si>
    <t>0x0B0A</t>
  </si>
  <si>
    <t>readLeftRearLowPressureThreshold</t>
  </si>
  <si>
    <t>0x0B0B</t>
  </si>
  <si>
    <t>readRightRearLowPressureThreshold</t>
  </si>
  <si>
    <t>0x0B0C</t>
  </si>
  <si>
    <t>readSensorMode</t>
  </si>
  <si>
    <t>0x0B0D</t>
  </si>
  <si>
    <t>readTPMSLearnStatus</t>
  </si>
  <si>
    <t>0x0B0E</t>
    <phoneticPr fontId="28" type="noConversion"/>
  </si>
  <si>
    <t>TPMS Sensor ID register</t>
  </si>
  <si>
    <t>　</t>
  </si>
  <si>
    <t>0x0E01</t>
  </si>
  <si>
    <t>DoIPReadCSR</t>
  </si>
  <si>
    <t>0x0E02</t>
  </si>
  <si>
    <t>DoIPWriteCertificate</t>
  </si>
  <si>
    <t>0x0E03</t>
  </si>
  <si>
    <t>DoIPWriteIntermediateCertificate</t>
  </si>
  <si>
    <t>0x0E05</t>
    <phoneticPr fontId="28" type="noConversion"/>
  </si>
  <si>
    <t>DKCVersions</t>
    <phoneticPr fontId="28" type="noConversion"/>
  </si>
  <si>
    <t>0x0EF4</t>
  </si>
  <si>
    <t>APP1ReadCSR</t>
  </si>
  <si>
    <t>0x0EF5</t>
  </si>
  <si>
    <t>APP1WriteCertificate</t>
  </si>
  <si>
    <t>0x0EF6</t>
  </si>
  <si>
    <t>APP1WriteIntermediateCertificate</t>
  </si>
  <si>
    <t>0x0EF7</t>
  </si>
  <si>
    <t>APP2ReadCSR</t>
  </si>
  <si>
    <t>0x0EF8</t>
  </si>
  <si>
    <t>APP2WriteCertificate</t>
  </si>
  <si>
    <t>0x0EF9</t>
  </si>
  <si>
    <t>APP2WriteIntermediateCertificate</t>
  </si>
  <si>
    <t>0x0EFA</t>
  </si>
  <si>
    <t>APP3ReadCSR</t>
  </si>
  <si>
    <t>0x0EFB</t>
  </si>
  <si>
    <t>APP3WriteCertificate</t>
  </si>
  <si>
    <t>0x0EFC</t>
  </si>
  <si>
    <t>APP3WriteIntermediateCertificate</t>
  </si>
  <si>
    <t>0x0EFD</t>
  </si>
  <si>
    <t>APP4ReadCSR</t>
  </si>
  <si>
    <t>0x0EFE</t>
  </si>
  <si>
    <t>APP4WriteCertificate</t>
  </si>
  <si>
    <t>0x0EFF</t>
  </si>
  <si>
    <t>APP4WriteIntermediateCertificate</t>
  </si>
  <si>
    <t>Switch M-core to DKC_UDS mode.</t>
  </si>
  <si>
    <t>DKC</t>
    <phoneticPr fontId="28" type="noConversion"/>
  </si>
  <si>
    <t>0x0F02</t>
  </si>
  <si>
    <t>Initialize and generate a new DKC key for NFC card.</t>
  </si>
  <si>
    <t>0x0F03</t>
  </si>
  <si>
    <t>Request Device CSR.</t>
  </si>
  <si>
    <t>0x0F04</t>
  </si>
  <si>
    <t>Key fob pairing</t>
  </si>
  <si>
    <t>AddDeleteKeyIndexDataIdentifier</t>
  </si>
  <si>
    <t>0x0F06</t>
  </si>
  <si>
    <t>ReadKeyIndexDataIdentifier</t>
  </si>
  <si>
    <t>0x0F07</t>
  </si>
  <si>
    <t>DKCStatus</t>
    <phoneticPr fontId="28" type="noConversion"/>
  </si>
  <si>
    <t>0x0F08</t>
  </si>
  <si>
    <t>DKC-BLEStatus</t>
    <phoneticPr fontId="28" type="noConversion"/>
  </si>
  <si>
    <t>0x0F09</t>
  </si>
  <si>
    <t>UWBAnchorStatus</t>
    <phoneticPr fontId="28" type="noConversion"/>
  </si>
  <si>
    <t>0x0F0A</t>
    <phoneticPr fontId="28" type="noConversion"/>
  </si>
  <si>
    <t>LID-AAnchorStatus</t>
    <phoneticPr fontId="28" type="noConversion"/>
  </si>
  <si>
    <t>0x0F0B</t>
    <phoneticPr fontId="28" type="noConversion"/>
  </si>
  <si>
    <t>DoorNFCAnchorStatus</t>
    <phoneticPr fontId="28" type="noConversion"/>
  </si>
  <si>
    <t>0x0F0C</t>
    <phoneticPr fontId="28" type="noConversion"/>
  </si>
  <si>
    <t>UIDStatus</t>
    <phoneticPr fontId="28" type="noConversion"/>
  </si>
  <si>
    <t>0x0F0D</t>
    <phoneticPr fontId="28" type="noConversion"/>
  </si>
  <si>
    <t>FD-DKC CoordinateXY</t>
    <phoneticPr fontId="28" type="noConversion"/>
  </si>
  <si>
    <t>0xFF00</t>
  </si>
  <si>
    <t>eraseMemory</t>
  </si>
  <si>
    <t>0xFF01</t>
  </si>
  <si>
    <t>checkProgrammingDependencies</t>
  </si>
  <si>
    <t>0x2203</t>
  </si>
  <si>
    <t>Swap active partition</t>
  </si>
  <si>
    <t>0xDFFF</t>
    <phoneticPr fontId="28" type="noConversion"/>
  </si>
  <si>
    <t>Request vehicle power status</t>
    <phoneticPr fontId="28" type="noConversion"/>
  </si>
  <si>
    <t>0xF17F</t>
    <phoneticPr fontId="28" type="noConversion"/>
  </si>
  <si>
    <t>DiagnosticSpecificaionVersionInformation</t>
    <phoneticPr fontId="28" type="noConversion"/>
  </si>
  <si>
    <t>0xDFFE</t>
    <phoneticPr fontId="28" type="noConversion"/>
  </si>
  <si>
    <t>CAN data collection</t>
    <phoneticPr fontId="28" type="noConversion"/>
  </si>
  <si>
    <t>0xF40D</t>
    <phoneticPr fontId="28" type="noConversion"/>
  </si>
  <si>
    <t>Vehicle Speed Sensor</t>
    <phoneticPr fontId="28" type="noConversion"/>
  </si>
  <si>
    <t>ZEV</t>
    <phoneticPr fontId="28" type="noConversion"/>
  </si>
  <si>
    <t>0xF41C</t>
    <phoneticPr fontId="28" type="noConversion"/>
  </si>
  <si>
    <t>OBD requirements to which vehicle or engine is certified</t>
    <phoneticPr fontId="28" type="noConversion"/>
  </si>
  <si>
    <t>0xF41F</t>
    <phoneticPr fontId="28" type="noConversion"/>
  </si>
  <si>
    <t>Time Since Engine Start</t>
    <phoneticPr fontId="28" type="noConversion"/>
  </si>
  <si>
    <t>0xF421</t>
    <phoneticPr fontId="28" type="noConversion"/>
  </si>
  <si>
    <t>Distance Traveled While MIL is Activated</t>
    <phoneticPr fontId="28" type="noConversion"/>
  </si>
  <si>
    <t>0xF431</t>
    <phoneticPr fontId="28" type="noConversion"/>
  </si>
  <si>
    <t>Distance traveled since DTCs cleared</t>
    <phoneticPr fontId="28" type="noConversion"/>
  </si>
  <si>
    <t>0xF449</t>
    <phoneticPr fontId="28" type="noConversion"/>
  </si>
  <si>
    <t>Accelerator Pedal Position D</t>
    <phoneticPr fontId="28" type="noConversion"/>
  </si>
  <si>
    <t>0xF44A</t>
    <phoneticPr fontId="28" type="noConversion"/>
  </si>
  <si>
    <t>Accelerator Pedal Position E</t>
    <phoneticPr fontId="28" type="noConversion"/>
  </si>
  <si>
    <t>0xF4A6</t>
    <phoneticPr fontId="28" type="noConversion"/>
  </si>
  <si>
    <t>Vehicle Odometer</t>
    <phoneticPr fontId="28" type="noConversion"/>
  </si>
  <si>
    <t>0xF4D6</t>
    <phoneticPr fontId="28" type="noConversion"/>
  </si>
  <si>
    <t>Number of propulsion system active trips since
fault memory last cleared</t>
    <phoneticPr fontId="28" type="noConversion"/>
  </si>
  <si>
    <t>0xF802</t>
    <phoneticPr fontId="28" type="noConversion"/>
  </si>
  <si>
    <t>Vehicle Identification Number</t>
    <phoneticPr fontId="28" type="noConversion"/>
  </si>
  <si>
    <t>0xF804</t>
    <phoneticPr fontId="28" type="noConversion"/>
  </si>
  <si>
    <t>Calibration Identifications</t>
    <phoneticPr fontId="28" type="noConversion"/>
  </si>
  <si>
    <t>0xF80A</t>
    <phoneticPr fontId="28" type="noConversion"/>
  </si>
  <si>
    <t>ECUNAME</t>
    <phoneticPr fontId="28" type="noConversion"/>
  </si>
  <si>
    <t>0xF810</t>
    <phoneticPr fontId="28" type="noConversion"/>
  </si>
  <si>
    <t>Protocol Identification</t>
    <phoneticPr fontId="28" type="noConversion"/>
  </si>
  <si>
    <t>0xF813</t>
    <phoneticPr fontId="28" type="noConversion"/>
  </si>
  <si>
    <t xml:space="preserve">Certification Test Group/Engine Family Number </t>
    <phoneticPr fontId="28" type="noConversion"/>
  </si>
  <si>
    <t>0xF819</t>
    <phoneticPr fontId="28" type="noConversion"/>
  </si>
  <si>
    <t>Vehicle Operation Data - PSA</t>
    <phoneticPr fontId="28" type="noConversion"/>
  </si>
  <si>
    <t>0xF88C</t>
    <phoneticPr fontId="28" type="noConversion"/>
  </si>
  <si>
    <t>Positive Kinetic Energy</t>
    <phoneticPr fontId="28" type="noConversion"/>
  </si>
  <si>
    <t>0xF88D</t>
    <phoneticPr fontId="28" type="noConversion"/>
  </si>
  <si>
    <t>Total Distance Travelled</t>
    <phoneticPr fontId="28" type="noConversion"/>
  </si>
  <si>
    <t>0xF896</t>
    <phoneticPr fontId="28" type="noConversion"/>
  </si>
  <si>
    <t>Total Number of Propulsion System Active Events</t>
    <phoneticPr fontId="28" type="noConversion"/>
  </si>
  <si>
    <t>0xF400</t>
    <phoneticPr fontId="28" type="noConversion"/>
  </si>
  <si>
    <t>support DID from 0xF401 to F420)</t>
    <phoneticPr fontId="28" type="noConversion"/>
  </si>
  <si>
    <t>0xF420</t>
    <phoneticPr fontId="28" type="noConversion"/>
  </si>
  <si>
    <t>support DID from 0xF421 to F440</t>
  </si>
  <si>
    <t>0xF440</t>
    <phoneticPr fontId="28" type="noConversion"/>
  </si>
  <si>
    <t>support DID from 0xF441 to F460</t>
    <phoneticPr fontId="28" type="noConversion"/>
  </si>
  <si>
    <t>0xF460</t>
    <phoneticPr fontId="28" type="noConversion"/>
  </si>
  <si>
    <t>support DID from 0xF461 to F480</t>
  </si>
  <si>
    <t>0xF480</t>
    <phoneticPr fontId="28" type="noConversion"/>
  </si>
  <si>
    <t>support DID from 0xF481 to F4A0</t>
  </si>
  <si>
    <t>0xF4A0</t>
    <phoneticPr fontId="28" type="noConversion"/>
  </si>
  <si>
    <t>support DID from 0xF4A1 to F4C0</t>
  </si>
  <si>
    <t>0xF4C0</t>
    <phoneticPr fontId="28" type="noConversion"/>
  </si>
  <si>
    <t>support DID from 0xF4C1 to F4E0</t>
  </si>
  <si>
    <t>0xF800</t>
    <phoneticPr fontId="28" type="noConversion"/>
  </si>
  <si>
    <t>support DID from 0xF801 to F820</t>
    <phoneticPr fontId="28" type="noConversion"/>
  </si>
  <si>
    <t>0xF820</t>
    <phoneticPr fontId="28" type="noConversion"/>
  </si>
  <si>
    <t>support DID from 0xF821 to F840</t>
  </si>
  <si>
    <t>0xF840</t>
    <phoneticPr fontId="28" type="noConversion"/>
  </si>
  <si>
    <t>support DID from 0xF841 to F860</t>
  </si>
  <si>
    <t>0xF860</t>
    <phoneticPr fontId="28" type="noConversion"/>
  </si>
  <si>
    <t>support DID from 0xF861 to F880</t>
  </si>
  <si>
    <t>0xF880</t>
    <phoneticPr fontId="28" type="noConversion"/>
  </si>
  <si>
    <t>support DID from 0xF881 to F8A0</t>
  </si>
  <si>
    <t>0x1001</t>
    <phoneticPr fontId="28" type="noConversion"/>
  </si>
  <si>
    <t>FoxPi_Speed_Ctrl</t>
    <phoneticPr fontId="51" type="noConversion"/>
  </si>
  <si>
    <r>
      <t xml:space="preserve">Foxtron Pi </t>
    </r>
    <r>
      <rPr>
        <sz val="8"/>
        <rFont val="Microsoft JhengHei"/>
        <family val="2"/>
        <charset val="136"/>
      </rPr>
      <t>使用</t>
    </r>
    <phoneticPr fontId="28" type="noConversion"/>
  </si>
  <si>
    <t>FoxtronPi</t>
    <phoneticPr fontId="28" type="noConversion"/>
  </si>
  <si>
    <t>0x1002</t>
    <phoneticPr fontId="28" type="noConversion"/>
  </si>
  <si>
    <t>FoxPi_Motion_Status</t>
    <phoneticPr fontId="28" type="noConversion"/>
  </si>
  <si>
    <t>0x1003</t>
    <phoneticPr fontId="28" type="noConversion"/>
  </si>
  <si>
    <t>FoxPi_Brake_Status</t>
    <phoneticPr fontId="28" type="noConversion"/>
  </si>
  <si>
    <t>0x1004</t>
    <phoneticPr fontId="28" type="noConversion"/>
  </si>
  <si>
    <t>FoxPi_WheelSpeed</t>
    <phoneticPr fontId="28" type="noConversion"/>
  </si>
  <si>
    <t>0x1005</t>
    <phoneticPr fontId="28" type="noConversion"/>
  </si>
  <si>
    <t>FoxPi_EPS_Status</t>
  </si>
  <si>
    <t>0x1006</t>
  </si>
  <si>
    <t>FoxPi_Button_Status</t>
    <phoneticPr fontId="28" type="noConversion"/>
  </si>
  <si>
    <t>0x1007</t>
  </si>
  <si>
    <t>0x1008</t>
  </si>
  <si>
    <t>FoxPi_USS_Distance</t>
    <phoneticPr fontId="28" type="noConversion"/>
  </si>
  <si>
    <t>0x1009</t>
  </si>
  <si>
    <t>FoxPi_USS_Fault_Status</t>
    <phoneticPr fontId="28" type="noConversion"/>
  </si>
  <si>
    <t>0x100A</t>
    <phoneticPr fontId="28" type="noConversion"/>
  </si>
  <si>
    <t>FoxPi_PTG_USS_SW</t>
    <phoneticPr fontId="28" type="noConversion"/>
  </si>
  <si>
    <t>0x100B</t>
    <phoneticPr fontId="28" type="noConversion"/>
  </si>
  <si>
    <t>0x100C</t>
    <phoneticPr fontId="28" type="noConversion"/>
  </si>
  <si>
    <t>FoxPi_Switch_Status</t>
    <phoneticPr fontId="28" type="noConversion"/>
  </si>
  <si>
    <t>0x100D</t>
    <phoneticPr fontId="28" type="noConversion"/>
  </si>
  <si>
    <t>FoxPi_Lamp_Status</t>
    <phoneticPr fontId="28" type="noConversion"/>
  </si>
  <si>
    <t>0x100E</t>
    <phoneticPr fontId="28" type="noConversion"/>
  </si>
  <si>
    <t>FoxPi_Lamp_Ctrl</t>
    <phoneticPr fontId="28" type="noConversion"/>
  </si>
  <si>
    <t>0x100F</t>
    <phoneticPr fontId="28" type="noConversion"/>
  </si>
  <si>
    <t>FoxPi_Battery_Status</t>
    <phoneticPr fontId="28" type="noConversion"/>
  </si>
  <si>
    <t>0x1010</t>
    <phoneticPr fontId="28" type="noConversion"/>
  </si>
  <si>
    <t>FoxPi_TPMS_Status</t>
    <phoneticPr fontId="28" type="noConversion"/>
  </si>
  <si>
    <t>0x1011</t>
    <phoneticPr fontId="28" type="noConversion"/>
  </si>
  <si>
    <t>FoxPi_Pedal_position</t>
    <phoneticPr fontId="28" type="noConversion"/>
  </si>
  <si>
    <t>0x1012</t>
    <phoneticPr fontId="28" type="noConversion"/>
  </si>
  <si>
    <t>FoxPi_Motor_Status</t>
    <phoneticPr fontId="28" type="noConversion"/>
  </si>
  <si>
    <t>FoxPi_Shifter_allow</t>
    <phoneticPr fontId="28" type="noConversion"/>
  </si>
  <si>
    <t>Diagnostic Questionnaire - Stored Data DID List</t>
  </si>
  <si>
    <t>Module Identificaion read via ReadDataByIdentifier [$22] or write via WriteDataByIdentifier [$2E]:</t>
    <phoneticPr fontId="28" type="noConversion"/>
  </si>
  <si>
    <t xml:space="preserve">NOTE 1: </t>
    <phoneticPr fontId="28" type="noConversion"/>
  </si>
  <si>
    <t xml:space="preserve">This section is reserved for Module stored data ONLY. And most of  these datas are stored in EEPROM or Flash. </t>
    <phoneticPr fontId="28" type="noConversion"/>
  </si>
  <si>
    <t>Common DIDs:  Information is provided for module identification</t>
  </si>
  <si>
    <r>
      <t>DID Num
DID</t>
    </r>
    <r>
      <rPr>
        <b/>
        <i/>
        <sz val="8"/>
        <rFont val="宋体"/>
        <family val="3"/>
        <charset val="134"/>
      </rPr>
      <t>号</t>
    </r>
    <r>
      <rPr>
        <b/>
        <i/>
        <sz val="8"/>
        <rFont val="Arial"/>
        <family val="2"/>
      </rPr>
      <t xml:space="preserve">
Custom DID suggested range 0100~A5FF</t>
    </r>
    <phoneticPr fontId="28" type="noConversion"/>
  </si>
  <si>
    <t>R/W Mode</t>
    <phoneticPr fontId="28" type="noConversion"/>
  </si>
  <si>
    <t>Read Data</t>
    <phoneticPr fontId="28" type="noConversion"/>
  </si>
  <si>
    <t>Write Data</t>
    <phoneticPr fontId="28" type="noConversion"/>
  </si>
  <si>
    <t>Comments / Information</t>
    <phoneticPr fontId="28" type="noConversion"/>
  </si>
  <si>
    <t>Functional classification</t>
    <phoneticPr fontId="28" type="noConversion"/>
  </si>
  <si>
    <t>Functional Enable</t>
    <phoneticPr fontId="28" type="noConversion"/>
  </si>
  <si>
    <t>Application Software Diagnostic Session</t>
    <phoneticPr fontId="28" type="noConversion"/>
  </si>
  <si>
    <t>Boot Software Diagnostic Session</t>
    <phoneticPr fontId="28" type="noConversion"/>
  </si>
  <si>
    <t>0xF187</t>
  </si>
  <si>
    <t>vehicleManufacturerSparePartNumberDataIdentifier</t>
  </si>
  <si>
    <t>R</t>
  </si>
  <si>
    <t>01/03</t>
  </si>
  <si>
    <t>FD</t>
    <phoneticPr fontId="28" type="noConversion"/>
  </si>
  <si>
    <t>72</t>
    <phoneticPr fontId="28" type="noConversion"/>
  </si>
  <si>
    <t>Part Number.</t>
  </si>
  <si>
    <t>40</t>
    <phoneticPr fontId="28" type="noConversion"/>
  </si>
  <si>
    <t>Supplier ID</t>
  </si>
  <si>
    <t>Hardware Version Number.</t>
  </si>
  <si>
    <t>Software Version Number.</t>
  </si>
  <si>
    <t>R/W</t>
  </si>
  <si>
    <t>128</t>
    <phoneticPr fontId="28" type="noConversion"/>
  </si>
  <si>
    <t>VIN</t>
  </si>
  <si>
    <t>168</t>
    <phoneticPr fontId="28" type="noConversion"/>
  </si>
  <si>
    <t>FVT VIN</t>
  </si>
  <si>
    <t>10</t>
    <phoneticPr fontId="28" type="noConversion"/>
  </si>
  <si>
    <t>MessageMap Version Number</t>
  </si>
  <si>
    <t>0xF181</t>
  </si>
  <si>
    <t>application Software Identification</t>
  </si>
  <si>
    <t>0xF18C</t>
    <phoneticPr fontId="28" type="noConversion"/>
  </si>
  <si>
    <t>192</t>
    <phoneticPr fontId="28" type="noConversion"/>
  </si>
  <si>
    <t>Serial Number</t>
    <phoneticPr fontId="28" type="noConversion"/>
  </si>
  <si>
    <t>Fingerprint</t>
    <phoneticPr fontId="28" type="noConversion"/>
  </si>
  <si>
    <t>programmingDateData</t>
    <phoneticPr fontId="28" type="noConversion"/>
  </si>
  <si>
    <t>01</t>
  </si>
  <si>
    <t>VCU</t>
    <phoneticPr fontId="28" type="noConversion"/>
  </si>
  <si>
    <t>XWD Mode</t>
  </si>
  <si>
    <t>0x00:RWD 
0x01:FWD
0x02:AWD</t>
  </si>
  <si>
    <t>05</t>
  </si>
  <si>
    <t>56</t>
    <phoneticPr fontId="28" type="noConversion"/>
  </si>
  <si>
    <t>DKC key</t>
  </si>
  <si>
    <t>dyno mode</t>
  </si>
  <si>
    <t>0x0:Off
0x1:On</t>
  </si>
  <si>
    <t>12</t>
    <phoneticPr fontId="28" type="noConversion"/>
  </si>
  <si>
    <t>APS1</t>
  </si>
  <si>
    <t>4.095</t>
  </si>
  <si>
    <t>0.001</t>
    <phoneticPr fontId="28" type="noConversion"/>
  </si>
  <si>
    <t>APS2</t>
  </si>
  <si>
    <t>0.001</t>
  </si>
  <si>
    <t>11</t>
    <phoneticPr fontId="28" type="noConversion"/>
  </si>
  <si>
    <t>27</t>
    <phoneticPr fontId="28" type="noConversion"/>
  </si>
  <si>
    <t>28</t>
    <phoneticPr fontId="28" type="noConversion"/>
  </si>
  <si>
    <t>BCM</t>
    <phoneticPr fontId="28" type="noConversion"/>
  </si>
  <si>
    <t>2550</t>
  </si>
  <si>
    <t>mA</t>
  </si>
  <si>
    <t>0x0:Disable
0x1:ENABLE</t>
  </si>
  <si>
    <t>Auto Wiper High Speed Function Enable</t>
  </si>
  <si>
    <t>AutoWipHSpdEN</t>
  </si>
  <si>
    <t>WipRLSCmdHoldEN</t>
  </si>
  <si>
    <t>WipRLSCmdHoldTime</t>
  </si>
  <si>
    <t>WipRLSCmdCutEN</t>
  </si>
  <si>
    <t>WipRLSCmdCutTime</t>
  </si>
  <si>
    <t>EVCC</t>
    <phoneticPr fontId="28" type="noConversion"/>
  </si>
  <si>
    <t>Support Protocol</t>
  </si>
  <si>
    <t>0x0:DIN70121 (first)
0x1:ISO15118  (first)
0x2:Reserved
0xFF:default DIN70121 first</t>
  </si>
  <si>
    <t xml:space="preserve">Control output I/O : A+  </t>
  </si>
  <si>
    <t>EvccMacAddress</t>
    <phoneticPr fontId="28" type="noConversion"/>
  </si>
  <si>
    <t>MAC address</t>
  </si>
  <si>
    <t>0xFFFFFFFFFFFF</t>
  </si>
  <si>
    <t>EvccReadCSRoemProv2</t>
    <phoneticPr fontId="28" type="noConversion"/>
  </si>
  <si>
    <t>EvccWriteCertificateoemProv2</t>
    <phoneticPr fontId="28" type="noConversion"/>
  </si>
  <si>
    <t>EvccReadCSRoemProv20</t>
    <phoneticPr fontId="28" type="noConversion"/>
  </si>
  <si>
    <t>EvccWriteCertificateoemProv20</t>
    <phoneticPr fontId="28" type="noConversion"/>
  </si>
  <si>
    <t>EvccReadCSRvehicleCert</t>
    <phoneticPr fontId="28" type="noConversion"/>
  </si>
  <si>
    <t>EvccWriteCertificatevehicleCert</t>
    <phoneticPr fontId="28" type="noConversion"/>
  </si>
  <si>
    <t>0x0:default
0x1:Gen1
0x2:Gen2
0x3:Test
0xFF:unused</t>
    <phoneticPr fontId="28" type="noConversion"/>
  </si>
  <si>
    <t>EVSEType</t>
    <phoneticPr fontId="28" type="noConversion"/>
  </si>
  <si>
    <t>EvseType</t>
  </si>
  <si>
    <t>0x0:undefined
0x1:CCS1
0x2:CCS2
0xFF:unused</t>
    <phoneticPr fontId="28" type="noConversion"/>
  </si>
  <si>
    <t>EVCCDebugMessage</t>
    <phoneticPr fontId="28" type="noConversion"/>
  </si>
  <si>
    <t>47</t>
    <phoneticPr fontId="28" type="noConversion"/>
  </si>
  <si>
    <t>63</t>
    <phoneticPr fontId="28" type="noConversion"/>
  </si>
  <si>
    <t>9</t>
    <phoneticPr fontId="28" type="noConversion"/>
  </si>
  <si>
    <t>79</t>
    <phoneticPr fontId="28" type="noConversion"/>
  </si>
  <si>
    <t>95</t>
    <phoneticPr fontId="28" type="noConversion"/>
  </si>
  <si>
    <t>88</t>
    <phoneticPr fontId="28" type="noConversion"/>
  </si>
  <si>
    <t>13</t>
    <phoneticPr fontId="28" type="noConversion"/>
  </si>
  <si>
    <t>111</t>
    <phoneticPr fontId="28" type="noConversion"/>
  </si>
  <si>
    <t>104</t>
    <phoneticPr fontId="28" type="noConversion"/>
  </si>
  <si>
    <t>127</t>
    <phoneticPr fontId="28" type="noConversion"/>
  </si>
  <si>
    <t>OTA</t>
    <phoneticPr fontId="28" type="noConversion"/>
  </si>
  <si>
    <t>0x0610</t>
    <phoneticPr fontId="28" type="noConversion"/>
  </si>
  <si>
    <t>OtaEmergencyMode</t>
  </si>
  <si>
    <t>0x0:Emergency OFF
0x1:Emergency ON</t>
    <phoneticPr fontId="28" type="noConversion"/>
  </si>
  <si>
    <t>UpgradeErrorOfECU</t>
  </si>
  <si>
    <t>0x00:No action
0x01:FDC
0x02:IVI
0x03:T-Box
0x04:Zone_Fr
0x05:Zone_Dr
0x06:DKC
0x07:BMS
0x08:CCU
0x09:PTG
0x0A:DSEAT
0x0B:PSEAT
0x0C:ABM
0x0D:ESC
0x0E:eBST
0x0F:MCU_R
0x10:MCU_F
0x11:EOP_R
0x12:EOP_F
0x13:EPS
0x14:FCM
0x15:SRR_M
0x16:MRR
0x17:TELLTALE
0x18:Shifter
0x19:E_Compressor
0x1A:AIRPTC
0x1B:EBM
0x1C:W_PTC
0x1D:HMI
0x1E:DKC_BLE
0x1F:DKC_NFC
0x20:DKC_UWB1
0x21:DKC_UWB2
0x22:DKC_UWB3
0x23:Invalid</t>
  </si>
  <si>
    <t>248</t>
    <phoneticPr fontId="28" type="noConversion"/>
  </si>
  <si>
    <t>ConnectivityWriteInterIntermediateCertificate</t>
  </si>
  <si>
    <t>W</t>
  </si>
  <si>
    <t>Add by CAN Team
JAMA FRS:
https://10.58.200.61/perspective.req#/items/557172?projectId=58
https://10.58.200.61/perspective.req#/items/557203?projectId=65
Jira ECR: 
https://foxtronev.atlassian.net/browse/D31L24-403
https://foxtronev.atlassian.net/browse/D21-282
https://foxtronev.atlassian.net/browse/D31F25-167</t>
    <phoneticPr fontId="28" type="noConversion"/>
  </si>
  <si>
    <t>ProductionStationDiagnosticsData</t>
    <phoneticPr fontId="28" type="noConversion"/>
  </si>
  <si>
    <t>Hex</t>
    <phoneticPr fontId="28" type="noConversion"/>
  </si>
  <si>
    <t>VND</t>
    <phoneticPr fontId="28" type="noConversion"/>
  </si>
  <si>
    <t>Critical Warning</t>
  </si>
  <si>
    <t>Temperature</t>
  </si>
  <si>
    <t>-32768</t>
  </si>
  <si>
    <t>32767</t>
  </si>
  <si>
    <t>degree c</t>
  </si>
  <si>
    <t>Signed</t>
  </si>
  <si>
    <t>Available Spare</t>
  </si>
  <si>
    <t>percentage</t>
  </si>
  <si>
    <t>Percentage Used</t>
  </si>
  <si>
    <t>160</t>
    <phoneticPr fontId="28" type="noConversion"/>
  </si>
  <si>
    <t>Unsafe Shutdowns</t>
  </si>
  <si>
    <t>2^128</t>
  </si>
  <si>
    <t>times</t>
  </si>
  <si>
    <t>RTC_ss</t>
    <phoneticPr fontId="28" type="noConversion"/>
  </si>
  <si>
    <t>RTC_mm</t>
    <phoneticPr fontId="28" type="noConversion"/>
  </si>
  <si>
    <t>RTC_HH</t>
    <phoneticPr fontId="28" type="noConversion"/>
  </si>
  <si>
    <t>RTC_dd</t>
    <phoneticPr fontId="28" type="noConversion"/>
  </si>
  <si>
    <t>RTC_MM</t>
    <phoneticPr fontId="28" type="noConversion"/>
  </si>
  <si>
    <t>RTC_YY</t>
    <phoneticPr fontId="28" type="noConversion"/>
  </si>
  <si>
    <t>yr</t>
  </si>
  <si>
    <t>USS Layout - FCL</t>
  </si>
  <si>
    <t>0x00:No Equipped
0x01:Equipped
0xFF:Invalid</t>
  </si>
  <si>
    <t>USS Layout - FML</t>
  </si>
  <si>
    <t>USS Layout - FMR</t>
  </si>
  <si>
    <t>USS Layout - FCR</t>
  </si>
  <si>
    <t>USS Layout - RCL</t>
  </si>
  <si>
    <t>USS Layout - RML</t>
  </si>
  <si>
    <t>USS Layout - RMR</t>
  </si>
  <si>
    <t>USS Layout - RCR</t>
  </si>
  <si>
    <t>USS Layout - FLL</t>
  </si>
  <si>
    <t>USS Layout - FLR</t>
  </si>
  <si>
    <t>USS Layout - RLL</t>
  </si>
  <si>
    <t>USS Layout - RLR</t>
  </si>
  <si>
    <t>Reserved</t>
  </si>
  <si>
    <t>Section Width</t>
  </si>
  <si>
    <t>Aspect ratio</t>
  </si>
  <si>
    <t>Rim Diameter</t>
  </si>
  <si>
    <t>inches</t>
  </si>
  <si>
    <t>APS</t>
    <phoneticPr fontId="28" type="noConversion"/>
  </si>
  <si>
    <t>Enable CAAS</t>
  </si>
  <si>
    <t>Enable SPTG</t>
  </si>
  <si>
    <t>TPM</t>
    <phoneticPr fontId="28" type="noConversion"/>
  </si>
  <si>
    <t>readwriteLeftForwardSensorID</t>
  </si>
  <si>
    <t>4294967295</t>
  </si>
  <si>
    <t>readwriteRightForwardSensorID</t>
  </si>
  <si>
    <t>readwriteLeftRearSensorID</t>
  </si>
  <si>
    <t>readwriteRightRearSensorID</t>
  </si>
  <si>
    <t>Left Forward Wheel Pressure</t>
  </si>
  <si>
    <t>71.01</t>
  </si>
  <si>
    <t>psi</t>
  </si>
  <si>
    <t>0.25</t>
    <phoneticPr fontId="28" type="noConversion"/>
  </si>
  <si>
    <t>7.26</t>
    <phoneticPr fontId="28" type="noConversion"/>
  </si>
  <si>
    <t>"0:min
69.76:Max
71.01:invalid"
((0～250))×0.25+7.26 =
7.26～69.76[psi]
0~250 (Sensor raw data)</t>
  </si>
  <si>
    <t>Right Forward Wheel Pressure</t>
  </si>
  <si>
    <t>0.25</t>
  </si>
  <si>
    <t>7.26</t>
  </si>
  <si>
    <t>"0:min
69.76:Max
71.01:invalid"
((0～250))×0.25+7.26 =
7.26～69.76[psi]
0~250 (Sensor raw data)</t>
    <phoneticPr fontId="28" type="noConversion"/>
  </si>
  <si>
    <t>Left Rear Wheel Pressure</t>
  </si>
  <si>
    <t>Right Rear Wheel Pressure</t>
  </si>
  <si>
    <t>LeftForwardWheelTemperature</t>
  </si>
  <si>
    <t>-40</t>
  </si>
  <si>
    <t>Deg^C</t>
  </si>
  <si>
    <t>-40:min
120:Max
215:invalid</t>
    <phoneticPr fontId="28" type="noConversion"/>
  </si>
  <si>
    <t>RightForwardWheelTemperature</t>
  </si>
  <si>
    <t>-40</t>
    <phoneticPr fontId="28" type="noConversion"/>
  </si>
  <si>
    <t>-40:min
120:Max
215:invalid</t>
  </si>
  <si>
    <t>````</t>
    <phoneticPr fontId="28" type="noConversion"/>
  </si>
  <si>
    <t>LeftRearWheelTemperature</t>
  </si>
  <si>
    <t>RightRearWheelTemperature</t>
  </si>
  <si>
    <t>LeftForwardWheelSensorBatteryStatus</t>
  </si>
  <si>
    <t>0x0:Normal
0x1:Low</t>
  </si>
  <si>
    <t>RightForwardWheelSensorBatteryStatus</t>
  </si>
  <si>
    <t>LeftRearWheelSensorBatteryStatus</t>
  </si>
  <si>
    <t>RightRearWheelSensorBatteryStatus</t>
  </si>
  <si>
    <t>LeftForward Low Pressure Threshold</t>
  </si>
  <si>
    <t>57.26</t>
  </si>
  <si>
    <t>((0～200))×0.25+7.26 =7.26～57.26[psi]
0~200 (Sensor raw data)</t>
    <phoneticPr fontId="28" type="noConversion"/>
  </si>
  <si>
    <t>RightForwardLowPressureThreshold</t>
  </si>
  <si>
    <t>LeftRearLowPressureThreshold</t>
  </si>
  <si>
    <t>RightRearLowPressureThreshold</t>
  </si>
  <si>
    <t>LeftForwardSensorMode</t>
  </si>
  <si>
    <t>0x0:Not FAT Mode
0x1:FAT Mode</t>
  </si>
  <si>
    <t>RightForwardSensorMode</t>
  </si>
  <si>
    <t>LeftRearSensorMode</t>
  </si>
  <si>
    <t>RightRearSensorMode</t>
  </si>
  <si>
    <t>LearnStatus</t>
  </si>
  <si>
    <t>0x0:Not learn
0x1:learned
0x2:learn fail</t>
  </si>
  <si>
    <t>83</t>
    <phoneticPr fontId="28" type="noConversion"/>
  </si>
  <si>
    <t>Format: ISO 8601's 16-bytes format, for example, 20240301T185901Z</t>
    <phoneticPr fontId="28" type="noConversion"/>
  </si>
  <si>
    <t>DKCVersion</t>
    <phoneticPr fontId="28" type="noConversion"/>
  </si>
  <si>
    <t>80</t>
    <phoneticPr fontId="28" type="noConversion"/>
  </si>
  <si>
    <t>KW45 version</t>
    <phoneticPr fontId="28" type="noConversion"/>
  </si>
  <si>
    <t>87</t>
    <phoneticPr fontId="28" type="noConversion"/>
  </si>
  <si>
    <t>152</t>
    <phoneticPr fontId="28" type="noConversion"/>
  </si>
  <si>
    <t>Door NFC version</t>
    <phoneticPr fontId="28" type="noConversion"/>
  </si>
  <si>
    <t>167</t>
    <phoneticPr fontId="28" type="noConversion"/>
  </si>
  <si>
    <t>232</t>
    <phoneticPr fontId="28" type="noConversion"/>
  </si>
  <si>
    <t>LidA NFC version</t>
    <phoneticPr fontId="28" type="noConversion"/>
  </si>
  <si>
    <t>30</t>
    <phoneticPr fontId="28" type="noConversion"/>
  </si>
  <si>
    <t>247</t>
    <phoneticPr fontId="28" type="noConversion"/>
  </si>
  <si>
    <t>312</t>
    <phoneticPr fontId="28" type="noConversion"/>
  </si>
  <si>
    <t>UWB anchor1</t>
    <phoneticPr fontId="28" type="noConversion"/>
  </si>
  <si>
    <t>327</t>
    <phoneticPr fontId="28" type="noConversion"/>
  </si>
  <si>
    <t>392</t>
    <phoneticPr fontId="28" type="noConversion"/>
  </si>
  <si>
    <t>UWB anchor2</t>
    <phoneticPr fontId="28" type="noConversion"/>
  </si>
  <si>
    <t>50</t>
    <phoneticPr fontId="28" type="noConversion"/>
  </si>
  <si>
    <t>407</t>
    <phoneticPr fontId="28" type="noConversion"/>
  </si>
  <si>
    <t>472</t>
    <phoneticPr fontId="28" type="noConversion"/>
  </si>
  <si>
    <t>UWB anchor3</t>
    <phoneticPr fontId="28" type="noConversion"/>
  </si>
  <si>
    <t>487</t>
    <phoneticPr fontId="28" type="noConversion"/>
  </si>
  <si>
    <t>552</t>
    <phoneticPr fontId="28" type="noConversion"/>
  </si>
  <si>
    <t>UWB anchor4</t>
    <phoneticPr fontId="28" type="noConversion"/>
  </si>
  <si>
    <t>70</t>
    <phoneticPr fontId="28" type="noConversion"/>
  </si>
  <si>
    <t>567</t>
    <phoneticPr fontId="28" type="noConversion"/>
  </si>
  <si>
    <t>632</t>
    <phoneticPr fontId="28" type="noConversion"/>
  </si>
  <si>
    <t>On Board UWB anchor</t>
    <phoneticPr fontId="28" type="noConversion"/>
  </si>
  <si>
    <t>0x0F05</t>
    <phoneticPr fontId="28" type="noConversion"/>
  </si>
  <si>
    <t>Operation</t>
  </si>
  <si>
    <t>Hex</t>
    <phoneticPr fontId="45" type="noConversion"/>
  </si>
  <si>
    <t>0x01:Add SN
0x02:delete SN</t>
  </si>
  <si>
    <t>KeyNum</t>
  </si>
  <si>
    <t>0x0:Undefined
0xF:Invalid</t>
  </si>
  <si>
    <t>0x01:UID type
0x02:NFC type</t>
  </si>
  <si>
    <t>Length</t>
  </si>
  <si>
    <t>SN Value</t>
  </si>
  <si>
    <t>0x0F06</t>
    <phoneticPr fontId="28" type="noConversion"/>
  </si>
  <si>
    <t>0x0:Undefined
0xF:Undefined</t>
  </si>
  <si>
    <t>1st SN Value</t>
  </si>
  <si>
    <t>2nd SN Value</t>
  </si>
  <si>
    <t>3rd SN Value</t>
  </si>
  <si>
    <t>408</t>
  </si>
  <si>
    <t>4th SN Value</t>
  </si>
  <si>
    <t>423</t>
  </si>
  <si>
    <t>416</t>
  </si>
  <si>
    <t>431</t>
  </si>
  <si>
    <t>424</t>
  </si>
  <si>
    <t>439</t>
  </si>
  <si>
    <t>432</t>
  </si>
  <si>
    <t>447</t>
  </si>
  <si>
    <t>512</t>
  </si>
  <si>
    <t>5th SN Value</t>
  </si>
  <si>
    <t>527</t>
  </si>
  <si>
    <t>520</t>
  </si>
  <si>
    <t>535</t>
  </si>
  <si>
    <t>528</t>
  </si>
  <si>
    <t>543</t>
  </si>
  <si>
    <t>536</t>
  </si>
  <si>
    <t>551</t>
  </si>
  <si>
    <t>616</t>
  </si>
  <si>
    <t>6th SN Value</t>
  </si>
  <si>
    <t>631</t>
  </si>
  <si>
    <t>624</t>
  </si>
  <si>
    <t>639</t>
  </si>
  <si>
    <t>632</t>
  </si>
  <si>
    <t>647</t>
  </si>
  <si>
    <t>640</t>
  </si>
  <si>
    <t>655</t>
  </si>
  <si>
    <t>720</t>
  </si>
  <si>
    <t>7th SN Value</t>
  </si>
  <si>
    <t>735</t>
  </si>
  <si>
    <t>728</t>
  </si>
  <si>
    <t>743</t>
  </si>
  <si>
    <t>736</t>
  </si>
  <si>
    <t>751</t>
  </si>
  <si>
    <t>744</t>
  </si>
  <si>
    <t>759</t>
  </si>
  <si>
    <t>824</t>
  </si>
  <si>
    <t>8th SN Value</t>
  </si>
  <si>
    <t>839</t>
  </si>
  <si>
    <t>832</t>
  </si>
  <si>
    <t>847</t>
  </si>
  <si>
    <t>840</t>
  </si>
  <si>
    <t>855</t>
  </si>
  <si>
    <t>848</t>
  </si>
  <si>
    <t>863</t>
  </si>
  <si>
    <t>928</t>
  </si>
  <si>
    <t>9th SN Value</t>
  </si>
  <si>
    <t>943</t>
  </si>
  <si>
    <t>936</t>
  </si>
  <si>
    <t>951</t>
  </si>
  <si>
    <t>944</t>
  </si>
  <si>
    <t>959</t>
  </si>
  <si>
    <t>952</t>
  </si>
  <si>
    <t>967</t>
  </si>
  <si>
    <t>1032</t>
  </si>
  <si>
    <t>10th SN Value</t>
  </si>
  <si>
    <t>1047</t>
  </si>
  <si>
    <t>1040</t>
  </si>
  <si>
    <t>1055</t>
  </si>
  <si>
    <t>1048</t>
  </si>
  <si>
    <t>1063</t>
  </si>
  <si>
    <t>1056</t>
  </si>
  <si>
    <t>1071</t>
  </si>
  <si>
    <t>1136</t>
  </si>
  <si>
    <t>11th SN Value</t>
  </si>
  <si>
    <t>1151</t>
  </si>
  <si>
    <t>1144</t>
  </si>
  <si>
    <t>1159</t>
  </si>
  <si>
    <t>1152</t>
  </si>
  <si>
    <t>1167</t>
  </si>
  <si>
    <t>1160</t>
  </si>
  <si>
    <t>1175</t>
  </si>
  <si>
    <t>1240</t>
  </si>
  <si>
    <t>12th SN Value</t>
  </si>
  <si>
    <t>1255</t>
  </si>
  <si>
    <t>1248</t>
  </si>
  <si>
    <t>1263</t>
  </si>
  <si>
    <t>1256</t>
  </si>
  <si>
    <t>1271</t>
  </si>
  <si>
    <t>1264</t>
  </si>
  <si>
    <t>1279</t>
  </si>
  <si>
    <t>1344</t>
  </si>
  <si>
    <t>13th SN Value</t>
  </si>
  <si>
    <t>1359</t>
  </si>
  <si>
    <t>1352</t>
  </si>
  <si>
    <t>1367</t>
  </si>
  <si>
    <t>1360</t>
  </si>
  <si>
    <t>1375</t>
  </si>
  <si>
    <t>1368</t>
  </si>
  <si>
    <t>1383</t>
  </si>
  <si>
    <t>1448</t>
  </si>
  <si>
    <t>14th SN Value</t>
  </si>
  <si>
    <t>0x0F07</t>
    <phoneticPr fontId="28" type="noConversion"/>
  </si>
  <si>
    <t>DKC Status</t>
    <phoneticPr fontId="28" type="noConversion"/>
  </si>
  <si>
    <t>Current Car Key type</t>
    <phoneticPr fontId="28" type="noConversion"/>
  </si>
  <si>
    <t>0x0：Default_x000D_
0x1：UID (UWB)_x000D_
0x2：UID (BLE)_x000D_
0x3：PHONE (UWB)_x000D_
0x4：PHONE (BLE)_x000D_
0x5：NFC_x000D_
0x6：Invalid</t>
  </si>
  <si>
    <t>Current Key fob position</t>
    <phoneticPr fontId="28" type="noConversion"/>
  </si>
  <si>
    <r>
      <t>0x0</t>
    </r>
    <r>
      <rPr>
        <sz val="10"/>
        <rFont val="微軟正黑體"/>
        <family val="2"/>
        <charset val="136"/>
      </rPr>
      <t>：</t>
    </r>
    <r>
      <rPr>
        <sz val="10"/>
        <rFont val="Arial"/>
        <family val="2"/>
      </rPr>
      <t>Unavaliable
0x1</t>
    </r>
    <r>
      <rPr>
        <sz val="10"/>
        <rFont val="微軟正黑體"/>
        <family val="2"/>
        <charset val="136"/>
      </rPr>
      <t>：</t>
    </r>
    <r>
      <rPr>
        <sz val="10"/>
        <rFont val="Arial"/>
        <family val="2"/>
      </rPr>
      <t>PS Zone
0x2</t>
    </r>
    <r>
      <rPr>
        <sz val="10"/>
        <rFont val="微軟正黑體"/>
        <family val="2"/>
        <charset val="136"/>
      </rPr>
      <t>：</t>
    </r>
    <r>
      <rPr>
        <sz val="10"/>
        <rFont val="Arial"/>
        <family val="2"/>
      </rPr>
      <t>Lock Zone
0x3</t>
    </r>
    <r>
      <rPr>
        <sz val="10"/>
        <rFont val="細明體"/>
        <family val="2"/>
        <charset val="136"/>
      </rPr>
      <t>：U</t>
    </r>
    <r>
      <rPr>
        <sz val="10"/>
        <rFont val="Arial"/>
        <family val="2"/>
      </rPr>
      <t>nlock Zone
0x4</t>
    </r>
    <r>
      <rPr>
        <sz val="10"/>
        <rFont val="細明體"/>
        <family val="2"/>
        <charset val="136"/>
      </rPr>
      <t xml:space="preserve">：Welcome Zone
</t>
    </r>
    <r>
      <rPr>
        <sz val="10"/>
        <rFont val="Arial"/>
        <family val="2"/>
      </rPr>
      <t>0x5</t>
    </r>
    <r>
      <rPr>
        <sz val="10"/>
        <rFont val="細明體"/>
        <family val="2"/>
        <charset val="136"/>
      </rPr>
      <t>：</t>
    </r>
    <r>
      <rPr>
        <sz val="10"/>
        <rFont val="Arial"/>
        <family val="2"/>
      </rPr>
      <t>SPTG Zone
0x6</t>
    </r>
    <r>
      <rPr>
        <sz val="10"/>
        <rFont val="微軟正黑體"/>
        <family val="2"/>
        <charset val="136"/>
      </rPr>
      <t>：</t>
    </r>
    <r>
      <rPr>
        <sz val="10"/>
        <rFont val="Arial"/>
        <family val="2"/>
      </rPr>
      <t>UnsedandReserved</t>
    </r>
    <phoneticPr fontId="28" type="noConversion"/>
  </si>
  <si>
    <t xml:space="preserve">KW45 module reset event </t>
    <phoneticPr fontId="28" type="noConversion"/>
  </si>
  <si>
    <t>0x0F08</t>
    <phoneticPr fontId="28" type="noConversion"/>
  </si>
  <si>
    <t>BLE Status</t>
    <phoneticPr fontId="28" type="noConversion"/>
  </si>
  <si>
    <t>BLE loss Counter</t>
    <phoneticPr fontId="28" type="noConversion"/>
  </si>
  <si>
    <t>BLE RSSI</t>
    <phoneticPr fontId="28" type="noConversion"/>
  </si>
  <si>
    <t>0x0F09</t>
    <phoneticPr fontId="28" type="noConversion"/>
  </si>
  <si>
    <t>UWB anchor Status</t>
    <phoneticPr fontId="28" type="noConversion"/>
  </si>
  <si>
    <t>93</t>
    <phoneticPr fontId="28" type="noConversion"/>
  </si>
  <si>
    <t>DKC_UWB_OnOff_Sta</t>
  </si>
  <si>
    <t>0x0：Off_x000D_
0x1：On</t>
  </si>
  <si>
    <t>14</t>
    <phoneticPr fontId="28" type="noConversion"/>
  </si>
  <si>
    <t>DKC_UWB1_Invalid_Sta</t>
    <phoneticPr fontId="28" type="noConversion"/>
  </si>
  <si>
    <t>0x0: Valid distance
0x1: Invalid distance
0x2: Anchor broken</t>
    <phoneticPr fontId="28" type="noConversion"/>
  </si>
  <si>
    <t>DKC_UWB2_Invalid_Sta</t>
  </si>
  <si>
    <t>DKC_UWB3_Invalid_Sta</t>
  </si>
  <si>
    <t>DKC_UWB4_Invalid_Sta</t>
  </si>
  <si>
    <t>17</t>
    <phoneticPr fontId="28" type="noConversion"/>
  </si>
  <si>
    <t>DKC_UWB5_Invalid_Sta</t>
    <phoneticPr fontId="28" type="noConversion"/>
  </si>
  <si>
    <t>DKC_UWB1_FPP_Sta</t>
    <phoneticPr fontId="28" type="noConversion"/>
  </si>
  <si>
    <t>-127</t>
  </si>
  <si>
    <t>bdm</t>
    <phoneticPr fontId="28" type="noConversion"/>
  </si>
  <si>
    <t>0xFF：Invalid</t>
  </si>
  <si>
    <t>DKC_UWB2_FPP_Sta</t>
  </si>
  <si>
    <t>DKC_UWB3_FPP_Sta</t>
  </si>
  <si>
    <t>DKC_UWB4_FPP_Sta</t>
  </si>
  <si>
    <t>DKC_UWB5_FPP_Sta</t>
  </si>
  <si>
    <t>DKC_UWB1_Distance_Sta</t>
    <phoneticPr fontId="28" type="noConversion"/>
  </si>
  <si>
    <t>cm</t>
    <phoneticPr fontId="28" type="noConversion"/>
  </si>
  <si>
    <t>DKC_UWB2_Distance_Sta</t>
  </si>
  <si>
    <t>DKC_UWB3_Distance_Sta</t>
  </si>
  <si>
    <t>DKC_UWB4_Distance_Sta</t>
  </si>
  <si>
    <t>103</t>
    <phoneticPr fontId="28" type="noConversion"/>
  </si>
  <si>
    <t>96</t>
    <phoneticPr fontId="28" type="noConversion"/>
  </si>
  <si>
    <t>DKC_UWB5_Distance_Sta</t>
  </si>
  <si>
    <t>176</t>
    <phoneticPr fontId="28" type="noConversion"/>
  </si>
  <si>
    <t>191</t>
    <phoneticPr fontId="28" type="noConversion"/>
  </si>
  <si>
    <t>256</t>
    <phoneticPr fontId="28" type="noConversion"/>
  </si>
  <si>
    <t>33</t>
    <phoneticPr fontId="28" type="noConversion"/>
  </si>
  <si>
    <t>271</t>
    <phoneticPr fontId="28" type="noConversion"/>
  </si>
  <si>
    <t>UWB2 anchor Hardware Version</t>
    <phoneticPr fontId="28" type="noConversion"/>
  </si>
  <si>
    <t>43</t>
    <phoneticPr fontId="28" type="noConversion"/>
  </si>
  <si>
    <t>UWB2 anchor Software Version</t>
    <phoneticPr fontId="28" type="noConversion"/>
  </si>
  <si>
    <t>53</t>
    <phoneticPr fontId="28" type="noConversion"/>
  </si>
  <si>
    <t>496</t>
  </si>
  <si>
    <t>UWB3 anchor Hardware Version</t>
    <phoneticPr fontId="28" type="noConversion"/>
  </si>
  <si>
    <t>511</t>
  </si>
  <si>
    <t>576</t>
  </si>
  <si>
    <t>UWB3 anchor Software Version</t>
    <phoneticPr fontId="28" type="noConversion"/>
  </si>
  <si>
    <t>73</t>
    <phoneticPr fontId="28" type="noConversion"/>
  </si>
  <si>
    <t>591</t>
  </si>
  <si>
    <t>656</t>
  </si>
  <si>
    <t>UWB4 anchor Hardware Version</t>
    <phoneticPr fontId="28" type="noConversion"/>
  </si>
  <si>
    <t>671</t>
  </si>
  <si>
    <t>UWB4 anchor Software Version</t>
    <phoneticPr fontId="28" type="noConversion"/>
  </si>
  <si>
    <t>LID-A anchor Status</t>
    <phoneticPr fontId="28" type="noConversion"/>
  </si>
  <si>
    <t>21</t>
    <phoneticPr fontId="28" type="noConversion"/>
  </si>
  <si>
    <t>LID-A anchor Hardware Version</t>
    <phoneticPr fontId="28" type="noConversion"/>
  </si>
  <si>
    <t>LID-A anchor Software Version</t>
    <phoneticPr fontId="28" type="noConversion"/>
  </si>
  <si>
    <t>LID-A anchor Detected NFC card</t>
    <phoneticPr fontId="28" type="noConversion"/>
  </si>
  <si>
    <r>
      <t>0x0</t>
    </r>
    <r>
      <rPr>
        <sz val="8"/>
        <rFont val="細明體"/>
        <family val="2"/>
        <charset val="136"/>
      </rPr>
      <t>：</t>
    </r>
    <r>
      <rPr>
        <sz val="8"/>
        <rFont val="Arial"/>
        <family val="2"/>
      </rPr>
      <t>None
0x1</t>
    </r>
    <r>
      <rPr>
        <sz val="8"/>
        <rFont val="細明體"/>
        <family val="2"/>
        <charset val="136"/>
      </rPr>
      <t>：Detected
0x2: Not empty</t>
    </r>
    <phoneticPr fontId="28" type="noConversion"/>
  </si>
  <si>
    <t>Door NFC anchor Status</t>
    <phoneticPr fontId="28" type="noConversion"/>
  </si>
  <si>
    <t>Door anchor Hardware Version</t>
    <phoneticPr fontId="28" type="noConversion"/>
  </si>
  <si>
    <t>Door anchor Software Version</t>
    <phoneticPr fontId="28" type="noConversion"/>
  </si>
  <si>
    <t>Door anchor Detected NFC card</t>
    <phoneticPr fontId="28" type="noConversion"/>
  </si>
  <si>
    <t>UID Status</t>
    <phoneticPr fontId="28" type="noConversion"/>
  </si>
  <si>
    <t>UID Hardware Version</t>
    <phoneticPr fontId="28" type="noConversion"/>
  </si>
  <si>
    <t>UID Software Version</t>
    <phoneticPr fontId="28" type="noConversion"/>
  </si>
  <si>
    <t>UID current voltage</t>
    <phoneticPr fontId="28" type="noConversion"/>
  </si>
  <si>
    <t>5000</t>
    <phoneticPr fontId="28" type="noConversion"/>
  </si>
  <si>
    <t>mV</t>
  </si>
  <si>
    <r>
      <t>0x0</t>
    </r>
    <r>
      <rPr>
        <sz val="8"/>
        <rFont val="微軟正黑體"/>
        <family val="2"/>
        <charset val="136"/>
      </rPr>
      <t>：</t>
    </r>
    <r>
      <rPr>
        <sz val="8"/>
        <rFont val="Arial"/>
        <family val="2"/>
      </rPr>
      <t>Invalid</t>
    </r>
    <phoneticPr fontId="28" type="noConversion"/>
  </si>
  <si>
    <t>22</t>
    <phoneticPr fontId="28" type="noConversion"/>
  </si>
  <si>
    <t>183</t>
    <phoneticPr fontId="28" type="noConversion"/>
  </si>
  <si>
    <t>184</t>
    <phoneticPr fontId="28" type="noConversion"/>
  </si>
  <si>
    <t>UID Max voltage</t>
    <phoneticPr fontId="28" type="noConversion"/>
  </si>
  <si>
    <t>199</t>
    <phoneticPr fontId="28" type="noConversion"/>
  </si>
  <si>
    <t>200</t>
    <phoneticPr fontId="28" type="noConversion"/>
  </si>
  <si>
    <t>UID Min voltage</t>
    <phoneticPr fontId="28" type="noConversion"/>
  </si>
  <si>
    <t>FDC_DKC_CoordinateX_Sta</t>
    <phoneticPr fontId="28" type="noConversion"/>
  </si>
  <si>
    <t>-2550</t>
    <phoneticPr fontId="28" type="noConversion"/>
  </si>
  <si>
    <t>2550</t>
    <phoneticPr fontId="28" type="noConversion"/>
  </si>
  <si>
    <t>0x00: Exceed lower bound
0x1FF: Exceed upper bound</t>
    <phoneticPr fontId="28" type="noConversion"/>
  </si>
  <si>
    <t>FDC_DKC_CoordinateY_Sta</t>
    <phoneticPr fontId="28" type="noConversion"/>
  </si>
  <si>
    <t>-2550</t>
  </si>
  <si>
    <t>0x1001</t>
    <phoneticPr fontId="51" type="noConversion"/>
  </si>
  <si>
    <t>19</t>
    <phoneticPr fontId="28" type="noConversion"/>
  </si>
  <si>
    <t>AccReq</t>
    <phoneticPr fontId="51" type="noConversion"/>
  </si>
  <si>
    <t>-15</t>
    <phoneticPr fontId="51" type="noConversion"/>
  </si>
  <si>
    <t>10.55</t>
    <phoneticPr fontId="51" type="noConversion"/>
  </si>
  <si>
    <t>m/s^2</t>
    <phoneticPr fontId="51" type="noConversion"/>
  </si>
  <si>
    <t>0.05</t>
    <phoneticPr fontId="51" type="noConversion"/>
  </si>
  <si>
    <t>AccReq (VMC)</t>
    <phoneticPr fontId="51" type="noConversion"/>
  </si>
  <si>
    <t>3</t>
    <phoneticPr fontId="51" type="noConversion"/>
  </si>
  <si>
    <t>31</t>
    <phoneticPr fontId="51" type="noConversion"/>
  </si>
  <si>
    <t>24</t>
    <phoneticPr fontId="51" type="noConversion"/>
  </si>
  <si>
    <t>AccReq_A</t>
    <phoneticPr fontId="51" type="noConversion"/>
  </si>
  <si>
    <t>0</t>
    <phoneticPr fontId="51" type="noConversion"/>
  </si>
  <si>
    <t>1</t>
    <phoneticPr fontId="51" type="noConversion"/>
  </si>
  <si>
    <t>0x0:Nom-Applicable
0x1:Applicable</t>
    <phoneticPr fontId="51" type="noConversion"/>
  </si>
  <si>
    <t>AccReq_A (VMC)</t>
    <phoneticPr fontId="51" type="noConversion"/>
  </si>
  <si>
    <t>48</t>
    <phoneticPr fontId="28" type="noConversion"/>
  </si>
  <si>
    <t>TargetSpdReq</t>
    <phoneticPr fontId="51" type="noConversion"/>
  </si>
  <si>
    <t>TargetSpdReq (VMC)</t>
    <phoneticPr fontId="51" type="noConversion"/>
  </si>
  <si>
    <t>7</t>
    <phoneticPr fontId="51" type="noConversion"/>
  </si>
  <si>
    <t>63</t>
    <phoneticPr fontId="51" type="noConversion"/>
  </si>
  <si>
    <t>56</t>
    <phoneticPr fontId="51" type="noConversion"/>
  </si>
  <si>
    <t>TargetSpdReq_A</t>
    <phoneticPr fontId="51" type="noConversion"/>
  </si>
  <si>
    <t>TargetSpdReq_A (VMC)</t>
    <phoneticPr fontId="51" type="noConversion"/>
  </si>
  <si>
    <t>8</t>
    <phoneticPr fontId="51" type="noConversion"/>
  </si>
  <si>
    <t>71</t>
    <phoneticPr fontId="51" type="noConversion"/>
  </si>
  <si>
    <t>64</t>
    <phoneticPr fontId="51" type="noConversion"/>
  </si>
  <si>
    <t>Angle_Target_Valid</t>
    <phoneticPr fontId="51" type="noConversion"/>
  </si>
  <si>
    <t>0x0:valid
0x1:invalid</t>
    <phoneticPr fontId="51" type="noConversion"/>
  </si>
  <si>
    <t>Angle_Target_Valid (VMC)</t>
    <phoneticPr fontId="51" type="noConversion"/>
  </si>
  <si>
    <t>9</t>
    <phoneticPr fontId="51" type="noConversion"/>
  </si>
  <si>
    <t>79</t>
    <phoneticPr fontId="51" type="noConversion"/>
  </si>
  <si>
    <t>72</t>
    <phoneticPr fontId="51" type="noConversion"/>
  </si>
  <si>
    <t>Angle_Target_Req</t>
    <phoneticPr fontId="51" type="noConversion"/>
  </si>
  <si>
    <t>0x0:Nom-Request
0x1:Request</t>
    <phoneticPr fontId="51" type="noConversion"/>
  </si>
  <si>
    <t>Angle_Target_Req (VMC)</t>
    <phoneticPr fontId="51" type="noConversion"/>
  </si>
  <si>
    <t>10</t>
    <phoneticPr fontId="51" type="noConversion"/>
  </si>
  <si>
    <t>87</t>
    <phoneticPr fontId="51" type="noConversion"/>
  </si>
  <si>
    <t>104</t>
    <phoneticPr fontId="51" type="noConversion"/>
  </si>
  <si>
    <t>Angle_Target</t>
    <phoneticPr fontId="51" type="noConversion"/>
  </si>
  <si>
    <t>-900</t>
    <phoneticPr fontId="51" type="noConversion"/>
  </si>
  <si>
    <t>900</t>
    <phoneticPr fontId="51" type="noConversion"/>
  </si>
  <si>
    <t>Deg</t>
    <phoneticPr fontId="51" type="noConversion"/>
  </si>
  <si>
    <t>0.1</t>
    <phoneticPr fontId="51" type="noConversion"/>
  </si>
  <si>
    <t>Angle_Target (VMC)</t>
    <phoneticPr fontId="51" type="noConversion"/>
  </si>
  <si>
    <t>14</t>
    <phoneticPr fontId="51" type="noConversion"/>
  </si>
  <si>
    <t>119</t>
    <phoneticPr fontId="51" type="noConversion"/>
  </si>
  <si>
    <t>112</t>
    <phoneticPr fontId="51" type="noConversion"/>
  </si>
  <si>
    <t>Torque_Target_Valid</t>
    <phoneticPr fontId="51" type="noConversion"/>
  </si>
  <si>
    <t>Torque_Target_Valid (VMC)</t>
    <phoneticPr fontId="51" type="noConversion"/>
  </si>
  <si>
    <t>15</t>
    <phoneticPr fontId="51" type="noConversion"/>
  </si>
  <si>
    <t>127</t>
    <phoneticPr fontId="51" type="noConversion"/>
  </si>
  <si>
    <t>120</t>
    <phoneticPr fontId="51" type="noConversion"/>
  </si>
  <si>
    <t>Torque_Target_Req</t>
  </si>
  <si>
    <t>Torque_Target_Req (VMC)</t>
    <phoneticPr fontId="51" type="noConversion"/>
  </si>
  <si>
    <t>16</t>
    <phoneticPr fontId="51" type="noConversion"/>
  </si>
  <si>
    <t>135</t>
    <phoneticPr fontId="51" type="noConversion"/>
  </si>
  <si>
    <t>144</t>
    <phoneticPr fontId="51" type="noConversion"/>
  </si>
  <si>
    <t>Torque_Target</t>
    <phoneticPr fontId="51" type="noConversion"/>
  </si>
  <si>
    <t>-10</t>
    <phoneticPr fontId="51" type="noConversion"/>
  </si>
  <si>
    <t>Nm</t>
    <phoneticPr fontId="51" type="noConversion"/>
  </si>
  <si>
    <t>0.01</t>
    <phoneticPr fontId="51" type="noConversion"/>
  </si>
  <si>
    <t>Torque_Target (VMC)</t>
    <phoneticPr fontId="51" type="noConversion"/>
  </si>
  <si>
    <t>0x1002</t>
    <phoneticPr fontId="51" type="noConversion"/>
  </si>
  <si>
    <t>FoxPi_Motion_Status</t>
    <phoneticPr fontId="51" type="noConversion"/>
  </si>
  <si>
    <t>Vehicle speed</t>
    <phoneticPr fontId="51" type="noConversion"/>
  </si>
  <si>
    <t>Vehicle speed (VMC)</t>
    <phoneticPr fontId="51" type="noConversion"/>
  </si>
  <si>
    <t>32</t>
    <phoneticPr fontId="51" type="noConversion"/>
  </si>
  <si>
    <t>LongAccel</t>
  </si>
  <si>
    <t>-1.27</t>
    <phoneticPr fontId="51" type="noConversion"/>
  </si>
  <si>
    <t>1.27</t>
    <phoneticPr fontId="51" type="noConversion"/>
  </si>
  <si>
    <t>G's</t>
    <phoneticPr fontId="51" type="noConversion"/>
  </si>
  <si>
    <t>LongAccel (VMC)</t>
    <phoneticPr fontId="51" type="noConversion"/>
  </si>
  <si>
    <t>5</t>
    <phoneticPr fontId="51" type="noConversion"/>
  </si>
  <si>
    <t>47</t>
    <phoneticPr fontId="51" type="noConversion"/>
  </si>
  <si>
    <t>40</t>
    <phoneticPr fontId="51" type="noConversion"/>
  </si>
  <si>
    <t>LongAccel_V</t>
  </si>
  <si>
    <t>LongAccel_V (VMC)</t>
    <phoneticPr fontId="51" type="noConversion"/>
  </si>
  <si>
    <t>6</t>
    <phoneticPr fontId="51" type="noConversion"/>
  </si>
  <si>
    <t>55</t>
    <phoneticPr fontId="51" type="noConversion"/>
  </si>
  <si>
    <t>LatAccel</t>
  </si>
  <si>
    <t>LatAccel (VMC)</t>
    <phoneticPr fontId="51" type="noConversion"/>
  </si>
  <si>
    <t>LatAccel_V</t>
  </si>
  <si>
    <t>LatAccel_V (VMC)</t>
    <phoneticPr fontId="51" type="noConversion"/>
  </si>
  <si>
    <t>88</t>
    <phoneticPr fontId="51" type="noConversion"/>
  </si>
  <si>
    <t>YawRate</t>
  </si>
  <si>
    <t>-100</t>
    <phoneticPr fontId="51" type="noConversion"/>
  </si>
  <si>
    <t>100</t>
    <phoneticPr fontId="51" type="noConversion"/>
  </si>
  <si>
    <t>Deg/s</t>
    <phoneticPr fontId="51" type="noConversion"/>
  </si>
  <si>
    <t>YawRate (VMC)</t>
    <phoneticPr fontId="51" type="noConversion"/>
  </si>
  <si>
    <t>12</t>
    <phoneticPr fontId="51" type="noConversion"/>
  </si>
  <si>
    <t>103</t>
    <phoneticPr fontId="51" type="noConversion"/>
  </si>
  <si>
    <t>96</t>
    <phoneticPr fontId="51" type="noConversion"/>
  </si>
  <si>
    <t>YawRate_V</t>
  </si>
  <si>
    <t>YawRate_V (VMC)</t>
    <phoneticPr fontId="51" type="noConversion"/>
  </si>
  <si>
    <t>0x1003</t>
    <phoneticPr fontId="51" type="noConversion"/>
  </si>
  <si>
    <t>FoxPi_Brake_Status</t>
    <phoneticPr fontId="51" type="noConversion"/>
  </si>
  <si>
    <t>13</t>
    <phoneticPr fontId="51" type="noConversion"/>
  </si>
  <si>
    <t>BrkSw_Sta</t>
  </si>
  <si>
    <t>0x0:inactive
0x1:active</t>
    <phoneticPr fontId="51" type="noConversion"/>
  </si>
  <si>
    <t>BrkSw_Sta (VMC)</t>
    <phoneticPr fontId="51" type="noConversion"/>
  </si>
  <si>
    <t>BrkSw_V</t>
  </si>
  <si>
    <t>BrkSw_V (VMC)</t>
    <phoneticPr fontId="51" type="noConversion"/>
  </si>
  <si>
    <t>2</t>
    <phoneticPr fontId="51" type="noConversion"/>
  </si>
  <si>
    <t>23</t>
    <phoneticPr fontId="51" type="noConversion"/>
  </si>
  <si>
    <t>MCPressure</t>
  </si>
  <si>
    <t>-9.7</t>
    <phoneticPr fontId="51" type="noConversion"/>
  </si>
  <si>
    <t>195</t>
    <phoneticPr fontId="51" type="noConversion"/>
  </si>
  <si>
    <t>bar</t>
    <phoneticPr fontId="51" type="noConversion"/>
  </si>
  <si>
    <t>MCPressure (VMC)</t>
    <phoneticPr fontId="51" type="noConversion"/>
  </si>
  <si>
    <t>MCPressure_V</t>
  </si>
  <si>
    <t>MCPressure_V (VMC)</t>
    <phoneticPr fontId="51" type="noConversion"/>
  </si>
  <si>
    <t>48</t>
    <phoneticPr fontId="51" type="noConversion"/>
  </si>
  <si>
    <t>PBA_Active</t>
  </si>
  <si>
    <t>PBA_Active (VMC)</t>
    <phoneticPr fontId="51" type="noConversion"/>
  </si>
  <si>
    <t>PBA_Failed</t>
  </si>
  <si>
    <t>0x0:Normal
0x1:Failed</t>
    <phoneticPr fontId="51" type="noConversion"/>
  </si>
  <si>
    <t>PBA_Failed (VMC)</t>
    <phoneticPr fontId="51" type="noConversion"/>
  </si>
  <si>
    <t>ABS_Active</t>
  </si>
  <si>
    <t>ABS_Active (VMC)</t>
    <phoneticPr fontId="51" type="noConversion"/>
  </si>
  <si>
    <t>ABS_Failed</t>
  </si>
  <si>
    <t>ABS_Failed (VMC)</t>
    <phoneticPr fontId="51" type="noConversion"/>
  </si>
  <si>
    <t>80</t>
    <phoneticPr fontId="51" type="noConversion"/>
  </si>
  <si>
    <t>EBD_Active</t>
  </si>
  <si>
    <t>EBD_Active (VMC)</t>
    <phoneticPr fontId="51" type="noConversion"/>
  </si>
  <si>
    <t>11</t>
    <phoneticPr fontId="51" type="noConversion"/>
  </si>
  <si>
    <t>95</t>
    <phoneticPr fontId="51" type="noConversion"/>
  </si>
  <si>
    <t>EBD_Failed</t>
    <phoneticPr fontId="51" type="noConversion"/>
  </si>
  <si>
    <t>EBD_Failed (VMC)</t>
    <phoneticPr fontId="51" type="noConversion"/>
  </si>
  <si>
    <t>ACC _Availabliity</t>
    <phoneticPr fontId="51" type="noConversion"/>
  </si>
  <si>
    <r>
      <t>0x0</t>
    </r>
    <r>
      <rPr>
        <sz val="8"/>
        <rFont val="細明體"/>
        <family val="2"/>
        <charset val="136"/>
      </rPr>
      <t>：</t>
    </r>
    <r>
      <rPr>
        <sz val="8"/>
        <rFont val="Arial"/>
        <family val="2"/>
      </rPr>
      <t>Unvailable
0x1</t>
    </r>
    <r>
      <rPr>
        <sz val="8"/>
        <rFont val="細明體"/>
        <family val="2"/>
        <charset val="136"/>
      </rPr>
      <t>：</t>
    </r>
    <r>
      <rPr>
        <sz val="8"/>
        <rFont val="Arial"/>
        <family val="2"/>
      </rPr>
      <t>Available</t>
    </r>
    <phoneticPr fontId="51" type="noConversion"/>
  </si>
  <si>
    <t>ACC _Availabliity (VMC)</t>
    <phoneticPr fontId="51" type="noConversion"/>
  </si>
  <si>
    <t>0x1004</t>
    <phoneticPr fontId="51" type="noConversion"/>
  </si>
  <si>
    <t>FoxPi_WheelSpeed</t>
    <phoneticPr fontId="51" type="noConversion"/>
  </si>
  <si>
    <t>RR_RawWhlSpeed</t>
    <phoneticPr fontId="51" type="noConversion"/>
  </si>
  <si>
    <t>255.9375</t>
    <phoneticPr fontId="51" type="noConversion"/>
  </si>
  <si>
    <t>km/h</t>
    <phoneticPr fontId="51" type="noConversion"/>
  </si>
  <si>
    <t>0.0625</t>
    <phoneticPr fontId="51" type="noConversion"/>
  </si>
  <si>
    <t>RR_RawWhlSpeed (VMC)</t>
    <phoneticPr fontId="51" type="noConversion"/>
  </si>
  <si>
    <t>RR_RawWhlSpeed_V</t>
    <phoneticPr fontId="51" type="noConversion"/>
  </si>
  <si>
    <t>0x0:invalid
0x1:valid</t>
    <phoneticPr fontId="51" type="noConversion"/>
  </si>
  <si>
    <t>RR_RawWhlSpeed_V (VMC)</t>
    <phoneticPr fontId="51" type="noConversion"/>
  </si>
  <si>
    <t>4</t>
    <phoneticPr fontId="51" type="noConversion"/>
  </si>
  <si>
    <t>39</t>
    <phoneticPr fontId="51" type="noConversion"/>
  </si>
  <si>
    <t>LR_RawWhlSpeed</t>
    <phoneticPr fontId="51" type="noConversion"/>
  </si>
  <si>
    <t>LR_RawWhlSpeed (VMC)</t>
    <phoneticPr fontId="51" type="noConversion"/>
  </si>
  <si>
    <t>LR_RawWhlSpeed_V</t>
    <phoneticPr fontId="51" type="noConversion"/>
  </si>
  <si>
    <t>LR_RawWhlSpeed_V (VMC)</t>
    <phoneticPr fontId="51" type="noConversion"/>
  </si>
  <si>
    <t>RF_RawWhlSpeed</t>
    <phoneticPr fontId="51" type="noConversion"/>
  </si>
  <si>
    <t>RF_RawWhlSpeed (VMC)</t>
    <phoneticPr fontId="51" type="noConversion"/>
  </si>
  <si>
    <t>RF_RawWhlSpeed_V</t>
    <phoneticPr fontId="51" type="noConversion"/>
  </si>
  <si>
    <t>RF_RawWhlSpeed_V (VMC)</t>
    <phoneticPr fontId="51" type="noConversion"/>
  </si>
  <si>
    <t>LF_RawWhlSpeed</t>
    <phoneticPr fontId="51" type="noConversion"/>
  </si>
  <si>
    <t>LF_RawWhlSpeed (VMC)</t>
    <phoneticPr fontId="51" type="noConversion"/>
  </si>
  <si>
    <t>LF_RawWhlSpeed_V</t>
    <phoneticPr fontId="51" type="noConversion"/>
  </si>
  <si>
    <t>LF_RawWhlSpeed_V (VMC)</t>
    <phoneticPr fontId="51" type="noConversion"/>
  </si>
  <si>
    <t>0x1005</t>
    <phoneticPr fontId="51" type="noConversion"/>
  </si>
  <si>
    <t>FoxPi_EPS_Status</t>
    <phoneticPr fontId="51" type="noConversion"/>
  </si>
  <si>
    <t>SAS_Angle</t>
  </si>
  <si>
    <t>deg</t>
    <phoneticPr fontId="51" type="noConversion"/>
  </si>
  <si>
    <t>SAS_Angle (VMC)</t>
    <phoneticPr fontId="51" type="noConversion"/>
  </si>
  <si>
    <t>SAS_V</t>
    <phoneticPr fontId="51" type="noConversion"/>
  </si>
  <si>
    <t>SAS_V (VMC)</t>
    <phoneticPr fontId="51" type="noConversion"/>
  </si>
  <si>
    <t>SAS_CAL</t>
  </si>
  <si>
    <t>0x0: Non-calibrated
0x1:calibrated</t>
    <phoneticPr fontId="51" type="noConversion"/>
  </si>
  <si>
    <t>SAS_CAL (VMC)</t>
    <phoneticPr fontId="51" type="noConversion"/>
  </si>
  <si>
    <t>EPS_AOI_Control</t>
    <phoneticPr fontId="51" type="noConversion"/>
  </si>
  <si>
    <r>
      <t>0x0</t>
    </r>
    <r>
      <rPr>
        <sz val="8"/>
        <rFont val="細明體"/>
        <family val="2"/>
        <charset val="136"/>
      </rPr>
      <t>：</t>
    </r>
    <r>
      <rPr>
        <sz val="8"/>
        <rFont val="Arial"/>
        <family val="2"/>
      </rPr>
      <t>Control Inhibit
0x1:Availiable for control
0x2:Controlled
0x3:Pemanently Fail</t>
    </r>
    <phoneticPr fontId="51" type="noConversion"/>
  </si>
  <si>
    <t>EPS_AOI_Control (VMC)</t>
    <phoneticPr fontId="51" type="noConversion"/>
  </si>
  <si>
    <t>EpasFailed</t>
  </si>
  <si>
    <t>EpasFailed (VMC)</t>
    <phoneticPr fontId="51" type="noConversion"/>
  </si>
  <si>
    <t>EPS_TOI_Activation</t>
    <phoneticPr fontId="51" type="noConversion"/>
  </si>
  <si>
    <r>
      <t>0x0</t>
    </r>
    <r>
      <rPr>
        <sz val="8"/>
        <rFont val="細明體"/>
        <family val="2"/>
        <charset val="136"/>
      </rPr>
      <t>：</t>
    </r>
    <r>
      <rPr>
        <sz val="8"/>
        <rFont val="Arial"/>
        <family val="2"/>
      </rPr>
      <t>No Activation
0x1:Activation</t>
    </r>
    <phoneticPr fontId="51" type="noConversion"/>
  </si>
  <si>
    <t>EPS_TOI_Activation (VMC)</t>
    <phoneticPr fontId="51" type="noConversion"/>
  </si>
  <si>
    <t>EPS_TOI_Unavailable</t>
    <phoneticPr fontId="51" type="noConversion"/>
  </si>
  <si>
    <r>
      <t>0x0</t>
    </r>
    <r>
      <rPr>
        <sz val="8"/>
        <rFont val="細明體"/>
        <family val="2"/>
        <charset val="136"/>
      </rPr>
      <t>：</t>
    </r>
    <r>
      <rPr>
        <sz val="8"/>
        <rFont val="Arial"/>
        <family val="2"/>
      </rPr>
      <t>Available
0x1</t>
    </r>
    <r>
      <rPr>
        <sz val="8"/>
        <rFont val="細明體"/>
        <family val="2"/>
        <charset val="136"/>
      </rPr>
      <t>：</t>
    </r>
    <r>
      <rPr>
        <sz val="8"/>
        <rFont val="Arial"/>
        <family val="2"/>
      </rPr>
      <t>Unvailable</t>
    </r>
    <phoneticPr fontId="51" type="noConversion"/>
  </si>
  <si>
    <t>EPS_TOI_Unavailable (VMC)</t>
    <phoneticPr fontId="51" type="noConversion"/>
  </si>
  <si>
    <t>EPS_TOI_Fault</t>
    <phoneticPr fontId="51" type="noConversion"/>
  </si>
  <si>
    <r>
      <t>0x0</t>
    </r>
    <r>
      <rPr>
        <sz val="8"/>
        <rFont val="細明體"/>
        <family val="2"/>
        <charset val="136"/>
      </rPr>
      <t>：</t>
    </r>
    <r>
      <rPr>
        <sz val="8"/>
        <rFont val="Arial"/>
        <family val="2"/>
      </rPr>
      <t>No Fault
0x1</t>
    </r>
    <r>
      <rPr>
        <sz val="8"/>
        <rFont val="細明體"/>
        <family val="2"/>
        <charset val="136"/>
      </rPr>
      <t>：</t>
    </r>
    <r>
      <rPr>
        <sz val="8"/>
        <rFont val="Arial"/>
        <family val="2"/>
      </rPr>
      <t>Fault</t>
    </r>
    <phoneticPr fontId="51" type="noConversion"/>
  </si>
  <si>
    <t>EPS_TOI_Fault (VMC)</t>
    <phoneticPr fontId="51" type="noConversion"/>
  </si>
  <si>
    <t>0x1006</t>
    <phoneticPr fontId="51" type="noConversion"/>
  </si>
  <si>
    <t>SWC_ACC_sta</t>
    <phoneticPr fontId="28" type="noConversion"/>
  </si>
  <si>
    <r>
      <t>0x0</t>
    </r>
    <r>
      <rPr>
        <sz val="8"/>
        <rFont val="細明體"/>
        <family val="2"/>
        <charset val="136"/>
      </rPr>
      <t>：</t>
    </r>
    <r>
      <rPr>
        <sz val="8"/>
        <rFont val="Arial"/>
        <family val="2"/>
      </rPr>
      <t>Release
0x1</t>
    </r>
    <r>
      <rPr>
        <sz val="8"/>
        <rFont val="細明體"/>
        <family val="2"/>
        <charset val="136"/>
      </rPr>
      <t>：</t>
    </r>
    <r>
      <rPr>
        <sz val="8"/>
        <rFont val="Arial"/>
        <family val="2"/>
      </rPr>
      <t>Press</t>
    </r>
    <phoneticPr fontId="51" type="noConversion"/>
  </si>
  <si>
    <t>SWC_ACC_sta (VMC)</t>
    <phoneticPr fontId="28" type="noConversion"/>
  </si>
  <si>
    <t>SWC_CHANCEl_Sta</t>
    <phoneticPr fontId="51" type="noConversion"/>
  </si>
  <si>
    <t>SWC_CHANCEl_Sta (VMC)</t>
    <phoneticPr fontId="51" type="noConversion"/>
  </si>
  <si>
    <t>SWC_SET_down_Sta</t>
    <phoneticPr fontId="28" type="noConversion"/>
  </si>
  <si>
    <t>SWC_SET_down_Sta (VMC)</t>
    <phoneticPr fontId="28" type="noConversion"/>
  </si>
  <si>
    <t>SWC_RES_up__Sta</t>
    <phoneticPr fontId="28" type="noConversion"/>
  </si>
  <si>
    <t>SWC_RES_up__Sta (VMC)</t>
    <phoneticPr fontId="28" type="noConversion"/>
  </si>
  <si>
    <t>SWC_Distance_Sta</t>
    <phoneticPr fontId="28" type="noConversion"/>
  </si>
  <si>
    <t>SWC_Distance_Sta (VMC)</t>
    <phoneticPr fontId="28" type="noConversion"/>
  </si>
  <si>
    <t>SWC_mode_Sta</t>
  </si>
  <si>
    <t>SWC_mode_Sta (VMC)</t>
    <phoneticPr fontId="51" type="noConversion"/>
  </si>
  <si>
    <t>SWC_Up_Sta</t>
  </si>
  <si>
    <t>SWC_Up_Sta (VMC)</t>
    <phoneticPr fontId="51" type="noConversion"/>
  </si>
  <si>
    <t>SWC_Down_Sta</t>
  </si>
  <si>
    <t>SWC_Down_Sta (VMC)</t>
    <phoneticPr fontId="51" type="noConversion"/>
  </si>
  <si>
    <t>SWC_Left_Sta</t>
  </si>
  <si>
    <t>SWC_Left_Sta (VMC)</t>
    <phoneticPr fontId="51" type="noConversion"/>
  </si>
  <si>
    <t>SWC_Right_Sta</t>
    <phoneticPr fontId="51" type="noConversion"/>
  </si>
  <si>
    <t>SWC_Right_Sta (VMC)</t>
    <phoneticPr fontId="51" type="noConversion"/>
  </si>
  <si>
    <t>SWC_RegenDown</t>
  </si>
  <si>
    <t>SWC_RegenDown (VMC)</t>
    <phoneticPr fontId="51" type="noConversion"/>
  </si>
  <si>
    <t>SWC_Undefined_Sta</t>
  </si>
  <si>
    <t>SWC_Undefined_Sta (VMC)</t>
    <phoneticPr fontId="51" type="noConversion"/>
  </si>
  <si>
    <t>SWC_VR_Sta</t>
  </si>
  <si>
    <t>SWC_VR_Sta (VMC)</t>
    <phoneticPr fontId="51" type="noConversion"/>
  </si>
  <si>
    <t>SWC_LKA_Sta</t>
  </si>
  <si>
    <t>SWC_LKA_Sta (VMC)</t>
    <phoneticPr fontId="51" type="noConversion"/>
  </si>
  <si>
    <t>SWC_RegenUp</t>
  </si>
  <si>
    <t>SWC_RegenUp (VMC)</t>
    <phoneticPr fontId="51" type="noConversion"/>
  </si>
  <si>
    <t>SWC_Trip_Sta</t>
  </si>
  <si>
    <t>SWC_Trip_Sta (VMC)</t>
    <phoneticPr fontId="51" type="noConversion"/>
  </si>
  <si>
    <t>0x1007</t>
    <phoneticPr fontId="51" type="noConversion"/>
  </si>
  <si>
    <t>0x1008</t>
    <phoneticPr fontId="51" type="noConversion"/>
  </si>
  <si>
    <t>PAS_A_RMR</t>
    <phoneticPr fontId="28" type="noConversion"/>
  </si>
  <si>
    <r>
      <t>0x0</t>
    </r>
    <r>
      <rPr>
        <sz val="8"/>
        <rFont val="細明體"/>
        <family val="2"/>
        <charset val="136"/>
      </rPr>
      <t>：</t>
    </r>
    <r>
      <rPr>
        <sz val="8"/>
        <rFont val="Arial"/>
        <family val="2"/>
      </rPr>
      <t>No signal
0x1</t>
    </r>
    <r>
      <rPr>
        <sz val="8"/>
        <rFont val="細明體"/>
        <family val="2"/>
        <charset val="136"/>
      </rPr>
      <t>：</t>
    </r>
    <r>
      <rPr>
        <sz val="8"/>
        <rFont val="Arial"/>
        <family val="2"/>
      </rPr>
      <t>level 1 (Near distance)
0x2</t>
    </r>
    <r>
      <rPr>
        <sz val="8"/>
        <rFont val="細明體"/>
        <family val="2"/>
        <charset val="136"/>
      </rPr>
      <t>：</t>
    </r>
    <r>
      <rPr>
        <sz val="8"/>
        <rFont val="Arial"/>
        <family val="2"/>
      </rPr>
      <t>level 2
0x3</t>
    </r>
    <r>
      <rPr>
        <sz val="8"/>
        <rFont val="細明體"/>
        <family val="2"/>
        <charset val="136"/>
      </rPr>
      <t>：</t>
    </r>
    <r>
      <rPr>
        <sz val="8"/>
        <rFont val="Arial"/>
        <family val="2"/>
      </rPr>
      <t>level 3
0x4</t>
    </r>
    <r>
      <rPr>
        <sz val="8"/>
        <rFont val="細明體"/>
        <family val="2"/>
        <charset val="136"/>
      </rPr>
      <t>：</t>
    </r>
    <r>
      <rPr>
        <sz val="8"/>
        <rFont val="Arial"/>
        <family val="2"/>
      </rPr>
      <t>level 4 (Far distance)</t>
    </r>
    <phoneticPr fontId="28" type="noConversion"/>
  </si>
  <si>
    <t>PAS_A_RMR (APS)</t>
    <phoneticPr fontId="28" type="noConversion"/>
  </si>
  <si>
    <t>PAS_A_RML</t>
    <phoneticPr fontId="28" type="noConversion"/>
  </si>
  <si>
    <t>PAS_A_RML (APS)</t>
    <phoneticPr fontId="28" type="noConversion"/>
  </si>
  <si>
    <t>PAS_A_RCR</t>
    <phoneticPr fontId="28" type="noConversion"/>
  </si>
  <si>
    <t>PAS_A_RCR (APS)</t>
    <phoneticPr fontId="28" type="noConversion"/>
  </si>
  <si>
    <t>PAS_A_RCL</t>
    <phoneticPr fontId="28" type="noConversion"/>
  </si>
  <si>
    <t>PAS_A_RCL (APS)</t>
    <phoneticPr fontId="28" type="noConversion"/>
  </si>
  <si>
    <t>PAS_A_FMR</t>
    <phoneticPr fontId="28" type="noConversion"/>
  </si>
  <si>
    <t>PAS_A_FMR (APS)</t>
    <phoneticPr fontId="28" type="noConversion"/>
  </si>
  <si>
    <t>PAS_A_FML</t>
    <phoneticPr fontId="28" type="noConversion"/>
  </si>
  <si>
    <t>PAS_A_FML (APS)</t>
    <phoneticPr fontId="28" type="noConversion"/>
  </si>
  <si>
    <t>PAS_A_FCR</t>
    <phoneticPr fontId="28" type="noConversion"/>
  </si>
  <si>
    <t>PAS_A_FCR (APS)</t>
    <phoneticPr fontId="28" type="noConversion"/>
  </si>
  <si>
    <t>PAS_A_FCL</t>
    <phoneticPr fontId="28" type="noConversion"/>
  </si>
  <si>
    <t>PAS_A_FCL (APS)</t>
    <phoneticPr fontId="28" type="noConversion"/>
  </si>
  <si>
    <t>PAS_D_RMR</t>
    <phoneticPr fontId="28" type="noConversion"/>
  </si>
  <si>
    <r>
      <t>0x0</t>
    </r>
    <r>
      <rPr>
        <sz val="8"/>
        <rFont val="細明體"/>
        <family val="2"/>
        <charset val="136"/>
      </rPr>
      <t>：</t>
    </r>
    <r>
      <rPr>
        <sz val="8"/>
        <rFont val="Arial"/>
        <family val="2"/>
      </rPr>
      <t>Min
0x96</t>
    </r>
    <r>
      <rPr>
        <sz val="8"/>
        <rFont val="細明體"/>
        <family val="2"/>
        <charset val="136"/>
      </rPr>
      <t>：</t>
    </r>
    <r>
      <rPr>
        <sz val="8"/>
        <rFont val="Arial"/>
        <family val="2"/>
      </rPr>
      <t>Max
0xFF</t>
    </r>
    <r>
      <rPr>
        <sz val="8"/>
        <rFont val="細明體"/>
        <family val="2"/>
        <charset val="136"/>
      </rPr>
      <t>：</t>
    </r>
    <r>
      <rPr>
        <sz val="8"/>
        <rFont val="Arial"/>
        <family val="2"/>
      </rPr>
      <t>FarDistance</t>
    </r>
    <phoneticPr fontId="28" type="noConversion"/>
  </si>
  <si>
    <t>PAS_D_RMR (APS)</t>
    <phoneticPr fontId="28" type="noConversion"/>
  </si>
  <si>
    <t>PAS_D_RML</t>
    <phoneticPr fontId="28" type="noConversion"/>
  </si>
  <si>
    <t>PAS_D_RML (APS)</t>
    <phoneticPr fontId="28" type="noConversion"/>
  </si>
  <si>
    <t>55</t>
    <phoneticPr fontId="28" type="noConversion"/>
  </si>
  <si>
    <t>PAS_D_RCR</t>
    <phoneticPr fontId="28" type="noConversion"/>
  </si>
  <si>
    <t>PAS_D_RCR (APS)</t>
    <phoneticPr fontId="28" type="noConversion"/>
  </si>
  <si>
    <t>PAS_D_RCL</t>
    <phoneticPr fontId="28" type="noConversion"/>
  </si>
  <si>
    <t>PAS_D_RCL (APS)</t>
    <phoneticPr fontId="28" type="noConversion"/>
  </si>
  <si>
    <t>71</t>
    <phoneticPr fontId="28" type="noConversion"/>
  </si>
  <si>
    <t>64</t>
    <phoneticPr fontId="28" type="noConversion"/>
  </si>
  <si>
    <t>PAS_D_FMR</t>
    <phoneticPr fontId="28" type="noConversion"/>
  </si>
  <si>
    <t>PAS_D_FMR (APS)</t>
    <phoneticPr fontId="28" type="noConversion"/>
  </si>
  <si>
    <t>PAS_D_FML</t>
    <phoneticPr fontId="28" type="noConversion"/>
  </si>
  <si>
    <t>PAS_D_FML (APS)</t>
    <phoneticPr fontId="28" type="noConversion"/>
  </si>
  <si>
    <t>PAS_D_FCR</t>
    <phoneticPr fontId="28" type="noConversion"/>
  </si>
  <si>
    <t>PAS_D_FCR (APS)</t>
    <phoneticPr fontId="28" type="noConversion"/>
  </si>
  <si>
    <t>PAS_D_FCL</t>
    <phoneticPr fontId="28" type="noConversion"/>
  </si>
  <si>
    <t>PAS_D_FCL (APS)</t>
    <phoneticPr fontId="28" type="noConversion"/>
  </si>
  <si>
    <t>APS_D_FLL</t>
    <phoneticPr fontId="28" type="noConversion"/>
  </si>
  <si>
    <t>APS_D_FLL (APS)</t>
    <phoneticPr fontId="28" type="noConversion"/>
  </si>
  <si>
    <t>111</t>
    <phoneticPr fontId="51" type="noConversion"/>
  </si>
  <si>
    <t>APS_D_FLR</t>
    <phoneticPr fontId="28" type="noConversion"/>
  </si>
  <si>
    <t>APS_D_FLR (APS)</t>
    <phoneticPr fontId="28" type="noConversion"/>
  </si>
  <si>
    <t>APS_D_RLL</t>
    <phoneticPr fontId="28" type="noConversion"/>
  </si>
  <si>
    <t>APS_D_RLL (APS)</t>
    <phoneticPr fontId="28" type="noConversion"/>
  </si>
  <si>
    <t>APS_D_RLR</t>
    <phoneticPr fontId="28" type="noConversion"/>
  </si>
  <si>
    <t>APS_D_RLR (APS)</t>
    <phoneticPr fontId="28" type="noConversion"/>
  </si>
  <si>
    <t>130</t>
    <phoneticPr fontId="28" type="noConversion"/>
  </si>
  <si>
    <t>PAS_Chime</t>
    <phoneticPr fontId="28" type="noConversion"/>
  </si>
  <si>
    <r>
      <t>0x0</t>
    </r>
    <r>
      <rPr>
        <sz val="8"/>
        <rFont val="細明體"/>
        <family val="2"/>
        <charset val="136"/>
      </rPr>
      <t>：</t>
    </r>
    <r>
      <rPr>
        <sz val="8"/>
        <rFont val="Arial"/>
        <family val="2"/>
      </rPr>
      <t>No message
0x1</t>
    </r>
    <r>
      <rPr>
        <sz val="8"/>
        <rFont val="細明體"/>
        <family val="2"/>
        <charset val="136"/>
      </rPr>
      <t>：</t>
    </r>
    <r>
      <rPr>
        <sz val="8"/>
        <rFont val="Arial"/>
        <family val="2"/>
      </rPr>
      <t>PAS and APS check normal warning
0x2</t>
    </r>
    <r>
      <rPr>
        <sz val="8"/>
        <rFont val="細明體"/>
        <family val="2"/>
        <charset val="136"/>
      </rPr>
      <t>：</t>
    </r>
    <r>
      <rPr>
        <sz val="8"/>
        <rFont val="Arial"/>
        <family val="2"/>
      </rPr>
      <t>PAS and APS check fault warning
0x3</t>
    </r>
    <r>
      <rPr>
        <sz val="8"/>
        <rFont val="細明體"/>
        <family val="2"/>
        <charset val="136"/>
      </rPr>
      <t>：</t>
    </r>
    <r>
      <rPr>
        <sz val="8"/>
        <rFont val="Arial"/>
        <family val="2"/>
      </rPr>
      <t>F_USS Obstacle warning level 1
0x4</t>
    </r>
    <r>
      <rPr>
        <sz val="8"/>
        <rFont val="細明體"/>
        <family val="2"/>
        <charset val="136"/>
      </rPr>
      <t>：</t>
    </r>
    <r>
      <rPr>
        <sz val="8"/>
        <rFont val="Arial"/>
        <family val="2"/>
      </rPr>
      <t>F_USS Obstacle warning level 2
0x5</t>
    </r>
    <r>
      <rPr>
        <sz val="8"/>
        <rFont val="細明體"/>
        <family val="2"/>
        <charset val="136"/>
      </rPr>
      <t>：</t>
    </r>
    <r>
      <rPr>
        <sz val="8"/>
        <rFont val="Arial"/>
        <family val="2"/>
      </rPr>
      <t>F_USS Obstacle warning level 3
0x6</t>
    </r>
    <r>
      <rPr>
        <sz val="8"/>
        <rFont val="細明體"/>
        <family val="2"/>
        <charset val="136"/>
      </rPr>
      <t>：</t>
    </r>
    <r>
      <rPr>
        <sz val="8"/>
        <rFont val="Arial"/>
        <family val="2"/>
      </rPr>
      <t>R_USS Obstacle warning level 1
0x7</t>
    </r>
    <r>
      <rPr>
        <sz val="8"/>
        <rFont val="細明體"/>
        <family val="2"/>
        <charset val="136"/>
      </rPr>
      <t>：</t>
    </r>
    <r>
      <rPr>
        <sz val="8"/>
        <rFont val="Arial"/>
        <family val="2"/>
      </rPr>
      <t>R_USS Obstacle warning level 2
0x8</t>
    </r>
    <r>
      <rPr>
        <sz val="8"/>
        <rFont val="細明體"/>
        <family val="2"/>
        <charset val="136"/>
      </rPr>
      <t>：</t>
    </r>
    <r>
      <rPr>
        <sz val="8"/>
        <rFont val="Arial"/>
        <family val="2"/>
      </rPr>
      <t>R_USS Obstacle warning level 3
0x9</t>
    </r>
    <r>
      <rPr>
        <sz val="8"/>
        <rFont val="細明體"/>
        <family val="2"/>
        <charset val="136"/>
      </rPr>
      <t>：</t>
    </r>
    <r>
      <rPr>
        <sz val="8"/>
        <rFont val="Arial"/>
        <family val="2"/>
      </rPr>
      <t>APS change gear warning</t>
    </r>
    <phoneticPr fontId="28" type="noConversion"/>
  </si>
  <si>
    <t>PAS_Chime (APS)</t>
    <phoneticPr fontId="28" type="noConversion"/>
  </si>
  <si>
    <t>139</t>
    <phoneticPr fontId="28" type="noConversion"/>
  </si>
  <si>
    <t>136</t>
    <phoneticPr fontId="28" type="noConversion"/>
  </si>
  <si>
    <t>PAS_SNSR_Layout</t>
    <phoneticPr fontId="28" type="noConversion"/>
  </si>
  <si>
    <r>
      <t>0x0</t>
    </r>
    <r>
      <rPr>
        <sz val="8"/>
        <rFont val="細明體"/>
        <family val="2"/>
        <charset val="136"/>
      </rPr>
      <t>：</t>
    </r>
    <r>
      <rPr>
        <sz val="8"/>
        <rFont val="Arial"/>
        <family val="2"/>
      </rPr>
      <t>Nomassage
0x1</t>
    </r>
    <r>
      <rPr>
        <sz val="8"/>
        <rFont val="細明體"/>
        <family val="2"/>
        <charset val="136"/>
      </rPr>
      <t>：</t>
    </r>
    <r>
      <rPr>
        <sz val="8"/>
        <rFont val="Arial"/>
        <family val="2"/>
      </rPr>
      <t>APS
0x2</t>
    </r>
    <r>
      <rPr>
        <sz val="8"/>
        <rFont val="細明體"/>
        <family val="2"/>
        <charset val="136"/>
      </rPr>
      <t>：</t>
    </r>
    <r>
      <rPr>
        <sz val="8"/>
        <rFont val="Arial"/>
        <family val="2"/>
      </rPr>
      <t>APA
0x3</t>
    </r>
    <r>
      <rPr>
        <sz val="8"/>
        <rFont val="細明體"/>
        <family val="2"/>
        <charset val="136"/>
      </rPr>
      <t>：</t>
    </r>
    <r>
      <rPr>
        <sz val="8"/>
        <rFont val="Arial"/>
        <family val="2"/>
      </rPr>
      <t>PAS_F4R4
0x4</t>
    </r>
    <r>
      <rPr>
        <sz val="8"/>
        <rFont val="細明體"/>
        <family val="2"/>
        <charset val="136"/>
      </rPr>
      <t>：</t>
    </r>
    <r>
      <rPr>
        <sz val="8"/>
        <rFont val="Arial"/>
        <family val="2"/>
      </rPr>
      <t>PAS_F2R4
0x5</t>
    </r>
    <r>
      <rPr>
        <sz val="8"/>
        <rFont val="細明體"/>
        <family val="2"/>
        <charset val="136"/>
      </rPr>
      <t>：</t>
    </r>
    <r>
      <rPr>
        <sz val="8"/>
        <rFont val="Arial"/>
        <family val="2"/>
      </rPr>
      <t>PAS_R4
0x6</t>
    </r>
    <r>
      <rPr>
        <sz val="8"/>
        <rFont val="細明體"/>
        <family val="2"/>
        <charset val="136"/>
      </rPr>
      <t>：</t>
    </r>
    <r>
      <rPr>
        <sz val="8"/>
        <rFont val="Arial"/>
        <family val="2"/>
      </rPr>
      <t>PAS_R2F2
0x7</t>
    </r>
    <r>
      <rPr>
        <sz val="8"/>
        <rFont val="細明體"/>
        <family val="2"/>
        <charset val="136"/>
      </rPr>
      <t>：</t>
    </r>
    <r>
      <rPr>
        <sz val="8"/>
        <rFont val="Arial"/>
        <family val="2"/>
      </rPr>
      <t>PAS_R2</t>
    </r>
    <phoneticPr fontId="28" type="noConversion"/>
  </si>
  <si>
    <t>PAS_SNSR_Layout (APS)</t>
    <phoneticPr fontId="28" type="noConversion"/>
  </si>
  <si>
    <t>18</t>
    <phoneticPr fontId="28" type="noConversion"/>
  </si>
  <si>
    <t>145</t>
    <phoneticPr fontId="28" type="noConversion"/>
  </si>
  <si>
    <t>144</t>
    <phoneticPr fontId="28" type="noConversion"/>
  </si>
  <si>
    <t>PAS_Mod_Operation</t>
    <phoneticPr fontId="28" type="noConversion"/>
  </si>
  <si>
    <r>
      <t>0x0</t>
    </r>
    <r>
      <rPr>
        <sz val="8"/>
        <rFont val="細明體"/>
        <family val="2"/>
        <charset val="136"/>
      </rPr>
      <t>：</t>
    </r>
    <r>
      <rPr>
        <sz val="8"/>
        <rFont val="Arial"/>
        <family val="2"/>
      </rPr>
      <t>Function OFF
0x1</t>
    </r>
    <r>
      <rPr>
        <sz val="8"/>
        <rFont val="細明體"/>
        <family val="2"/>
        <charset val="136"/>
      </rPr>
      <t>：</t>
    </r>
    <r>
      <rPr>
        <sz val="8"/>
        <rFont val="Arial"/>
        <family val="2"/>
      </rPr>
      <t>RUDS
0x2</t>
    </r>
    <r>
      <rPr>
        <sz val="8"/>
        <rFont val="細明體"/>
        <family val="2"/>
        <charset val="136"/>
      </rPr>
      <t>：</t>
    </r>
    <r>
      <rPr>
        <sz val="8"/>
        <rFont val="Arial"/>
        <family val="2"/>
      </rPr>
      <t>FUDS
0x3</t>
    </r>
    <r>
      <rPr>
        <sz val="8"/>
        <rFont val="細明體"/>
        <family val="2"/>
        <charset val="136"/>
      </rPr>
      <t>：</t>
    </r>
    <r>
      <rPr>
        <sz val="8"/>
        <rFont val="Arial"/>
        <family val="2"/>
      </rPr>
      <t>UDS</t>
    </r>
    <phoneticPr fontId="28" type="noConversion"/>
  </si>
  <si>
    <t>PAS_Mod_Operation (APS)</t>
    <phoneticPr fontId="28" type="noConversion"/>
  </si>
  <si>
    <t>PAS_Sta_F_Sys</t>
    <phoneticPr fontId="28" type="noConversion"/>
  </si>
  <si>
    <r>
      <t>0x0</t>
    </r>
    <r>
      <rPr>
        <sz val="8"/>
        <rFont val="細明體"/>
        <family val="2"/>
        <charset val="136"/>
      </rPr>
      <t>：</t>
    </r>
    <r>
      <rPr>
        <sz val="8"/>
        <rFont val="Arial"/>
        <family val="2"/>
      </rPr>
      <t>No Faliure
0x1</t>
    </r>
    <r>
      <rPr>
        <sz val="8"/>
        <rFont val="細明體"/>
        <family val="2"/>
        <charset val="136"/>
      </rPr>
      <t>：</t>
    </r>
    <r>
      <rPr>
        <sz val="8"/>
        <rFont val="Arial"/>
        <family val="2"/>
      </rPr>
      <t>Faliure</t>
    </r>
    <phoneticPr fontId="28" type="noConversion"/>
  </si>
  <si>
    <t>PAS_Sta_F_Sys (APS)</t>
    <phoneticPr fontId="28" type="noConversion"/>
  </si>
  <si>
    <t>0x1009</t>
    <phoneticPr fontId="51" type="noConversion"/>
  </si>
  <si>
    <t>USS_Sta_RMR</t>
    <phoneticPr fontId="28" type="noConversion"/>
  </si>
  <si>
    <r>
      <t>0x0</t>
    </r>
    <r>
      <rPr>
        <sz val="8"/>
        <rFont val="細明體"/>
        <family val="2"/>
        <charset val="136"/>
      </rPr>
      <t>：</t>
    </r>
    <r>
      <rPr>
        <sz val="8"/>
        <rFont val="Arial"/>
        <family val="2"/>
      </rPr>
      <t>Checked OK
0x1</t>
    </r>
    <r>
      <rPr>
        <sz val="8"/>
        <rFont val="細明體"/>
        <family val="2"/>
        <charset val="136"/>
      </rPr>
      <t>：</t>
    </r>
    <r>
      <rPr>
        <sz val="8"/>
        <rFont val="Arial"/>
        <family val="2"/>
      </rPr>
      <t>Checked error</t>
    </r>
    <phoneticPr fontId="28" type="noConversion"/>
  </si>
  <si>
    <t>USS_Sta_RMR (APS)</t>
    <phoneticPr fontId="28" type="noConversion"/>
  </si>
  <si>
    <t>USS_Sta_RML</t>
    <phoneticPr fontId="28" type="noConversion"/>
  </si>
  <si>
    <t>USS_Sta_RML (APS)</t>
    <phoneticPr fontId="28" type="noConversion"/>
  </si>
  <si>
    <t>USS_Sta_RCR</t>
    <phoneticPr fontId="28" type="noConversion"/>
  </si>
  <si>
    <t>USS_Sta_RCR (APS)</t>
    <phoneticPr fontId="28" type="noConversion"/>
  </si>
  <si>
    <t>USS_Sta_RCL</t>
    <phoneticPr fontId="28" type="noConversion"/>
  </si>
  <si>
    <t>USS_Sta_RCL (APS)</t>
    <phoneticPr fontId="28" type="noConversion"/>
  </si>
  <si>
    <t>USS_Sta_FMR</t>
    <phoneticPr fontId="28" type="noConversion"/>
  </si>
  <si>
    <t>USS_Sta_FMR (APS)</t>
    <phoneticPr fontId="28" type="noConversion"/>
  </si>
  <si>
    <t>USS_Sta_FML</t>
    <phoneticPr fontId="28" type="noConversion"/>
  </si>
  <si>
    <t>USS_Sta_FML (APS)</t>
    <phoneticPr fontId="28" type="noConversion"/>
  </si>
  <si>
    <t>USS_Sta_FCR</t>
    <phoneticPr fontId="28" type="noConversion"/>
  </si>
  <si>
    <t>USS_Sta_FCR (APS)</t>
    <phoneticPr fontId="28" type="noConversion"/>
  </si>
  <si>
    <t>USS_Sta_FCL</t>
    <phoneticPr fontId="28" type="noConversion"/>
  </si>
  <si>
    <t>USS_Sta_FCL (APS)</t>
    <phoneticPr fontId="28" type="noConversion"/>
  </si>
  <si>
    <t>USS_Sta_RLR</t>
    <phoneticPr fontId="28" type="noConversion"/>
  </si>
  <si>
    <t>USS_Sta_RLR (APS)</t>
    <phoneticPr fontId="28" type="noConversion"/>
  </si>
  <si>
    <t>USS_Sta_RLL</t>
    <phoneticPr fontId="28" type="noConversion"/>
  </si>
  <si>
    <t>USS_Sta_RLL (APS)</t>
    <phoneticPr fontId="28" type="noConversion"/>
  </si>
  <si>
    <t>USS_Sta_FLR</t>
    <phoneticPr fontId="28" type="noConversion"/>
  </si>
  <si>
    <t>USS_Sta_FLR (APS)</t>
    <phoneticPr fontId="28" type="noConversion"/>
  </si>
  <si>
    <t>USS_Sta_FLL</t>
    <phoneticPr fontId="28" type="noConversion"/>
  </si>
  <si>
    <t>USS_Sta_FLL (APS)</t>
    <phoneticPr fontId="28" type="noConversion"/>
  </si>
  <si>
    <t>0x100A</t>
    <phoneticPr fontId="51" type="noConversion"/>
  </si>
  <si>
    <t>IVI_PTG_USSta_SW</t>
    <phoneticPr fontId="28" type="noConversion"/>
  </si>
  <si>
    <t>0x0: Release
0x1: Press</t>
    <phoneticPr fontId="28" type="noConversion"/>
  </si>
  <si>
    <t>IVI_PTG_USSta_SW (APS)</t>
    <phoneticPr fontId="28" type="noConversion"/>
  </si>
  <si>
    <t>0x100B</t>
    <phoneticPr fontId="51" type="noConversion"/>
  </si>
  <si>
    <t>VINP_APSVMCReqA_flg</t>
    <phoneticPr fontId="28" type="noConversion"/>
  </si>
  <si>
    <t>0x0: Not Applicable
0x1: Applicable</t>
    <phoneticPr fontId="28" type="noConversion"/>
  </si>
  <si>
    <t>VINP_APSVMCReqA_flg (VMC)</t>
    <phoneticPr fontId="28" type="noConversion"/>
  </si>
  <si>
    <t>VINP_APSStaSystem_enum</t>
    <phoneticPr fontId="28" type="noConversion"/>
  </si>
  <si>
    <t>0x0: Disable
0x1: Enable
0x2:Active
0x3:Failed
0x4:Remote Actived</t>
    <phoneticPr fontId="28" type="noConversion"/>
  </si>
  <si>
    <t>VINP_APSStaSystem_enum (VMC)</t>
    <phoneticPr fontId="28" type="noConversion"/>
  </si>
  <si>
    <t>VINP_APSShiftPosnReq_enum</t>
    <phoneticPr fontId="28" type="noConversion"/>
  </si>
  <si>
    <t>0x0:Default
0x1:NA
0x2:Park
0x3:NA
0x4:Neutral
0x5:Drive
0x6:Failure
0x7:Reverse</t>
    <phoneticPr fontId="28" type="noConversion"/>
  </si>
  <si>
    <t>VINP_APSShiftPosnReq_enum (VMC)</t>
    <phoneticPr fontId="28" type="noConversion"/>
  </si>
  <si>
    <t>VINP_APSSpeedCMD_kph</t>
    <phoneticPr fontId="28" type="noConversion"/>
  </si>
  <si>
    <t>km/h</t>
    <phoneticPr fontId="28" type="noConversion"/>
  </si>
  <si>
    <t>0.125</t>
    <phoneticPr fontId="28" type="noConversion"/>
  </si>
  <si>
    <t>VINP_APSSpeedCMD_kph (VMC)</t>
    <phoneticPr fontId="28" type="noConversion"/>
  </si>
  <si>
    <t>0x100C</t>
    <phoneticPr fontId="51" type="noConversion"/>
  </si>
  <si>
    <t>FoxPi_Switch_Status</t>
    <phoneticPr fontId="51" type="noConversion"/>
  </si>
  <si>
    <t>Crash Detect Status</t>
  </si>
  <si>
    <t>flg</t>
  </si>
  <si>
    <r>
      <t>0x0</t>
    </r>
    <r>
      <rPr>
        <sz val="8"/>
        <rFont val="微軟正黑體"/>
        <family val="2"/>
        <charset val="136"/>
      </rPr>
      <t>：</t>
    </r>
    <r>
      <rPr>
        <sz val="8"/>
        <rFont val="Arial"/>
        <family val="2"/>
      </rPr>
      <t>Crash Not Detected
0x1</t>
    </r>
    <r>
      <rPr>
        <sz val="8"/>
        <rFont val="微軟正黑體"/>
        <family val="2"/>
        <charset val="136"/>
      </rPr>
      <t>：</t>
    </r>
    <r>
      <rPr>
        <sz val="8"/>
        <rFont val="Arial"/>
        <family val="2"/>
      </rPr>
      <t>Crash Detected</t>
    </r>
    <phoneticPr fontId="28" type="noConversion"/>
  </si>
  <si>
    <t>Crash Detect Status (BCM)</t>
    <phoneticPr fontId="51" type="noConversion"/>
  </si>
  <si>
    <t>Driver Lock Status</t>
  </si>
  <si>
    <r>
      <t>0x0</t>
    </r>
    <r>
      <rPr>
        <sz val="8"/>
        <rFont val="微軟正黑體"/>
        <family val="2"/>
        <charset val="136"/>
      </rPr>
      <t>：</t>
    </r>
    <r>
      <rPr>
        <sz val="8"/>
        <rFont val="Arial"/>
        <family val="2"/>
      </rPr>
      <t>Unlock
0x1</t>
    </r>
    <r>
      <rPr>
        <sz val="8"/>
        <rFont val="微軟正黑體"/>
        <family val="2"/>
        <charset val="136"/>
      </rPr>
      <t>：</t>
    </r>
    <r>
      <rPr>
        <sz val="8"/>
        <rFont val="Arial"/>
        <family val="2"/>
      </rPr>
      <t>Lock</t>
    </r>
    <phoneticPr fontId="28" type="noConversion"/>
  </si>
  <si>
    <t>Driver Lock Status (BCM)</t>
    <phoneticPr fontId="51" type="noConversion"/>
  </si>
  <si>
    <t>All Door Switch Status</t>
  </si>
  <si>
    <r>
      <t>0x0</t>
    </r>
    <r>
      <rPr>
        <sz val="8"/>
        <rFont val="微軟正黑體"/>
        <family val="2"/>
        <charset val="136"/>
      </rPr>
      <t>：</t>
    </r>
    <r>
      <rPr>
        <sz val="8"/>
        <rFont val="Arial"/>
        <family val="2"/>
      </rPr>
      <t>All Door Closed
0x1</t>
    </r>
    <r>
      <rPr>
        <sz val="8"/>
        <rFont val="微軟正黑體"/>
        <family val="2"/>
        <charset val="136"/>
      </rPr>
      <t>：</t>
    </r>
    <r>
      <rPr>
        <sz val="8"/>
        <rFont val="Arial"/>
        <family val="2"/>
      </rPr>
      <t>Any Door Open</t>
    </r>
    <phoneticPr fontId="28" type="noConversion"/>
  </si>
  <si>
    <t>All Door Switch Status (BCM)</t>
    <phoneticPr fontId="51" type="noConversion"/>
  </si>
  <si>
    <t>Driver Door Switch Status</t>
  </si>
  <si>
    <r>
      <t>0x0</t>
    </r>
    <r>
      <rPr>
        <sz val="8"/>
        <rFont val="微軟正黑體"/>
        <family val="2"/>
        <charset val="136"/>
      </rPr>
      <t>：</t>
    </r>
    <r>
      <rPr>
        <sz val="8"/>
        <rFont val="Arial"/>
        <family val="2"/>
      </rPr>
      <t>Close
0x1</t>
    </r>
    <r>
      <rPr>
        <sz val="8"/>
        <rFont val="微軟正黑體"/>
        <family val="2"/>
        <charset val="136"/>
      </rPr>
      <t>：</t>
    </r>
    <r>
      <rPr>
        <sz val="8"/>
        <rFont val="Arial"/>
        <family val="2"/>
      </rPr>
      <t>Open</t>
    </r>
    <phoneticPr fontId="28" type="noConversion"/>
  </si>
  <si>
    <t>Driver Door Switch Status (BCM)</t>
    <phoneticPr fontId="51" type="noConversion"/>
  </si>
  <si>
    <t>Passenger Door Switch Status</t>
  </si>
  <si>
    <t>Passenger Door Switch Status (BCM)</t>
    <phoneticPr fontId="51" type="noConversion"/>
  </si>
  <si>
    <t>Rear Left Door Switch Status</t>
  </si>
  <si>
    <t>Rear Left Door Switch Status (BCM)</t>
    <phoneticPr fontId="51" type="noConversion"/>
  </si>
  <si>
    <t>Rear Right Door Switch Status</t>
  </si>
  <si>
    <t>Rear Right Door Switch Status (BCM)</t>
    <phoneticPr fontId="51" type="noConversion"/>
  </si>
  <si>
    <t>Tailgate Switch Status</t>
  </si>
  <si>
    <t>Tailgate Switch Status (BCM)</t>
    <phoneticPr fontId="51" type="noConversion"/>
  </si>
  <si>
    <t>Hood Switch Status</t>
  </si>
  <si>
    <t>Hood Switch Status (BCM)</t>
    <phoneticPr fontId="51" type="noConversion"/>
  </si>
  <si>
    <t>0x100D</t>
    <phoneticPr fontId="51" type="noConversion"/>
  </si>
  <si>
    <t>FoxPi_Lamp_Status</t>
    <phoneticPr fontId="51" type="noConversion"/>
  </si>
  <si>
    <t>Column Turn lamp Switch Status</t>
  </si>
  <si>
    <t>enum</t>
  </si>
  <si>
    <r>
      <t>0x0</t>
    </r>
    <r>
      <rPr>
        <sz val="8"/>
        <rFont val="微軟正黑體"/>
        <family val="2"/>
        <charset val="136"/>
      </rPr>
      <t>：</t>
    </r>
    <r>
      <rPr>
        <sz val="8"/>
        <rFont val="Arial"/>
        <family val="2"/>
      </rPr>
      <t>Off
0x1</t>
    </r>
    <r>
      <rPr>
        <sz val="8"/>
        <rFont val="微軟正黑體"/>
        <family val="2"/>
        <charset val="136"/>
      </rPr>
      <t>：</t>
    </r>
    <r>
      <rPr>
        <sz val="8"/>
        <rFont val="Arial"/>
        <family val="2"/>
      </rPr>
      <t>Left
0x2</t>
    </r>
    <r>
      <rPr>
        <sz val="8"/>
        <rFont val="微軟正黑體"/>
        <family val="2"/>
        <charset val="136"/>
      </rPr>
      <t>：</t>
    </r>
    <r>
      <rPr>
        <sz val="8"/>
        <rFont val="Arial"/>
        <family val="2"/>
      </rPr>
      <t>Right
0x3</t>
    </r>
    <r>
      <rPr>
        <sz val="8"/>
        <rFont val="微軟正黑體"/>
        <family val="2"/>
        <charset val="136"/>
      </rPr>
      <t>：</t>
    </r>
    <r>
      <rPr>
        <sz val="8"/>
        <rFont val="Arial"/>
        <family val="2"/>
      </rPr>
      <t>Invalid</t>
    </r>
    <phoneticPr fontId="28" type="noConversion"/>
  </si>
  <si>
    <t>Column Turn lamp Switch Status (BCM)</t>
    <phoneticPr fontId="51" type="noConversion"/>
  </si>
  <si>
    <t>Column Dim Switch Status</t>
  </si>
  <si>
    <r>
      <t>0x0</t>
    </r>
    <r>
      <rPr>
        <sz val="8"/>
        <rFont val="細明體"/>
        <family val="2"/>
        <charset val="136"/>
      </rPr>
      <t>：</t>
    </r>
    <r>
      <rPr>
        <sz val="8"/>
        <rFont val="Arial"/>
        <family val="2"/>
      </rPr>
      <t>Release
0x1</t>
    </r>
    <r>
      <rPr>
        <sz val="8"/>
        <rFont val="細明體"/>
        <family val="2"/>
        <charset val="136"/>
      </rPr>
      <t>：</t>
    </r>
    <r>
      <rPr>
        <sz val="8"/>
        <rFont val="Arial"/>
        <family val="2"/>
      </rPr>
      <t>Press</t>
    </r>
    <phoneticPr fontId="28" type="noConversion"/>
  </si>
  <si>
    <t>Column Dim Switch Status (BCM)</t>
    <phoneticPr fontId="51" type="noConversion"/>
  </si>
  <si>
    <t>Column Pass Switch Status</t>
  </si>
  <si>
    <t>Column Pass Switch Status (BCM)</t>
    <phoneticPr fontId="51" type="noConversion"/>
  </si>
  <si>
    <t>Position Lamp Status</t>
  </si>
  <si>
    <r>
      <t>0x0</t>
    </r>
    <r>
      <rPr>
        <sz val="8"/>
        <rFont val="細明體"/>
        <family val="2"/>
        <charset val="136"/>
      </rPr>
      <t>：</t>
    </r>
    <r>
      <rPr>
        <sz val="8"/>
        <rFont val="Arial"/>
        <family val="2"/>
      </rPr>
      <t>OFF
0x1</t>
    </r>
    <r>
      <rPr>
        <sz val="8"/>
        <rFont val="細明體"/>
        <family val="2"/>
        <charset val="136"/>
      </rPr>
      <t>：</t>
    </r>
    <r>
      <rPr>
        <sz val="8"/>
        <rFont val="Arial"/>
        <family val="2"/>
      </rPr>
      <t>ON</t>
    </r>
  </si>
  <si>
    <t>Position Lamp Status (BCM)</t>
    <phoneticPr fontId="51" type="noConversion"/>
  </si>
  <si>
    <t>Low Beam Status</t>
  </si>
  <si>
    <t>Low Beam Status (BCM)</t>
    <phoneticPr fontId="51" type="noConversion"/>
  </si>
  <si>
    <t>High Beam Status</t>
  </si>
  <si>
    <t>High Beam Status (BCM)</t>
    <phoneticPr fontId="51" type="noConversion"/>
  </si>
  <si>
    <t>Right Daytime Running Light Status</t>
  </si>
  <si>
    <r>
      <t>0x0</t>
    </r>
    <r>
      <rPr>
        <sz val="8"/>
        <rFont val="細明體"/>
        <family val="2"/>
        <charset val="136"/>
      </rPr>
      <t>：</t>
    </r>
    <r>
      <rPr>
        <sz val="8"/>
        <rFont val="Arial"/>
        <family val="2"/>
      </rPr>
      <t>OFF
0x1：ON</t>
    </r>
  </si>
  <si>
    <t>Right Daytime Running Light Status (BCM)</t>
    <phoneticPr fontId="51" type="noConversion"/>
  </si>
  <si>
    <t>Left Daytime Running Light Status</t>
  </si>
  <si>
    <t>Left Daytime Running Light Status (BCM)</t>
    <phoneticPr fontId="51" type="noConversion"/>
  </si>
  <si>
    <t>Left Turn Lamp Status</t>
  </si>
  <si>
    <t>Left Turn Lamp Status (BCM)</t>
    <phoneticPr fontId="51" type="noConversion"/>
  </si>
  <si>
    <t>Right Turn Lamp Status</t>
  </si>
  <si>
    <t>Right Turn Lamp Status (BCM)</t>
    <phoneticPr fontId="51" type="noConversion"/>
  </si>
  <si>
    <t>Brake Lamp Status</t>
  </si>
  <si>
    <t>Brake Lamp Status (BCM)</t>
    <phoneticPr fontId="51" type="noConversion"/>
  </si>
  <si>
    <t>Reverse Lamp Status</t>
  </si>
  <si>
    <t>Reverse Lamp Status (BCM)</t>
    <phoneticPr fontId="51" type="noConversion"/>
  </si>
  <si>
    <t>Rear Fog Lamp Status</t>
  </si>
  <si>
    <t>Rear Fog Lamp Status (BCM)</t>
    <phoneticPr fontId="51" type="noConversion"/>
  </si>
  <si>
    <t>0x100E</t>
    <phoneticPr fontId="51" type="noConversion"/>
  </si>
  <si>
    <t>FoxPi_Lamp_Ctrl</t>
    <phoneticPr fontId="51" type="noConversion"/>
  </si>
  <si>
    <t>Position_Lamp_Control_Enable</t>
  </si>
  <si>
    <t>Position_Lamp_Control_Enable (BCM)</t>
    <phoneticPr fontId="51" type="noConversion"/>
  </si>
  <si>
    <t>Position_Lamp</t>
  </si>
  <si>
    <t>Position_Lamp (BCM)</t>
    <phoneticPr fontId="51" type="noConversion"/>
  </si>
  <si>
    <t>Low_Beam_Control_Enable</t>
  </si>
  <si>
    <t>Low_Beam_Control_Enable (BCM)</t>
    <phoneticPr fontId="51" type="noConversion"/>
  </si>
  <si>
    <t>Low_Beam</t>
  </si>
  <si>
    <t>Low_Beam (BCM)</t>
    <phoneticPr fontId="51" type="noConversion"/>
  </si>
  <si>
    <t>High_Beam_Control_Enable</t>
  </si>
  <si>
    <t>High_Beam_Control_Enable (BCM)</t>
    <phoneticPr fontId="51" type="noConversion"/>
  </si>
  <si>
    <t>High_Beam</t>
  </si>
  <si>
    <t>High_Beam (BCM)</t>
    <phoneticPr fontId="51" type="noConversion"/>
  </si>
  <si>
    <t>Right_Daytime_Running_Light_Control_Enable</t>
  </si>
  <si>
    <t>Right_Daytime_Running_Light_Control_Enable (BCM)</t>
    <phoneticPr fontId="51" type="noConversion"/>
  </si>
  <si>
    <t>Right_Daytime_Running_Light</t>
  </si>
  <si>
    <t>Right_Daytime_Running_Light (BCM)</t>
    <phoneticPr fontId="51" type="noConversion"/>
  </si>
  <si>
    <t>Left_Daytime_Running_Light_Control_Enable</t>
  </si>
  <si>
    <t>Left_Daytime_Running_Light_Control_Enable (BCM)</t>
    <phoneticPr fontId="51" type="noConversion"/>
  </si>
  <si>
    <t>Left_Daytime_Running_Light</t>
  </si>
  <si>
    <t>Left_Daytime_Running_Light (BCM)</t>
    <phoneticPr fontId="51" type="noConversion"/>
  </si>
  <si>
    <t>Left_TurnLamp_Control_Enable</t>
  </si>
  <si>
    <t>Left_TurnLamp_Control_Enable (BCM)</t>
    <phoneticPr fontId="51" type="noConversion"/>
  </si>
  <si>
    <t>Left_TurnLamp</t>
  </si>
  <si>
    <t>Left_TurnLamp (BCM)</t>
    <phoneticPr fontId="51" type="noConversion"/>
  </si>
  <si>
    <t>Right_TurnLamp_Control_Enable</t>
  </si>
  <si>
    <t>Right_TurnLamp_Control_Enable (BCM)</t>
    <phoneticPr fontId="51" type="noConversion"/>
  </si>
  <si>
    <t>Right_TurnLamp</t>
  </si>
  <si>
    <t>Right_TurnLamp (BCM)</t>
    <phoneticPr fontId="51" type="noConversion"/>
  </si>
  <si>
    <t>Brake_Lamp_Control_Enable</t>
  </si>
  <si>
    <t>Brake_Lamp_Control_Enable (BCM)</t>
    <phoneticPr fontId="51" type="noConversion"/>
  </si>
  <si>
    <t>Brake_Lamp</t>
  </si>
  <si>
    <t>Brake_Lamp (BCM)</t>
    <phoneticPr fontId="51" type="noConversion"/>
  </si>
  <si>
    <t>Reverse_Lamp_Control_Enable</t>
  </si>
  <si>
    <t>Reverse_Lamp_Control_Enable (BCM)</t>
    <phoneticPr fontId="51" type="noConversion"/>
  </si>
  <si>
    <t>Reverse_Lamp</t>
  </si>
  <si>
    <t>Reverse_Lamp (BCM)</t>
    <phoneticPr fontId="51" type="noConversion"/>
  </si>
  <si>
    <t>Rear_Fog_Lamp_Control_Enable</t>
  </si>
  <si>
    <t>Rear_Fog_Lamp_Control_Enable (BCM)</t>
    <phoneticPr fontId="51" type="noConversion"/>
  </si>
  <si>
    <t>Rear_Fog_Lamp</t>
  </si>
  <si>
    <t>Rear_Fog_Lamp (BCM)</t>
    <phoneticPr fontId="51" type="noConversion"/>
  </si>
  <si>
    <t>Amblight_Control_Enable</t>
  </si>
  <si>
    <t>Amblight_Control_Enable (BCM)</t>
    <phoneticPr fontId="51" type="noConversion"/>
  </si>
  <si>
    <t>Control area</t>
  </si>
  <si>
    <t>0x0:off
0x1:IP
0x2:Console
0x3:Front Door_Left
0x4:Front Door_Right
0x5:Rear Door_Left
0x6:Rear Door_Right
0x7:All area</t>
  </si>
  <si>
    <t>Control area (BCM)</t>
    <phoneticPr fontId="51" type="noConversion"/>
  </si>
  <si>
    <t>RGB 64 Color</t>
  </si>
  <si>
    <t>0x0:LightPink(255,182,193)
0x1:Crimson(220,20,60)
0x2:PaleVioletRed(219,112,147)
0x3:HotPink(255,105,180)
0x4:DeepPink(255,20,147)
0x5:MediumVioletRed(199,21,133)
0x6:Orchid(218,112,214)
0x7:Violet(238,130,238)
0x8:Magenta(255,0,255)
0x9:DarkMagenta(139,0,139)
0xA:MediumOrchid(186,85,211)
0xB:DarkVoilet(148,0,211)
0xC:DarkOrchid(153,50,204)
0xD:Indigo(75,0,130)
0xE:BlueViolet(138,43,226)
0xF:MediumPurple(147,112,219)
0x10:MediumSlateBlue(123,104,238)
0x11:SlateBlue(106,90,205)
0x12:DarkSlateBlue(72,61,139)
0x13:Blue(0,0,255)
0x14:MediumBlue(0,0,205)
0x15:MidnightBlue(25,25,112)
0x16:DarkBlue(0,0,139)
0x17:Navy(0,0,128)
0x18:RoyalBlue(65,105,225)
0x19:CornflowerBlue(100,149,237)
0x1A:DoderBlue(30,144,255)
0x1B:LightSkyBlue(135,206,250)
0x1C:SkyBlue(135,206,235)
0x1D:DeepSkyBlue(0,191,255)
0x1E:PaleTurquoise(175,238,238)
0x1F:Cyan(0,255,255)
0x20:DarkTurquoise(0,206,209)
0x21:DarkCyan(0,139,139)
0x22:MediumTurquoise(72,209,204)
0x23:Auqamarin(127,255,170)
0x24:MediumAquamarine(0,250,154)
0x25:MediumSpringGreen(0,255,127)
0x26:SpringGreen(60,179,113)
0x27:SeaGreen(46,139,87)
0x28:LightGreen(144,238,144)
0x29:PaleGreen(152,251,152)
0x2A:LimeGreen(50,205,50)
0x2B:Lime(0,255,0)
0x2C:Chartreuse(127,255,0)
0x2D:GreenYellow(173,255,47)
0x2E:Beige(245,245,220)
0x2F:LightGoldenrodYellow(250,250,210)
0x30:Ivory(255,255,240)
0x31:LightYellow(255,255,224)
0x32:Yellow(255,255,0)
0x33:LemonChiffon(255,250,205)
0x34:Gold(255,215,0)
0x35:BlanchedAlmond(255,235,205)
0x36:NavajoWhite(255,222,173)
0x37:Bisque(255,228,196)
0x38:DarkOrange(255,140,0)
0x39:LightSalmon(255,160,122)
0x3A:Coral(255,127,80)
0x3B:OrangeRed(255,69,0)
0x3C:Tomato(255,99,71)
0x3D:LightCoral(240,128,128)
0x3E:IndianRed(205,92,92)
0x3F:Red(255,0,0)</t>
  </si>
  <si>
    <t>RGB 64 Color (BCM)</t>
    <phoneticPr fontId="51" type="noConversion"/>
  </si>
  <si>
    <t>Bright adjustment</t>
  </si>
  <si>
    <t>Bright adjustment (BCM)</t>
    <phoneticPr fontId="51" type="noConversion"/>
  </si>
  <si>
    <t>Breathing and Alert Mode</t>
  </si>
  <si>
    <t>0x0:OFF
0x1:Welcome
0x2:Breath Red
0x3:Flash Keep Red
0x4:Switch to Red
0x5:Switch to Blue
0x6:Flash Keep
0x7:Breath Keep</t>
  </si>
  <si>
    <t>Breathing and Alert Mode (BCM)</t>
    <phoneticPr fontId="51" type="noConversion"/>
  </si>
  <si>
    <t>0x100F</t>
    <phoneticPr fontId="51" type="noConversion"/>
  </si>
  <si>
    <t>FoxPi_Battery_Status</t>
    <phoneticPr fontId="51" type="noConversion"/>
  </si>
  <si>
    <t>LVBattDet12V</t>
    <phoneticPr fontId="28" type="noConversion"/>
  </si>
  <si>
    <t>25.4</t>
  </si>
  <si>
    <t>LVBattDet12V (BMS)</t>
    <phoneticPr fontId="51" type="noConversion"/>
  </si>
  <si>
    <t>HVBattSOC</t>
    <phoneticPr fontId="28" type="noConversion"/>
  </si>
  <si>
    <t>0xFF:invalid</t>
  </si>
  <si>
    <t>0.4</t>
  </si>
  <si>
    <t>HVBattSOC (BMS)</t>
    <phoneticPr fontId="51" type="noConversion"/>
  </si>
  <si>
    <t>CellTempAvg</t>
    <phoneticPr fontId="28" type="noConversion"/>
  </si>
  <si>
    <t>CellTempAvg (BMS)</t>
    <phoneticPr fontId="51" type="noConversion"/>
  </si>
  <si>
    <t>30</t>
    <phoneticPr fontId="51" type="noConversion"/>
  </si>
  <si>
    <t>HVBContactorSta</t>
    <phoneticPr fontId="28" type="noConversion"/>
  </si>
  <si>
    <t>0x0:Open
0x1:Close</t>
  </si>
  <si>
    <t>HVBContactorSta (BMS)</t>
    <phoneticPr fontId="51" type="noConversion"/>
  </si>
  <si>
    <t>HVBattErr</t>
    <phoneticPr fontId="51" type="noConversion"/>
  </si>
  <si>
    <t>0x0:No fault
0x1:Fault</t>
  </si>
  <si>
    <t>HVBattErr (BMS)</t>
    <phoneticPr fontId="51" type="noConversion"/>
  </si>
  <si>
    <t>0x1010</t>
    <phoneticPr fontId="51" type="noConversion"/>
  </si>
  <si>
    <t>FoxPi_TPMS_Status</t>
    <phoneticPr fontId="51" type="noConversion"/>
  </si>
  <si>
    <t>Left Forward Wheel Pressure</t>
    <phoneticPr fontId="51" type="noConversion"/>
  </si>
  <si>
    <t>Left Forward Wheel Pressure (TPMS)</t>
    <phoneticPr fontId="51" type="noConversion"/>
  </si>
  <si>
    <t>Right Forward Wheel Pressure (TPMS)</t>
    <phoneticPr fontId="51" type="noConversion"/>
  </si>
  <si>
    <t>Left Rear Wheel Pressure (TPMS)</t>
    <phoneticPr fontId="51" type="noConversion"/>
  </si>
  <si>
    <t>Right Rear Wheel Pressure (TPMS)</t>
    <phoneticPr fontId="51" type="noConversion"/>
  </si>
  <si>
    <t>LeftForwardWheelTemperature (TPMS)</t>
    <phoneticPr fontId="51" type="noConversion"/>
  </si>
  <si>
    <t>RightForwardWheelTemperature (TPMS)</t>
    <phoneticPr fontId="51" type="noConversion"/>
  </si>
  <si>
    <t>LeftRearWheelTemperature (TPMS)</t>
    <phoneticPr fontId="51" type="noConversion"/>
  </si>
  <si>
    <t>RightRearWheelTemperature (TPMS)</t>
    <phoneticPr fontId="51" type="noConversion"/>
  </si>
  <si>
    <t>LeftForward Low Pressure Threshold (TPMS)</t>
    <phoneticPr fontId="51" type="noConversion"/>
  </si>
  <si>
    <t>RightForwardLowPressureThreshold (TPMS)</t>
    <phoneticPr fontId="51" type="noConversion"/>
  </si>
  <si>
    <t>LeftRearLowPressureThreshold (TPMS)</t>
    <phoneticPr fontId="51" type="noConversion"/>
  </si>
  <si>
    <t>RightRearLowPressureThreshold (TPMS)</t>
    <phoneticPr fontId="51" type="noConversion"/>
  </si>
  <si>
    <t>97</t>
    <phoneticPr fontId="28" type="noConversion"/>
  </si>
  <si>
    <t>TPMSWarnindi</t>
    <phoneticPr fontId="28" type="noConversion"/>
  </si>
  <si>
    <r>
      <t>0x0</t>
    </r>
    <r>
      <rPr>
        <sz val="8"/>
        <rFont val="細明體"/>
        <family val="2"/>
        <charset val="136"/>
      </rPr>
      <t>：</t>
    </r>
    <r>
      <rPr>
        <sz val="8"/>
        <rFont val="Arial"/>
        <family val="2"/>
      </rPr>
      <t>Indicator OFF
0x1</t>
    </r>
    <r>
      <rPr>
        <sz val="8"/>
        <rFont val="細明體"/>
        <family val="2"/>
        <charset val="136"/>
      </rPr>
      <t>：</t>
    </r>
    <r>
      <rPr>
        <sz val="8"/>
        <rFont val="Arial"/>
        <family val="2"/>
      </rPr>
      <t>Indicator ON
0x2</t>
    </r>
    <r>
      <rPr>
        <sz val="8"/>
        <rFont val="細明體"/>
        <family val="2"/>
        <charset val="136"/>
      </rPr>
      <t>：</t>
    </r>
    <r>
      <rPr>
        <sz val="8"/>
        <rFont val="Arial"/>
        <family val="2"/>
      </rPr>
      <t>Indicator Flash
0x3</t>
    </r>
    <r>
      <rPr>
        <sz val="8"/>
        <rFont val="細明體"/>
        <family val="2"/>
        <charset val="136"/>
      </rPr>
      <t>：</t>
    </r>
    <r>
      <rPr>
        <sz val="8"/>
        <rFont val="Arial"/>
        <family val="2"/>
      </rPr>
      <t>Invalid</t>
    </r>
    <phoneticPr fontId="28" type="noConversion"/>
  </si>
  <si>
    <t>TPMSWarnindi (TPMS)</t>
    <phoneticPr fontId="28" type="noConversion"/>
  </si>
  <si>
    <t>0x1011</t>
    <phoneticPr fontId="51" type="noConversion"/>
  </si>
  <si>
    <t>FoxPi_Pedal_position</t>
    <phoneticPr fontId="51" type="noConversion"/>
  </si>
  <si>
    <t>ActAPSPosn</t>
  </si>
  <si>
    <t>ActAPSPosn (VCU)</t>
    <phoneticPr fontId="51" type="noConversion"/>
  </si>
  <si>
    <t>BrkPedalPos</t>
    <phoneticPr fontId="51" type="noConversion"/>
  </si>
  <si>
    <t>BrkPedalPos (VMC)</t>
    <phoneticPr fontId="51" type="noConversion"/>
  </si>
  <si>
    <t>0x1012</t>
    <phoneticPr fontId="51" type="noConversion"/>
  </si>
  <si>
    <t>FoxPi_Motor_Status</t>
    <phoneticPr fontId="51" type="noConversion"/>
  </si>
  <si>
    <t>Rr_TqSource</t>
  </si>
  <si>
    <t>0x0:Invalid
0x1:Internal
0x2:ABS
0x3:RollABS
0x4:TCS
0x5:CC
0x6:ADAS
0x7:MSA
0x8:APS
0x9:Force Idle</t>
    <phoneticPr fontId="28" type="noConversion"/>
  </si>
  <si>
    <t>Rr_TqSource (VCU)</t>
    <phoneticPr fontId="51" type="noConversion"/>
  </si>
  <si>
    <t>Rr_TMTqReq_toNidec</t>
  </si>
  <si>
    <t>Nm</t>
  </si>
  <si>
    <t>Rr_TMTqReq_toNidec (VCU)</t>
    <phoneticPr fontId="51" type="noConversion"/>
  </si>
  <si>
    <t>Rr_EDURealTMTq_Nidec</t>
    <phoneticPr fontId="51" type="noConversion"/>
  </si>
  <si>
    <t>Rr_EDURealTMTq_Nidec (MCU)</t>
    <phoneticPr fontId="51" type="noConversion"/>
  </si>
  <si>
    <t>Rr_MotorAvailTq</t>
  </si>
  <si>
    <t>Rr_MotorAvailTq (MCU)</t>
    <phoneticPr fontId="51" type="noConversion"/>
  </si>
  <si>
    <t>Rr_RegenAvailTq</t>
    <phoneticPr fontId="51" type="noConversion"/>
  </si>
  <si>
    <t>Rr_RegenAvailTq (MCU)</t>
    <phoneticPr fontId="51" type="noConversion"/>
  </si>
  <si>
    <t>TMSpd</t>
    <phoneticPr fontId="51" type="noConversion"/>
  </si>
  <si>
    <t>rpm</t>
  </si>
  <si>
    <t>TMSpd (MCU)</t>
    <phoneticPr fontId="51" type="noConversion"/>
  </si>
  <si>
    <t>FoxPi_Shifter_allow</t>
    <phoneticPr fontId="51" type="noConversion"/>
  </si>
  <si>
    <t>VTQD_ExternalTqAllow_flg</t>
  </si>
  <si>
    <t>0x0:Not allow
0x1:Allow</t>
    <phoneticPr fontId="28" type="noConversion"/>
  </si>
  <si>
    <t>VTQD_ExternalTqAllow_flg (VCU)</t>
    <phoneticPr fontId="51" type="noConversion"/>
  </si>
  <si>
    <t>VTQD_ExtShftAllow_flg</t>
  </si>
  <si>
    <t>VTQD_ExtShftAllow_flg (VCU)</t>
    <phoneticPr fontId="51" type="noConversion"/>
  </si>
  <si>
    <t>VTQD_ExtDoorAllow_flg</t>
    <phoneticPr fontId="51" type="noConversion"/>
  </si>
  <si>
    <t>VTQD_ExtDoorAllow_flg (VCU)</t>
    <phoneticPr fontId="51" type="noConversion"/>
  </si>
  <si>
    <r>
      <rPr>
        <sz val="8"/>
        <rFont val="Microsoft JhengHei"/>
        <family val="2"/>
      </rPr>
      <t>格式</t>
    </r>
    <r>
      <rPr>
        <sz val="8"/>
        <rFont val="Arial"/>
        <family val="2"/>
      </rPr>
      <t>:DS</t>
    </r>
    <r>
      <rPr>
        <sz val="8"/>
        <rFont val="細明體"/>
        <family val="2"/>
        <charset val="136"/>
      </rPr>
      <t>文件版次</t>
    </r>
    <r>
      <rPr>
        <sz val="8"/>
        <rFont val="Arial"/>
        <family val="2"/>
      </rPr>
      <t>_</t>
    </r>
    <r>
      <rPr>
        <sz val="8"/>
        <rFont val="Microsoft JhengHei"/>
        <family val="2"/>
      </rPr>
      <t>西元年月日</t>
    </r>
    <r>
      <rPr>
        <sz val="8"/>
        <rFont val="Arial"/>
        <family val="2"/>
      </rPr>
      <t>_</t>
    </r>
    <r>
      <rPr>
        <sz val="8"/>
        <rFont val="Microsoft JhengHei"/>
        <family val="2"/>
      </rPr>
      <t>文件狀態是否已上傳</t>
    </r>
    <r>
      <rPr>
        <sz val="8"/>
        <rFont val="Arial"/>
        <family val="2"/>
      </rPr>
      <t>DCIS+</t>
    </r>
    <r>
      <rPr>
        <sz val="8"/>
        <rFont val="Microsoft JhengHei"/>
        <family val="2"/>
      </rPr>
      <t>小版次數字(同一天修正用)</t>
    </r>
    <r>
      <rPr>
        <sz val="8"/>
        <rFont val="Arial"/>
        <family val="2"/>
      </rPr>
      <t xml:space="preserve">
</t>
    </r>
    <r>
      <rPr>
        <sz val="8"/>
        <rFont val="Microsoft JhengHei"/>
        <family val="2"/>
      </rPr>
      <t>範例1</t>
    </r>
    <r>
      <rPr>
        <sz val="8"/>
        <rFont val="Arial"/>
        <family val="2"/>
      </rPr>
      <t>: v02.01_2024/10/10_R0 (Release</t>
    </r>
    <r>
      <rPr>
        <sz val="8"/>
        <rFont val="Microsoft JhengHei"/>
        <family val="2"/>
        <charset val="136"/>
      </rPr>
      <t>此版</t>
    </r>
    <r>
      <rPr>
        <sz val="8"/>
        <rFont val="Microsoft JhengHei"/>
        <family val="2"/>
      </rPr>
      <t>上傳</t>
    </r>
    <r>
      <rPr>
        <sz val="8"/>
        <rFont val="Arial"/>
        <family val="2"/>
      </rPr>
      <t xml:space="preserve">DCIS)
</t>
    </r>
    <r>
      <rPr>
        <sz val="8"/>
        <rFont val="細明體"/>
        <family val="2"/>
        <charset val="136"/>
      </rPr>
      <t>範例2</t>
    </r>
    <r>
      <rPr>
        <sz val="8"/>
        <rFont val="Arial"/>
        <family val="2"/>
      </rPr>
      <t>: v02.01_2024/10/10_D5 (Draft</t>
    </r>
    <r>
      <rPr>
        <sz val="8"/>
        <rFont val="Microsoft JhengHei"/>
        <family val="2"/>
      </rPr>
      <t>尚未上傳</t>
    </r>
    <r>
      <rPr>
        <sz val="8"/>
        <rFont val="Arial"/>
        <family val="2"/>
      </rPr>
      <t>DCIS)</t>
    </r>
    <phoneticPr fontId="28" type="noConversion"/>
  </si>
  <si>
    <t>DS Version Information</t>
    <phoneticPr fontId="28" type="noConversion"/>
  </si>
  <si>
    <t>vehicle road speed</t>
    <phoneticPr fontId="28" type="noConversion"/>
  </si>
  <si>
    <t>km</t>
    <phoneticPr fontId="28" type="noConversion"/>
  </si>
  <si>
    <t>0x01: OBD II (California ARB)
0x02: OBD (Federal EPA)
0x03: OBD and OBD II
0x04: OBD I
0x05: Not OBD compliant
0x06: EOBD
0x07: EOBD and OBD II
0x08: EOBD and OBD
0x09: EOBD, OBD and OBD II
0x0A: JOBD
0x0B: JOBD and OBD II
0x0C: JOBD and EOBD
0x0D: JOBD, EOBD, and OBD II
0x0E: OBD, EOBD and KOBD
0x0F: OBD, OBD II, EOBD and KOBD
0x10: SAE/ISO reserved
0x11: Engine Manufacturer Diagnostics (EMD)
0x12: Engine Manufacturer Diagnostics Enhanced (EMD+)
0x13: Heavy Duty On-Board Diagnostics (Child/Partial)
0x14: Heavy Duty On-Board Diagnostics
0x15: World Wide Harmonized OBD
0x16: SAE/ISO reserved
0x17: Heavy Duty Euro OBD Stage I without NOx Control
0x18: Heavy Duty Euro OBD Stage I with NOx Control
0x19: Heavy Duty Euro OBD Stage II without NOx Control
0x1A: Heavy Duty Euro OBD Stage II with NOx Control
0x1B: Heavy Duty ZEV
0x1C: Brazil OBD Phase 1
0x1D: Brazil OBD Phase 2 and Phase 2+
0x1E: Korean OBD
0x1F: India BS4 OBD I
0x20: India BS4 OBD II
0x21: Euro VI
0x22: OBD, OBD II and HD OBD
0x23: Brazil OBD Phase 3
0x24: Motorcycle, Euro OBD-I
0x25: Motorcycle, Euro OBD-II
0x26: Motorcycle, China OBD-I
0x27: Motorcycle, Taiwan OBD-I
0x28: Motorcycle, Japan OBD-I
0x29: China Nationwide Stage 6
0x2A: Brazil OBD Phase 7
0x2B: China Heavy Duty VI
0x2C: India BS6 OBD I
0x2D: India BS6 OBD II
0x2E: India BSVI HD OBD
0x2F: Brazil OBD Phase 8
0x30: Japan Heavy Duty OBD-II
0x31: Korea Heavy Duty OBD-II
0x32: China Off-Road IV OBD
0x33: Light Duty ZEV, ACC-II
0x34: Motorcycle, Japan OBD-II
0x35: Motorcycle, California (CARB) OBD
0x36: Motorcycle, Federal (EPA) OBD
0x37: Motorcycle, 50-State (CARB &amp; EPA) OBD
0x38: Heavy Duty ZEV, CARB ZEP
0x39: Light Duty ZEV, CARB ACC-II and EPA Tier 4 (GTR 22)
0x3A: Light Duty ZEV, EPA Tier 4 (GTR 22)
0x3B: EPA HD OBD</t>
    <phoneticPr fontId="28" type="noConversion"/>
  </si>
  <si>
    <t>65535</t>
    <phoneticPr fontId="28" type="noConversion"/>
  </si>
  <si>
    <t>sec</t>
    <phoneticPr fontId="28" type="noConversion"/>
  </si>
  <si>
    <t>%</t>
    <phoneticPr fontId="28" type="noConversion"/>
  </si>
  <si>
    <t>0.392156862745098</t>
  </si>
  <si>
    <t>0.1</t>
    <phoneticPr fontId="28" type="noConversion"/>
  </si>
  <si>
    <t>Vehicle Odometer Reading</t>
    <phoneticPr fontId="28" type="noConversion"/>
  </si>
  <si>
    <t>429,496,729.5</t>
    <phoneticPr fontId="28" type="noConversion"/>
  </si>
  <si>
    <t>Number of propulsion system active trips since fault memory last cleared</t>
    <phoneticPr fontId="28" type="noConversion"/>
  </si>
  <si>
    <t>0x00:reserved
0x01:OBDonUDS or ZEVonUDS
0x02:~0xFF reserved</t>
    <phoneticPr fontId="28" type="noConversion"/>
  </si>
  <si>
    <t>Total Propulsion System Active Time (Recent)</t>
    <phoneticPr fontId="28" type="noConversion"/>
  </si>
  <si>
    <t>4,294,967,295</t>
    <phoneticPr fontId="28" type="noConversion"/>
  </si>
  <si>
    <t>Total Propulsion System Active Time (Lifetime)</t>
    <phoneticPr fontId="28" type="noConversion"/>
  </si>
  <si>
    <t>Total Idle Propulsion System Active Time (Recent)</t>
    <phoneticPr fontId="28" type="noConversion"/>
  </si>
  <si>
    <t>Total Idle Propulsion System Active Time (Lifetime)</t>
    <phoneticPr fontId="28" type="noConversion"/>
  </si>
  <si>
    <t>135</t>
    <phoneticPr fontId="28" type="noConversion"/>
  </si>
  <si>
    <t>Total City Propulsion System Active Time (Recent)</t>
    <phoneticPr fontId="28" type="noConversion"/>
  </si>
  <si>
    <t>Total City Propulsion System Active Time (Lifetime)</t>
    <phoneticPr fontId="28" type="noConversion"/>
  </si>
  <si>
    <t>Positive Kinetic Energy (Recent)</t>
    <phoneticPr fontId="28" type="noConversion"/>
  </si>
  <si>
    <t>km/hr2</t>
    <phoneticPr fontId="28" type="noConversion"/>
  </si>
  <si>
    <t>Positive Kinetic Energy (Lifetime)</t>
    <phoneticPr fontId="28" type="noConversion"/>
  </si>
  <si>
    <t>Total distance traveled  (Recent)</t>
    <phoneticPr fontId="28" type="noConversion"/>
  </si>
  <si>
    <t>Total distance traveled  (Lifetime)</t>
    <phoneticPr fontId="28" type="noConversion"/>
  </si>
  <si>
    <t>Total number of propulsion system active events (Recent)</t>
    <phoneticPr fontId="28" type="noConversion"/>
  </si>
  <si>
    <t>Total number of propulsion system active events (Lifetime)</t>
    <phoneticPr fontId="28" type="noConversion"/>
  </si>
  <si>
    <t>support DID from 0xF421 to F440</t>
    <phoneticPr fontId="28" type="noConversion"/>
  </si>
  <si>
    <t>support DID from 0xF461 to F480</t>
    <phoneticPr fontId="28" type="noConversion"/>
  </si>
  <si>
    <t>support DID from 0xF481 to F4A0</t>
    <phoneticPr fontId="28" type="noConversion"/>
  </si>
  <si>
    <t>support DID from 0xF4A1 to F4C0</t>
    <phoneticPr fontId="28" type="noConversion"/>
  </si>
  <si>
    <t>support DID from 0xF4C1 to F4E0</t>
    <phoneticPr fontId="28" type="noConversion"/>
  </si>
  <si>
    <t>support DID from 0xF821 to F840</t>
    <phoneticPr fontId="28" type="noConversion"/>
  </si>
  <si>
    <t>support DID from 0xF841 to F860</t>
    <phoneticPr fontId="28" type="noConversion"/>
  </si>
  <si>
    <t>support DID from 0xF861 to F880</t>
    <phoneticPr fontId="28" type="noConversion"/>
  </si>
  <si>
    <t>support DID from 0xF881 to F8A0</t>
    <phoneticPr fontId="28" type="noConversion"/>
  </si>
  <si>
    <t>Diagnostic Questionnaire - I/O DID List</t>
  </si>
  <si>
    <t>Module I/O control test via InputOutputControlByIdentifier [$2F]</t>
    <phoneticPr fontId="28" type="noConversion"/>
  </si>
  <si>
    <t>NOTE 1:</t>
    <phoneticPr fontId="28" type="noConversion"/>
  </si>
  <si>
    <t xml:space="preserve">This section is reserved for Input output control commands ONLY. </t>
    <phoneticPr fontId="28" type="noConversion"/>
  </si>
  <si>
    <t>DID Num</t>
    <phoneticPr fontId="28" type="noConversion"/>
  </si>
  <si>
    <t>Command Description</t>
    <phoneticPr fontId="28" type="noConversion"/>
  </si>
  <si>
    <t>InputOutputControlParameter</t>
    <phoneticPr fontId="28" type="noConversion"/>
  </si>
  <si>
    <t>Generate 22 services</t>
    <phoneticPr fontId="28" type="noConversion"/>
  </si>
  <si>
    <t>Diagnostic Questionnaire - RoutineControl DID List</t>
    <phoneticPr fontId="28" type="noConversion"/>
  </si>
  <si>
    <t>Module routine control test via RoutineControlByIdentifier [$31]:</t>
    <phoneticPr fontId="28" type="noConversion"/>
  </si>
  <si>
    <t xml:space="preserve">This section is reserved for routine control commands ONLY. </t>
    <phoneticPr fontId="28" type="noConversion"/>
  </si>
  <si>
    <t>RoutineControlType</t>
    <phoneticPr fontId="28" type="noConversion"/>
  </si>
  <si>
    <t>Request and Reponse</t>
    <phoneticPr fontId="28" type="noConversion"/>
  </si>
  <si>
    <t>0x0204</t>
  </si>
  <si>
    <t>IMU Sensor Calibration</t>
  </si>
  <si>
    <t>Request</t>
  </si>
  <si>
    <t>Input argument:
1. Boundary values for accelerometer and gyroscope (x, y, z) (w_x, w_y, w_z) - Default values are raw datas
    a. accelerometer (x, y, z) needs to be divided by 2000 to get the actual g value.
    b. gyroscope (w_x, w_y, w_z) needs to be divided by 50 to get the actual dps value.
    c. The avg. of 500 samples should be within the boundaries.
    d. Individual samples should be within the boundaries. Otherwise increment the error count per axis.
2. Maximum permissible error count in the measurement of a DOF. This parameter is shared by all DOFs. Default is 500 (0~500)</t>
  </si>
  <si>
    <t>Boundary for accel</t>
  </si>
  <si>
    <t>0x00</t>
  </si>
  <si>
    <t>0xFFFF</t>
  </si>
  <si>
    <t>g</t>
  </si>
  <si>
    <t>Boundary for gyro</t>
  </si>
  <si>
    <t>deg/s</t>
  </si>
  <si>
    <t>Permissible error count</t>
  </si>
  <si>
    <t>0x1F4</t>
  </si>
  <si>
    <t>Routine Info</t>
  </si>
  <si>
    <t>0x01</t>
  </si>
  <si>
    <t>0x00 : routine complete (calibration successful)
0x01 : calibration failed</t>
    <phoneticPr fontId="28" type="noConversion"/>
  </si>
  <si>
    <t>Longitudinal Accel Offset x</t>
  </si>
  <si>
    <t>0.0005</t>
  </si>
  <si>
    <t>Lateral Accel Offset y</t>
  </si>
  <si>
    <t>Vertical Accel Offset z</t>
  </si>
  <si>
    <t>Roll Offset w_x</t>
  </si>
  <si>
    <t>0.02</t>
  </si>
  <si>
    <t>Pitch Offset w_y</t>
  </si>
  <si>
    <t>Yaw Offset w_z</t>
  </si>
  <si>
    <t>0x00 : routine complete (calibration successful)
0x01 : calibration failed</t>
  </si>
  <si>
    <t>Add by CAN Team
https://foxtronev.atlassian.net/browse/FDC-4362</t>
    <phoneticPr fontId="28" type="noConversion"/>
  </si>
  <si>
    <t>0x03</t>
  </si>
  <si>
    <t>0x00: Return control to vehicle (empty)
0x01: Request Vehicle Power Status to enter ON for 900s
0x02: Request Vehicle Power Status to enter OFF for 900s
0x03: Request Vehicle Power Status to enter Standby for 900s</t>
  </si>
  <si>
    <t>0x00: Off
0x01: Off charging
0x02: Off after run
0x03: Standby
0x04: On
0x05: Ready</t>
    <phoneticPr fontId="28" type="noConversion"/>
  </si>
  <si>
    <t>0x0B0E</t>
  </si>
  <si>
    <t>TPMS Sensor ID register</t>
    <phoneticPr fontId="28" type="noConversion"/>
  </si>
  <si>
    <t>Progress</t>
  </si>
  <si>
    <t>0x0</t>
  </si>
  <si>
    <t>0x3</t>
  </si>
  <si>
    <t>0x0:Wait For Start
0x1:Success
0x2:Progressing
0x3:Fail</t>
  </si>
  <si>
    <t>Progressing Wheel</t>
  </si>
  <si>
    <t>0x0</t>
    <phoneticPr fontId="28" type="noConversion"/>
  </si>
  <si>
    <t>0x0:Front Left Wheel
0x1:Front Right Wheel
0x2:Rear Right Wheel
0x3:Rear Left Wheel
0x4:Finish</t>
  </si>
  <si>
    <t xml:space="preserve">
ResetPedalZP</t>
    <phoneticPr fontId="28" type="noConversion"/>
  </si>
  <si>
    <t>102</t>
    <phoneticPr fontId="28" type="noConversion"/>
  </si>
  <si>
    <t>CAN data collection request</t>
    <phoneticPr fontId="28" type="noConversion"/>
  </si>
  <si>
    <t>Add by CAN Team
D31-FSYSRQ-10011
https://10.58.200.61/perspective.req?docId=552350&amp;projectId=58
Jira ECR
https://foxtronev.atlassian.net/browse/D31L24-362</t>
    <phoneticPr fontId="28" type="noConversion"/>
  </si>
  <si>
    <t>Number of  CAN IDs</t>
    <phoneticPr fontId="28" type="noConversion"/>
  </si>
  <si>
    <t>The number of collected CAN IDs.
min 0x1 = 1
max 0x14 = 20</t>
    <phoneticPr fontId="28" type="noConversion"/>
  </si>
  <si>
    <t>Time range</t>
    <phoneticPr fontId="28" type="noConversion"/>
  </si>
  <si>
    <t>0x3C</t>
    <phoneticPr fontId="28" type="noConversion"/>
  </si>
  <si>
    <t>The time range of the collected CAN data.
max 0x3C=60 sec.</t>
    <phoneticPr fontId="28" type="noConversion"/>
  </si>
  <si>
    <t>#1 Channel</t>
    <phoneticPr fontId="28" type="noConversion"/>
  </si>
  <si>
    <t>0x0:GDBC
0x1:CAN 1
0x2:CAN 2
0x3:CAN 3
0x4:CAN 4
0x5:CAN 5
0x6:CAN 6
0xFF:Invalid</t>
    <phoneticPr fontId="28" type="noConversion"/>
  </si>
  <si>
    <t>#1 CAN ID</t>
    <phoneticPr fontId="28" type="noConversion"/>
  </si>
  <si>
    <t>0xFFFFFFFF:Invalid
ex:
0x00000116 = CAN ID 0x116
0x1801F456 = CAN ID 0x1801F456</t>
    <phoneticPr fontId="28" type="noConversion"/>
  </si>
  <si>
    <t>#2 Channel</t>
    <phoneticPr fontId="28" type="noConversion"/>
  </si>
  <si>
    <t>#2 CAN ID</t>
    <phoneticPr fontId="28" type="noConversion"/>
  </si>
  <si>
    <t>808</t>
    <phoneticPr fontId="28" type="noConversion"/>
  </si>
  <si>
    <t>#3~#20 ID data</t>
    <phoneticPr fontId="28" type="noConversion"/>
  </si>
  <si>
    <t>CAN data collection result</t>
    <phoneticPr fontId="28" type="noConversion"/>
  </si>
  <si>
    <t>json format</t>
    <phoneticPr fontId="28" type="noConversion"/>
  </si>
  <si>
    <t>0x0F01</t>
    <phoneticPr fontId="28" type="noConversion"/>
  </si>
  <si>
    <t>Switch M-core to DKC_UDS mode.</t>
    <phoneticPr fontId="28" type="noConversion"/>
  </si>
  <si>
    <t xml:space="preserve">01 </t>
    <phoneticPr fontId="28" type="noConversion"/>
  </si>
  <si>
    <t>This routine transitions the M-core into DKC_UDS mode, allowing users initiateoperations releated to DKC.</t>
    <phoneticPr fontId="28" type="noConversion"/>
  </si>
  <si>
    <t>Switch DKC_UDS mode</t>
    <phoneticPr fontId="28" type="noConversion"/>
  </si>
  <si>
    <t>0x09</t>
    <phoneticPr fontId="28" type="noConversion"/>
  </si>
  <si>
    <t>0x0F02</t>
    <phoneticPr fontId="28" type="noConversion"/>
  </si>
  <si>
    <t>Initialize and generate a new DKC key for NFC card.</t>
    <phoneticPr fontId="28" type="noConversion"/>
  </si>
  <si>
    <t>This routine transitions the KW45 into LidA mode, allowing users to tap an NFCcard to initialize and register it.</t>
  </si>
  <si>
    <t>Pairing state</t>
    <phoneticPr fontId="28" type="noConversion"/>
  </si>
  <si>
    <t>0x03</t>
    <phoneticPr fontId="28" type="noConversion"/>
  </si>
  <si>
    <t>0x01 : success
0x02 : progressing
0x03 :  failed</t>
    <phoneticPr fontId="28" type="noConversion"/>
  </si>
  <si>
    <t>NFC card uniqueidentifier (7 bytes)</t>
    <phoneticPr fontId="28" type="noConversion"/>
  </si>
  <si>
    <t>NFC card random keyA (16 bytes)</t>
    <phoneticPr fontId="28" type="noConversion"/>
  </si>
  <si>
    <t>NFC card randomkey B (16 bytes)</t>
    <phoneticPr fontId="28" type="noConversion"/>
  </si>
  <si>
    <t>0x0F03</t>
    <phoneticPr fontId="28" type="noConversion"/>
  </si>
  <si>
    <t>Request Device CSR</t>
    <phoneticPr fontId="28" type="noConversion"/>
  </si>
  <si>
    <t>This routine transfers the CCC certificate to the KW45 and retrieves the deviceCSR. The CSR is then sent to the PKI server for signing.</t>
    <phoneticPr fontId="28" type="noConversion"/>
  </si>
  <si>
    <t>Key fob uniqueidentifier (7 bytes)</t>
    <phoneticPr fontId="28" type="noConversion"/>
  </si>
  <si>
    <t xml:space="preserve">CCC certificate(2378 bytes) </t>
    <phoneticPr fontId="28" type="noConversion"/>
  </si>
  <si>
    <t>See Note CCCcertificate</t>
  </si>
  <si>
    <t>516</t>
    <phoneticPr fontId="28" type="noConversion"/>
  </si>
  <si>
    <t>Device CSR (515bytes)</t>
    <phoneticPr fontId="28" type="noConversion"/>
  </si>
  <si>
    <t>See Note Device CSR</t>
    <phoneticPr fontId="28" type="noConversion"/>
  </si>
  <si>
    <t>0x0F04</t>
    <phoneticPr fontId="28" type="noConversion"/>
  </si>
  <si>
    <t>Key fob pairing.</t>
    <phoneticPr fontId="28" type="noConversion"/>
  </si>
  <si>
    <t>515</t>
    <phoneticPr fontId="28" type="noConversion"/>
  </si>
  <si>
    <t>See Note Device CA</t>
  </si>
  <si>
    <t>4120</t>
    <phoneticPr fontId="28" type="noConversion"/>
  </si>
  <si>
    <t>Device CA (515bytes)</t>
    <phoneticPr fontId="28" type="noConversion"/>
  </si>
  <si>
    <t>Diagnostic Questionnaire - Read/Write Memory By Address (23/3D) service</t>
  </si>
  <si>
    <t>Module Identificaion read via ReadDataByAddress [$23] or write via WriteDataByAddress [$3D]:</t>
    <phoneticPr fontId="28" type="noConversion"/>
  </si>
  <si>
    <t xml:space="preserve">This section is reserved for data of address ONLY. </t>
    <phoneticPr fontId="28" type="noConversion"/>
  </si>
  <si>
    <t>Example_Read And Write 5 Bytes</t>
    <phoneticPr fontId="28" type="noConversion"/>
  </si>
  <si>
    <t>Address And Length Format</t>
  </si>
  <si>
    <t>Memory Address</t>
  </si>
  <si>
    <t>Memory Size</t>
  </si>
  <si>
    <t>Code Num</t>
  </si>
  <si>
    <t>Record</t>
  </si>
  <si>
    <t>Example_Read And Write Dynamic Bytes</t>
  </si>
  <si>
    <t>Diagnostic Questionnaire - PeriodicI DID List</t>
  </si>
  <si>
    <t>Module Identificaion read via ReadDataByIdentifier [$2A]</t>
    <phoneticPr fontId="28" type="noConversion"/>
  </si>
  <si>
    <r>
      <t xml:space="preserve">This section is reserved for Module stored or dynamic data . And most of  these datas are stored in EEPROM </t>
    </r>
    <r>
      <rPr>
        <sz val="8"/>
        <rFont val="宋体"/>
        <family val="3"/>
        <charset val="134"/>
      </rPr>
      <t>、</t>
    </r>
    <r>
      <rPr>
        <sz val="8"/>
        <rFont val="Arial"/>
        <family val="2"/>
      </rPr>
      <t xml:space="preserve">Flash or RAM. </t>
    </r>
    <phoneticPr fontId="28" type="noConversion"/>
  </si>
  <si>
    <t>0xE3</t>
    <phoneticPr fontId="28" type="noConversion"/>
  </si>
  <si>
    <t>Example_DID F2E3</t>
  </si>
  <si>
    <t>TP</t>
    <phoneticPr fontId="28" type="noConversion"/>
  </si>
  <si>
    <t>RPM</t>
    <phoneticPr fontId="28" type="noConversion"/>
  </si>
  <si>
    <t>VSS</t>
    <phoneticPr fontId="28" type="noConversion"/>
  </si>
  <si>
    <t>0xF224</t>
    <phoneticPr fontId="28" type="noConversion"/>
  </si>
  <si>
    <t>Example_DID F224</t>
  </si>
  <si>
    <t>MAP</t>
    <phoneticPr fontId="28" type="noConversion"/>
  </si>
  <si>
    <t>MAF</t>
    <phoneticPr fontId="28" type="noConversion"/>
  </si>
  <si>
    <t>1. Please provide example log with burning file(Srec) for Bootloader develop.
2. The total programming time must not exceed 300 seconds.</t>
    <phoneticPr fontId="45" type="noConversion"/>
  </si>
  <si>
    <t>Please provide example log with burning file for EOL develop.
Range of EOL:The required function settings from vehicle completion to delivery to the customer.</t>
    <phoneticPr fontId="45" type="noConversion"/>
  </si>
  <si>
    <t>Example_Steering angle calibration</t>
    <phoneticPr fontId="28" type="noConversion"/>
  </si>
  <si>
    <t>Step</t>
    <phoneticPr fontId="45" type="noConversion"/>
  </si>
  <si>
    <t>Diagnostic tester display information</t>
    <phoneticPr fontId="45" type="noConversion"/>
  </si>
  <si>
    <t>UDS command</t>
    <phoneticPr fontId="45" type="noConversion"/>
  </si>
  <si>
    <t>Instruction description</t>
    <phoneticPr fontId="45" type="noConversion"/>
  </si>
  <si>
    <t>Please make sure the vehicle is in horizontal plane and completely stop.</t>
    <phoneticPr fontId="51" type="noConversion"/>
  </si>
  <si>
    <t>Request…</t>
    <phoneticPr fontId="50" type="noConversion"/>
  </si>
  <si>
    <t>request:10 03</t>
    <phoneticPr fontId="51" type="noConversion"/>
  </si>
  <si>
    <t>ECU enters Extended Session</t>
    <phoneticPr fontId="51" type="noConversion"/>
  </si>
  <si>
    <t>positive response:50 03</t>
    <phoneticPr fontId="51" type="noConversion"/>
  </si>
  <si>
    <t>request:27 01</t>
    <phoneticPr fontId="51" type="noConversion"/>
  </si>
  <si>
    <t>Request SA Level1 Seed</t>
    <phoneticPr fontId="51" type="noConversion"/>
  </si>
  <si>
    <t>positive response: 67 01 XX XX XX XX</t>
    <phoneticPr fontId="51" type="noConversion"/>
  </si>
  <si>
    <t>request:27 02 XX XX XX XX</t>
    <phoneticPr fontId="51" type="noConversion"/>
  </si>
  <si>
    <t>Send SA Level1 Key</t>
    <phoneticPr fontId="51" type="noConversion"/>
  </si>
  <si>
    <t>positive response: ($621) 67 02</t>
  </si>
  <si>
    <t>Steering Angle Senesor Calibration in Progress.</t>
    <phoneticPr fontId="50" type="noConversion"/>
  </si>
  <si>
    <t>request:31 01 XX XX</t>
    <phoneticPr fontId="51" type="noConversion"/>
  </si>
  <si>
    <t>positve response:71 01 XX XX</t>
    <phoneticPr fontId="51" type="noConversion"/>
  </si>
  <si>
    <t>Clear DTC.</t>
    <phoneticPr fontId="50" type="noConversion"/>
  </si>
  <si>
    <t>request :14 FF FF FF</t>
    <phoneticPr fontId="51" type="noConversion"/>
  </si>
  <si>
    <t>Finish</t>
    <phoneticPr fontId="50" type="noConversion"/>
  </si>
  <si>
    <t>寫入車型碼與車身碼</t>
    <phoneticPr fontId="28" type="noConversion"/>
  </si>
  <si>
    <t>步驟</t>
  </si>
  <si>
    <t>使用者操作</t>
    <phoneticPr fontId="51" type="noConversion"/>
  </si>
  <si>
    <t>診斷器提示</t>
  </si>
  <si>
    <t>指令</t>
  </si>
  <si>
    <t>說明</t>
  </si>
  <si>
    <t>掃描車輛識別號碼</t>
  </si>
  <si>
    <t>請掃描 VIN CODE</t>
    <phoneticPr fontId="51" type="noConversion"/>
  </si>
  <si>
    <t>掃描車型碼</t>
    <phoneticPr fontId="45" type="noConversion"/>
  </si>
  <si>
    <t>請掃描 Model CODE</t>
    <phoneticPr fontId="51" type="noConversion"/>
  </si>
  <si>
    <t>3</t>
    <phoneticPr fontId="45" type="noConversion"/>
  </si>
  <si>
    <t>按下OK後，診斷器開始發送指令</t>
  </si>
  <si>
    <t>寫入執行中 …</t>
    <phoneticPr fontId="45" type="noConversion"/>
  </si>
  <si>
    <t>REQ</t>
    <phoneticPr fontId="51" type="noConversion"/>
  </si>
  <si>
    <t>10 03</t>
    <phoneticPr fontId="51" type="noConversion"/>
  </si>
  <si>
    <t>ECU進入Extended Session</t>
    <phoneticPr fontId="51" type="noConversion"/>
  </si>
  <si>
    <t>POS RSP</t>
    <phoneticPr fontId="51" type="noConversion"/>
  </si>
  <si>
    <t>50 03</t>
    <phoneticPr fontId="51" type="noConversion"/>
  </si>
  <si>
    <t>27 01</t>
    <phoneticPr fontId="51" type="noConversion"/>
  </si>
  <si>
    <t>請求Security Seed</t>
    <phoneticPr fontId="51" type="noConversion"/>
  </si>
  <si>
    <t>67 01 01 02 03 04</t>
    <phoneticPr fontId="51" type="noConversion"/>
  </si>
  <si>
    <t>27 02 YY YY YY YY</t>
    <phoneticPr fontId="51" type="noConversion"/>
  </si>
  <si>
    <t>發送 Security Key</t>
    <phoneticPr fontId="51" type="noConversion"/>
  </si>
  <si>
    <t>67 02</t>
    <phoneticPr fontId="51" type="noConversion"/>
  </si>
  <si>
    <t xml:space="preserve">2E F1 90 D0 D1 … D16
</t>
    <phoneticPr fontId="51" type="noConversion"/>
  </si>
  <si>
    <t>寫入 VIN CODE</t>
    <phoneticPr fontId="51" type="noConversion"/>
  </si>
  <si>
    <t>6E F1 90</t>
    <phoneticPr fontId="51" type="noConversion"/>
  </si>
  <si>
    <t>寫入成功，或寫入失敗
(寫入失敗程序跳到步驟 10)</t>
    <phoneticPr fontId="51" type="noConversion"/>
  </si>
  <si>
    <t xml:space="preserve">2E F0 90 D0 D1 … D21
</t>
    <phoneticPr fontId="51" type="noConversion"/>
  </si>
  <si>
    <t>寫入 MODEL CODE</t>
    <phoneticPr fontId="51" type="noConversion"/>
  </si>
  <si>
    <t>6E F0 90</t>
    <phoneticPr fontId="51" type="noConversion"/>
  </si>
  <si>
    <t>寫入成功，或寫入失敗
(寫入失敗程序跳到步驟 10)</t>
    <phoneticPr fontId="45" type="noConversion"/>
  </si>
  <si>
    <t xml:space="preserve">22 F1 90
</t>
    <phoneticPr fontId="51" type="noConversion"/>
  </si>
  <si>
    <t>讀取 VIN CODE</t>
    <phoneticPr fontId="51" type="noConversion"/>
  </si>
  <si>
    <t>62 F1 90 D0 D1 … D16</t>
    <phoneticPr fontId="51" type="noConversion"/>
  </si>
  <si>
    <t>讀取 VIN CODE 進行比對
(比對失敗程序跳到步驟 10)</t>
    <phoneticPr fontId="51" type="noConversion"/>
  </si>
  <si>
    <t xml:space="preserve">22 F0 90
</t>
    <phoneticPr fontId="51" type="noConversion"/>
  </si>
  <si>
    <t>讀取 Mdel CODE</t>
    <phoneticPr fontId="51" type="noConversion"/>
  </si>
  <si>
    <t>62 F0 90  D0 D1 … D21</t>
    <phoneticPr fontId="51" type="noConversion"/>
  </si>
  <si>
    <t>讀取 Model CODE 進行比對</t>
    <phoneticPr fontId="51" type="noConversion"/>
  </si>
  <si>
    <t>10 01</t>
    <phoneticPr fontId="51" type="noConversion"/>
  </si>
  <si>
    <t>ECU離開Extended Session</t>
    <phoneticPr fontId="51" type="noConversion"/>
  </si>
  <si>
    <t>50 01</t>
    <phoneticPr fontId="51" type="noConversion"/>
  </si>
  <si>
    <t>顯示成功或失敗</t>
    <phoneticPr fontId="50" type="noConversion"/>
  </si>
  <si>
    <t>APS 設定</t>
    <phoneticPr fontId="45" type="noConversion"/>
  </si>
  <si>
    <t>步驟</t>
    <phoneticPr fontId="51" type="noConversion"/>
  </si>
  <si>
    <t>診斷器提示</t>
    <phoneticPr fontId="51" type="noConversion"/>
  </si>
  <si>
    <t>指令</t>
    <phoneticPr fontId="51" type="noConversion"/>
  </si>
  <si>
    <t>說明</t>
    <phoneticPr fontId="51" type="noConversion"/>
  </si>
  <si>
    <t>車型</t>
  </si>
  <si>
    <t>D31L 5人座</t>
  </si>
  <si>
    <t>D31L [5+2]人座</t>
  </si>
  <si>
    <t>掃描車輛識別號碼
 (配置數據請參考表格 J20 : N28)</t>
    <phoneticPr fontId="51" type="noConversion"/>
  </si>
  <si>
    <t>車輛 USS 配置模式</t>
    <phoneticPr fontId="51" type="noConversion"/>
  </si>
  <si>
    <t>Grade</t>
  </si>
  <si>
    <t>M/L</t>
  </si>
  <si>
    <t>H/L</t>
  </si>
  <si>
    <t>按下OK後，診斷器開始發送指令</t>
    <phoneticPr fontId="51" type="noConversion"/>
  </si>
  <si>
    <t>切換擴展模式</t>
    <phoneticPr fontId="51" type="noConversion"/>
  </si>
  <si>
    <t>進入 Extended Session</t>
    <phoneticPr fontId="51" type="noConversion"/>
  </si>
  <si>
    <t>Model Code</t>
  </si>
  <si>
    <t>D31MMPC
L11A</t>
  </si>
  <si>
    <t>D31MHPC
L11B</t>
  </si>
  <si>
    <t>D31MMPC
L11C</t>
  </si>
  <si>
    <t>D31MHPC
L11D</t>
  </si>
  <si>
    <t>輪胎尺寸
與對應指令</t>
    <phoneticPr fontId="45" type="noConversion"/>
  </si>
  <si>
    <t>225/55R18</t>
    <phoneticPr fontId="51" type="noConversion"/>
  </si>
  <si>
    <t>請求解鎖</t>
    <phoneticPr fontId="51" type="noConversion"/>
  </si>
  <si>
    <t>($680)2E 09 02 E1 37 12 FF FF FF FF FF FF FF FF FF FF FF FF FF</t>
    <phoneticPr fontId="51" type="noConversion"/>
  </si>
  <si>
    <t>警示雷達配置
與對應指令</t>
    <phoneticPr fontId="45" type="noConversion"/>
  </si>
  <si>
    <t>前2/後2</t>
  </si>
  <si>
    <t>前6/後6 (APS)</t>
  </si>
  <si>
    <t>正常解鎖</t>
    <phoneticPr fontId="51" type="noConversion"/>
  </si>
  <si>
    <t>($680)2E 09 01 01 00 00 01 00 01 01 00 00 00 00 00 FF FF FF FF</t>
    <phoneticPr fontId="51" type="noConversion"/>
  </si>
  <si>
    <t>($680)2E 09 01 01 01 01 01 01 01 01 01 01 01 01 01 FF FF FF FF</t>
    <phoneticPr fontId="51" type="noConversion"/>
  </si>
  <si>
    <t>CAAS/SPTG啟閉
對應指令</t>
    <phoneticPr fontId="45" type="noConversion"/>
  </si>
  <si>
    <t>功能關閉</t>
    <phoneticPr fontId="51" type="noConversion"/>
  </si>
  <si>
    <t>功能開啟</t>
    <phoneticPr fontId="51" type="noConversion"/>
  </si>
  <si>
    <t>寫入 USS 配置中</t>
    <phoneticPr fontId="51" type="noConversion"/>
  </si>
  <si>
    <r>
      <t xml:space="preserve">2E </t>
    </r>
    <r>
      <rPr>
        <sz val="12"/>
        <color rgb="FFFF0000"/>
        <rFont val="微軟正黑體"/>
        <family val="2"/>
        <charset val="136"/>
      </rPr>
      <t xml:space="preserve">09 </t>
    </r>
    <r>
      <rPr>
        <sz val="12"/>
        <color rgb="FF00B050"/>
        <rFont val="微軟正黑體"/>
        <family val="2"/>
        <charset val="136"/>
      </rPr>
      <t>01</t>
    </r>
    <r>
      <rPr>
        <sz val="12"/>
        <color theme="1"/>
        <rFont val="微軟正黑體"/>
        <family val="2"/>
        <charset val="136"/>
      </rPr>
      <t xml:space="preserve"> D0 D1 … D15
EX : F2R2的配置
2E </t>
    </r>
    <r>
      <rPr>
        <sz val="12"/>
        <color rgb="FF00B050"/>
        <rFont val="微軟正黑體"/>
        <family val="2"/>
        <charset val="136"/>
      </rPr>
      <t>09 01</t>
    </r>
    <r>
      <rPr>
        <sz val="12"/>
        <color theme="1"/>
        <rFont val="微軟正黑體"/>
        <family val="2"/>
        <charset val="136"/>
      </rPr>
      <t xml:space="preserve"> </t>
    </r>
    <r>
      <rPr>
        <sz val="12"/>
        <color rgb="FFFF0000"/>
        <rFont val="微軟正黑體"/>
        <family val="2"/>
        <charset val="136"/>
      </rPr>
      <t>01 00 00 01</t>
    </r>
    <r>
      <rPr>
        <sz val="12"/>
        <color theme="1"/>
        <rFont val="微軟正黑體"/>
        <family val="2"/>
        <charset val="136"/>
      </rPr>
      <t xml:space="preserve"> 00 01 01 00 </t>
    </r>
    <r>
      <rPr>
        <sz val="12"/>
        <color rgb="FF00B0F0"/>
        <rFont val="微軟正黑體"/>
        <family val="2"/>
        <charset val="136"/>
      </rPr>
      <t xml:space="preserve">00 00 00 00 </t>
    </r>
    <r>
      <rPr>
        <sz val="12"/>
        <rFont val="微軟正黑體"/>
        <family val="2"/>
        <charset val="136"/>
      </rPr>
      <t>FF FF FF FF
EX：APS的配置
2E 09 01 01 01 01 01 01 01 01 01 01 01 01 01 FF FF FF FF</t>
    </r>
    <phoneticPr fontId="51" type="noConversion"/>
  </si>
  <si>
    <t>寫入 USS 配置</t>
    <phoneticPr fontId="51" type="noConversion"/>
  </si>
  <si>
    <t>($680)2E 09 03 00 00 FF FF FF FF FF FF FF FF FF FF FF FF FF FF</t>
    <phoneticPr fontId="51" type="noConversion"/>
  </si>
  <si>
    <t>($680)2E 09 03 01 01 FF FF FF FF FF FF FF FF FF FF FF FF FF FF</t>
    <phoneticPr fontId="51" type="noConversion"/>
  </si>
  <si>
    <t>6E 09 01</t>
    <phoneticPr fontId="51" type="noConversion"/>
  </si>
  <si>
    <t>回讀 USS 配置 OK</t>
    <phoneticPr fontId="51" type="noConversion"/>
  </si>
  <si>
    <t>22 09 01</t>
    <phoneticPr fontId="51" type="noConversion"/>
  </si>
  <si>
    <t>回讀 USS 配置</t>
    <phoneticPr fontId="51" type="noConversion"/>
  </si>
  <si>
    <r>
      <t xml:space="preserve">62 09 01 D0 D1 … D15
EX : F2R2的配置
62 </t>
    </r>
    <r>
      <rPr>
        <sz val="12"/>
        <color rgb="FF00B050"/>
        <rFont val="微軟正黑體"/>
        <family val="2"/>
        <charset val="136"/>
      </rPr>
      <t>09 01</t>
    </r>
    <r>
      <rPr>
        <sz val="12"/>
        <color theme="1"/>
        <rFont val="微軟正黑體"/>
        <family val="2"/>
        <charset val="136"/>
      </rPr>
      <t xml:space="preserve"> </t>
    </r>
    <r>
      <rPr>
        <sz val="12"/>
        <color rgb="FFFF0000"/>
        <rFont val="微軟正黑體"/>
        <family val="2"/>
        <charset val="136"/>
      </rPr>
      <t>01 00 00 01</t>
    </r>
    <r>
      <rPr>
        <sz val="12"/>
        <color theme="1"/>
        <rFont val="微軟正黑體"/>
        <family val="2"/>
        <charset val="136"/>
      </rPr>
      <t xml:space="preserve"> 00 01 01 00 </t>
    </r>
    <r>
      <rPr>
        <sz val="12"/>
        <color rgb="FF00B0F0"/>
        <rFont val="微軟正黑體"/>
        <family val="2"/>
        <charset val="136"/>
      </rPr>
      <t>00 00 00 00</t>
    </r>
    <r>
      <rPr>
        <sz val="12"/>
        <rFont val="微軟正黑體"/>
        <family val="2"/>
        <charset val="136"/>
      </rPr>
      <t xml:space="preserve"> FF FF FF FF
EX：APS的配置
2E 09 01 01 01 01 01 01 01 01 01 01 01 01 01 FF FF FF FF</t>
    </r>
    <phoneticPr fontId="51" type="noConversion"/>
  </si>
  <si>
    <t>寫入 輪胎 配置中</t>
    <phoneticPr fontId="51" type="noConversion"/>
  </si>
  <si>
    <t>2E 09 02 D0 D1 … D15
EX : 225/55 R18的配置
2E 09 02 E1 37 12 FF FF FF FF FF FF FF FF FF FF FF FF FF</t>
    <phoneticPr fontId="51" type="noConversion"/>
  </si>
  <si>
    <t>寫入 輪胎 規格</t>
    <phoneticPr fontId="51" type="noConversion"/>
  </si>
  <si>
    <t>6E 09 02</t>
    <phoneticPr fontId="51" type="noConversion"/>
  </si>
  <si>
    <t>回讀 輪胎 配置 OK</t>
    <phoneticPr fontId="51" type="noConversion"/>
  </si>
  <si>
    <t>22 09 02</t>
    <phoneticPr fontId="51" type="noConversion"/>
  </si>
  <si>
    <t>回讀 輪胎 規格</t>
    <phoneticPr fontId="51" type="noConversion"/>
  </si>
  <si>
    <t>62 09 02 D0 D1 … D15
EX : 輪胎規格 225/55 R18
62 09 02 E1 37 12 FF FF FF FF FF FF FF FF FF FF FF FF FF</t>
    <phoneticPr fontId="51" type="noConversion"/>
  </si>
  <si>
    <t>寫入 功能 配置中</t>
    <phoneticPr fontId="51" type="noConversion"/>
  </si>
  <si>
    <t>2E 09 03 D0 D1 … D15
EX : CAAS ON &amp; SPTG ON
2E 09 03 01 01 FF FF FF FF FF FF FF FF FF FF FF FF FF FF</t>
    <phoneticPr fontId="51" type="noConversion"/>
  </si>
  <si>
    <t>寫入 功能 配置</t>
    <phoneticPr fontId="51" type="noConversion"/>
  </si>
  <si>
    <t>6E 09 03</t>
    <phoneticPr fontId="51" type="noConversion"/>
  </si>
  <si>
    <t>回讀 功能 配置 OK</t>
    <phoneticPr fontId="51" type="noConversion"/>
  </si>
  <si>
    <t>22 09 03</t>
    <phoneticPr fontId="51" type="noConversion"/>
  </si>
  <si>
    <t>回讀 功能 配置</t>
    <phoneticPr fontId="51" type="noConversion"/>
  </si>
  <si>
    <t>62 09 03 D0 D1 … D15
EX : CAAS ON &amp; SPTG ON
62 09 03 01 01 FF FF FF FF FF FF FF FF FF FF FF FF FF FF</t>
    <phoneticPr fontId="51" type="noConversion"/>
  </si>
  <si>
    <t>VCU XWD Mode</t>
    <phoneticPr fontId="28" type="noConversion"/>
  </si>
  <si>
    <r>
      <rPr>
        <b/>
        <sz val="12"/>
        <rFont val="新細明體"/>
        <family val="1"/>
        <charset val="136"/>
      </rPr>
      <t>步驟</t>
    </r>
  </si>
  <si>
    <r>
      <rPr>
        <b/>
        <sz val="12"/>
        <rFont val="新細明體"/>
        <family val="1"/>
        <charset val="136"/>
      </rPr>
      <t>診斷器提示</t>
    </r>
  </si>
  <si>
    <r>
      <rPr>
        <b/>
        <sz val="12"/>
        <rFont val="新細明體"/>
        <family val="1"/>
        <charset val="136"/>
      </rPr>
      <t>指令</t>
    </r>
  </si>
  <si>
    <r>
      <rPr>
        <b/>
        <sz val="12"/>
        <rFont val="新細明體"/>
        <family val="1"/>
        <charset val="136"/>
      </rPr>
      <t>說明</t>
    </r>
  </si>
  <si>
    <r>
      <rPr>
        <sz val="12"/>
        <rFont val="細明體"/>
        <family val="2"/>
        <charset val="136"/>
      </rPr>
      <t>前置作業：
低壓電源、低壓電瓶電壓保持</t>
    </r>
    <r>
      <rPr>
        <sz val="12"/>
        <rFont val="Arial"/>
        <family val="2"/>
      </rPr>
      <t>12</t>
    </r>
    <r>
      <rPr>
        <sz val="12"/>
        <rFont val="細明體"/>
        <family val="2"/>
        <charset val="136"/>
      </rPr>
      <t>伏以上、非充電狀態、檔位處於</t>
    </r>
    <r>
      <rPr>
        <sz val="12"/>
        <rFont val="Arial"/>
        <family val="2"/>
      </rPr>
      <t>N</t>
    </r>
    <r>
      <rPr>
        <sz val="12"/>
        <rFont val="細明體"/>
        <family val="2"/>
        <charset val="136"/>
      </rPr>
      <t>檔</t>
    </r>
    <r>
      <rPr>
        <sz val="12"/>
        <rFont val="Arial"/>
        <family val="2"/>
      </rPr>
      <t xml:space="preserve">
Precondition: 
IGN ON, battery is 12V, non-charging, N range.</t>
    </r>
    <phoneticPr fontId="51" type="noConversion"/>
  </si>
  <si>
    <r>
      <rPr>
        <sz val="12"/>
        <rFont val="新細明體"/>
        <family val="1"/>
        <charset val="136"/>
      </rPr>
      <t xml:space="preserve">請選擇傳動系統式樣
</t>
    </r>
    <r>
      <rPr>
        <sz val="12"/>
        <rFont val="Arial"/>
        <family val="2"/>
      </rPr>
      <t>Please select powertrain type.</t>
    </r>
    <phoneticPr fontId="50" type="noConversion"/>
  </si>
  <si>
    <t>Tester: 10 03</t>
    <phoneticPr fontId="50" type="noConversion"/>
  </si>
  <si>
    <t>Tester send request to enter extended diagnostic session</t>
    <phoneticPr fontId="50" type="noConversion"/>
  </si>
  <si>
    <t>Tester: 3E 00 (1 sent cycle is 3sec)</t>
    <phoneticPr fontId="50" type="noConversion"/>
  </si>
  <si>
    <t xml:space="preserve">Tester keep sending Test Present </t>
    <phoneticPr fontId="50" type="noConversion"/>
  </si>
  <si>
    <t>ECU: 50 03 00 32 01 F4</t>
    <phoneticPr fontId="50" type="noConversion"/>
  </si>
  <si>
    <t>if postive response</t>
    <phoneticPr fontId="50" type="noConversion"/>
  </si>
  <si>
    <t>ECU: 7F 10 XX (refer to NRC)</t>
    <phoneticPr fontId="50" type="noConversion"/>
  </si>
  <si>
    <t>if negative response</t>
    <phoneticPr fontId="50" type="noConversion"/>
  </si>
  <si>
    <t>Tester: 27 01</t>
    <phoneticPr fontId="50" type="noConversion"/>
  </si>
  <si>
    <t>SecurityAccess Request seed</t>
    <phoneticPr fontId="50" type="noConversion"/>
  </si>
  <si>
    <t>ECU: 67 01 XX YY ZZ</t>
    <phoneticPr fontId="50" type="noConversion"/>
  </si>
  <si>
    <t>response seed</t>
    <phoneticPr fontId="50" type="noConversion"/>
  </si>
  <si>
    <t>Tester: 27 02 AA BB CC</t>
    <phoneticPr fontId="50" type="noConversion"/>
  </si>
  <si>
    <t>SecurityAccess sent KEY</t>
    <phoneticPr fontId="50" type="noConversion"/>
  </si>
  <si>
    <t>ECU: 67 02 (go to next step)</t>
    <phoneticPr fontId="50" type="noConversion"/>
  </si>
  <si>
    <t>ECU: 7F 27 xx (refer to NRC)</t>
    <phoneticPr fontId="50" type="noConversion"/>
  </si>
  <si>
    <r>
      <rPr>
        <sz val="12"/>
        <rFont val="宋体"/>
      </rPr>
      <t xml:space="preserve">式樣寫入中。。。
</t>
    </r>
    <r>
      <rPr>
        <sz val="12"/>
        <rFont val="Arial"/>
        <family val="2"/>
      </rPr>
      <t>Writing…</t>
    </r>
    <phoneticPr fontId="45" type="noConversion"/>
  </si>
  <si>
    <t>Tester: 2E 02 01 XX (00h=RWD, 01h=FWD, 02h=AWD)</t>
  </si>
  <si>
    <t>sent function requierment</t>
    <phoneticPr fontId="50" type="noConversion"/>
  </si>
  <si>
    <t>ECU: 6E 02 01</t>
  </si>
  <si>
    <t>ECU: 7F 2E XX (refer to NRC)</t>
    <phoneticPr fontId="50" type="noConversion"/>
  </si>
  <si>
    <r>
      <rPr>
        <sz val="12"/>
        <rFont val="宋体"/>
      </rPr>
      <t xml:space="preserve">請確認式樣寫入結果
</t>
    </r>
    <r>
      <rPr>
        <sz val="12"/>
        <rFont val="Arial"/>
        <family val="2"/>
      </rPr>
      <t>Please confirm if data writing is successful.</t>
    </r>
    <phoneticPr fontId="45" type="noConversion"/>
  </si>
  <si>
    <t>22 02 01</t>
  </si>
  <si>
    <t>check result</t>
    <phoneticPr fontId="50" type="noConversion"/>
  </si>
  <si>
    <t>62 02 01 XX  (00h=RWD, 01h=FWD, 02h=AWD)</t>
  </si>
  <si>
    <t>7F 22 XX (refer to NRC)</t>
    <phoneticPr fontId="50" type="noConversion"/>
  </si>
  <si>
    <r>
      <rPr>
        <sz val="12"/>
        <rFont val="新細明體"/>
        <family val="1"/>
        <charset val="136"/>
      </rPr>
      <t xml:space="preserve">完成
</t>
    </r>
    <r>
      <rPr>
        <sz val="12"/>
        <rFont val="Arial"/>
        <family val="2"/>
      </rPr>
      <t xml:space="preserve"> Finish</t>
    </r>
    <phoneticPr fontId="50" type="noConversion"/>
  </si>
  <si>
    <t>DoIP Fusion diagnostic write certificate</t>
    <phoneticPr fontId="51" type="noConversion"/>
  </si>
  <si>
    <t>Steps</t>
    <phoneticPr fontId="45" type="noConversion"/>
  </si>
  <si>
    <t>command</t>
    <phoneticPr fontId="45" type="noConversion"/>
  </si>
  <si>
    <t>description</t>
    <phoneticPr fontId="45" type="noConversion"/>
  </si>
  <si>
    <t>Enter Customize Session</t>
    <phoneticPr fontId="93" type="noConversion"/>
  </si>
  <si>
    <t xml:space="preserve">Request: </t>
    <phoneticPr fontId="45" type="noConversion"/>
  </si>
  <si>
    <r>
      <t xml:space="preserve">10 </t>
    </r>
    <r>
      <rPr>
        <sz val="12"/>
        <color rgb="FFFF0000"/>
        <rFont val="新細明體"/>
        <family val="1"/>
        <charset val="136"/>
      </rPr>
      <t>03</t>
    </r>
    <phoneticPr fontId="95" type="noConversion"/>
  </si>
  <si>
    <t>ECU enter extended session</t>
    <phoneticPr fontId="95" type="noConversion"/>
  </si>
  <si>
    <t xml:space="preserve">Positive Response: </t>
    <phoneticPr fontId="45" type="noConversion"/>
  </si>
  <si>
    <r>
      <t>50</t>
    </r>
    <r>
      <rPr>
        <sz val="12"/>
        <color rgb="FFFF0000"/>
        <rFont val="新細明體"/>
        <family val="1"/>
        <charset val="136"/>
      </rPr>
      <t xml:space="preserve"> 03</t>
    </r>
    <r>
      <rPr>
        <sz val="12"/>
        <rFont val="新細明體"/>
        <family val="1"/>
        <charset val="136"/>
      </rPr>
      <t xml:space="preserve"> 00 32 01 F4</t>
    </r>
    <phoneticPr fontId="95" type="noConversion"/>
  </si>
  <si>
    <t>Do Security Access Lv5 Unlock</t>
    <phoneticPr fontId="45" type="noConversion"/>
  </si>
  <si>
    <t>27 05</t>
    <phoneticPr fontId="95" type="noConversion"/>
  </si>
  <si>
    <t>Request security Level5 Seed</t>
    <phoneticPr fontId="95" type="noConversion"/>
  </si>
  <si>
    <t>67 05 S1 S2 …  S16</t>
    <phoneticPr fontId="95" type="noConversion"/>
  </si>
  <si>
    <t>27 06 K1 K2…K16</t>
    <phoneticPr fontId="95" type="noConversion"/>
  </si>
  <si>
    <t>Level5 Key</t>
    <phoneticPr fontId="95" type="noConversion"/>
  </si>
  <si>
    <t>67 06</t>
    <phoneticPr fontId="45" type="noConversion"/>
  </si>
  <si>
    <t>Send TestPresent</t>
    <phoneticPr fontId="45" type="noConversion"/>
  </si>
  <si>
    <t>3E 80</t>
    <phoneticPr fontId="45" type="noConversion"/>
  </si>
  <si>
    <t>Read CSR</t>
    <phoneticPr fontId="93" type="noConversion"/>
  </si>
  <si>
    <t>22 AA AA</t>
    <phoneticPr fontId="95" type="noConversion"/>
  </si>
  <si>
    <t>AA AA: Read CSR from DoIP in this DID. Tester read this DID data and send to PKI Server。</t>
    <phoneticPr fontId="45" type="noConversion"/>
  </si>
  <si>
    <t>DID1 for DoIP 
Read only</t>
    <phoneticPr fontId="51" type="noConversion"/>
  </si>
  <si>
    <t>62 AA AA X1</t>
    <phoneticPr fontId="95" type="noConversion"/>
  </si>
  <si>
    <r>
      <t xml:space="preserve">X1: </t>
    </r>
    <r>
      <rPr>
        <sz val="12"/>
        <color rgb="FFFF0000"/>
        <rFont val="新細明體"/>
        <family val="1"/>
        <charset val="136"/>
      </rPr>
      <t>CSR</t>
    </r>
    <r>
      <rPr>
        <sz val="12"/>
        <rFont val="新細明體"/>
        <family val="1"/>
        <charset val="136"/>
      </rPr>
      <t>。</t>
    </r>
  </si>
  <si>
    <t>Send CSR to PKI server</t>
    <phoneticPr fontId="95" type="noConversion"/>
  </si>
  <si>
    <t>Tester send CSR to PKI server through Ethernet</t>
    <phoneticPr fontId="95" type="noConversion"/>
  </si>
  <si>
    <t>PKI server return certificate to Tester</t>
    <phoneticPr fontId="95" type="noConversion"/>
  </si>
  <si>
    <t>PKI server provide certificate to tester</t>
    <phoneticPr fontId="95" type="noConversion"/>
  </si>
  <si>
    <t>Write certificate</t>
    <phoneticPr fontId="45" type="noConversion"/>
  </si>
  <si>
    <t>2E BB BB X2</t>
    <phoneticPr fontId="45" type="noConversion"/>
  </si>
  <si>
    <r>
      <t>BB BB: Tester write certificate of DoIP server to DoIP in this DID.</t>
    </r>
    <r>
      <rPr>
        <sz val="12"/>
        <color rgb="FFFF0000"/>
        <rFont val="新細明體"/>
        <family val="1"/>
        <charset val="136"/>
      </rPr>
      <t xml:space="preserve"> X2: certificate</t>
    </r>
  </si>
  <si>
    <t>DID2 for DoIP  
Read/Write</t>
    <phoneticPr fontId="51" type="noConversion"/>
  </si>
  <si>
    <t>6E BB BB</t>
    <phoneticPr fontId="45" type="noConversion"/>
  </si>
  <si>
    <t>After saving and verification of the certificate, send positive response to tester. Otherwise send negative response and NRC</t>
    <phoneticPr fontId="45" type="noConversion"/>
  </si>
  <si>
    <t>Tester verify the certificate</t>
    <phoneticPr fontId="45" type="noConversion"/>
  </si>
  <si>
    <t>22 BB BB</t>
    <phoneticPr fontId="95" type="noConversion"/>
  </si>
  <si>
    <t>tester read 0xBBBB to check if certificate was successfully written</t>
    <phoneticPr fontId="45" type="noConversion"/>
  </si>
  <si>
    <t>62 BB BB X2</t>
    <phoneticPr fontId="95" type="noConversion"/>
  </si>
  <si>
    <r>
      <t xml:space="preserve">Write </t>
    </r>
    <r>
      <rPr>
        <b/>
        <sz val="12"/>
        <color rgb="FF00B050"/>
        <rFont val="新細明體"/>
        <family val="1"/>
        <charset val="136"/>
      </rPr>
      <t>intermediate certificate</t>
    </r>
    <phoneticPr fontId="45" type="noConversion"/>
  </si>
  <si>
    <t>2E CC CC X3</t>
    <phoneticPr fontId="45" type="noConversion"/>
  </si>
  <si>
    <r>
      <t xml:space="preserve">CC CC: Tester write </t>
    </r>
    <r>
      <rPr>
        <b/>
        <sz val="12"/>
        <color rgb="FF00B050"/>
        <rFont val="新細明體"/>
        <family val="1"/>
        <charset val="136"/>
      </rPr>
      <t>intermediate certificate</t>
    </r>
    <r>
      <rPr>
        <sz val="12"/>
        <rFont val="新細明體"/>
        <family val="1"/>
        <charset val="136"/>
      </rPr>
      <t xml:space="preserve"> of client to DoIP in this DID. </t>
    </r>
    <r>
      <rPr>
        <sz val="12"/>
        <color rgb="FFFF0000"/>
        <rFont val="新細明體"/>
        <family val="1"/>
        <charset val="136"/>
      </rPr>
      <t>X3: certificate</t>
    </r>
  </si>
  <si>
    <t>DID3 for DoIP
Read/Write</t>
    <phoneticPr fontId="51" type="noConversion"/>
  </si>
  <si>
    <t>6E CC CC</t>
    <phoneticPr fontId="45" type="noConversion"/>
  </si>
  <si>
    <r>
      <t xml:space="preserve">Tester verify the </t>
    </r>
    <r>
      <rPr>
        <b/>
        <sz val="12"/>
        <color rgb="FF00B050"/>
        <rFont val="新細明體"/>
        <family val="1"/>
        <charset val="136"/>
      </rPr>
      <t>intermediate certificate</t>
    </r>
    <phoneticPr fontId="45" type="noConversion"/>
  </si>
  <si>
    <t>22 CC CC</t>
    <phoneticPr fontId="95" type="noConversion"/>
  </si>
  <si>
    <r>
      <t>tester read 0xCCCC to check if</t>
    </r>
    <r>
      <rPr>
        <sz val="12"/>
        <color rgb="FF00B050"/>
        <rFont val="新細明體"/>
        <family val="1"/>
        <charset val="136"/>
      </rPr>
      <t xml:space="preserve"> </t>
    </r>
    <r>
      <rPr>
        <b/>
        <sz val="12"/>
        <color rgb="FF00B050"/>
        <rFont val="新細明體"/>
        <family val="1"/>
        <charset val="136"/>
      </rPr>
      <t>intermediate certificate</t>
    </r>
    <r>
      <rPr>
        <sz val="12"/>
        <rFont val="新細明體"/>
        <family val="1"/>
        <charset val="136"/>
      </rPr>
      <t xml:space="preserve"> was successfully written</t>
    </r>
    <phoneticPr fontId="45" type="noConversion"/>
  </si>
  <si>
    <t>62 CC CC X3</t>
    <phoneticPr fontId="95" type="noConversion"/>
  </si>
  <si>
    <t>VND Fusion diagnostic write certificate</t>
    <phoneticPr fontId="51" type="noConversion"/>
  </si>
  <si>
    <t>Read CSR</t>
    <phoneticPr fontId="51" type="noConversion"/>
  </si>
  <si>
    <t>22 AA AA</t>
  </si>
  <si>
    <t>AA AA: Read CSR from VND in this DID. Tester read this DID data and send to PKI Server。</t>
    <phoneticPr fontId="51" type="noConversion"/>
  </si>
  <si>
    <t>DID1 for VND 
Read only</t>
    <phoneticPr fontId="51" type="noConversion"/>
  </si>
  <si>
    <t>Negative Response:</t>
  </si>
  <si>
    <t xml:space="preserve">7F 22 94 </t>
  </si>
  <si>
    <t>NRC 0x94 is ResourceTemporarilyNotAvailable, if tester gets this NRC stop EOL processing.</t>
  </si>
  <si>
    <t>X1: Application。</t>
    <phoneticPr fontId="95" type="noConversion"/>
  </si>
  <si>
    <r>
      <t xml:space="preserve">BB BB: Tester write certificate of VND server to VND in this DID.  </t>
    </r>
    <r>
      <rPr>
        <sz val="12"/>
        <color rgb="FFFF0000"/>
        <rFont val="新細明體"/>
        <family val="1"/>
        <charset val="136"/>
      </rPr>
      <t>X2: certificate</t>
    </r>
  </si>
  <si>
    <t>DID2 for VND 
Read/Write</t>
    <phoneticPr fontId="51" type="noConversion"/>
  </si>
  <si>
    <t>After saving and verification of the certificate, send positive response to tester. Otherwise send negative response and NRC</t>
  </si>
  <si>
    <t>tester read 0xBBBB to check if certificate was successfully written</t>
  </si>
  <si>
    <r>
      <t xml:space="preserve">CC CC: Tester write </t>
    </r>
    <r>
      <rPr>
        <b/>
        <sz val="12"/>
        <color rgb="FF00B050"/>
        <rFont val="新細明體"/>
        <family val="1"/>
        <charset val="136"/>
      </rPr>
      <t>intermediate certificate</t>
    </r>
    <r>
      <rPr>
        <sz val="12"/>
        <rFont val="新細明體"/>
        <family val="1"/>
        <charset val="136"/>
      </rPr>
      <t xml:space="preserve"> of client to VND in this DID. </t>
    </r>
    <r>
      <rPr>
        <sz val="12"/>
        <color rgb="FFFF0000"/>
        <rFont val="新細明體"/>
        <family val="1"/>
        <charset val="136"/>
      </rPr>
      <t>X3: certificate</t>
    </r>
  </si>
  <si>
    <t>DID3 for VND
Read/Write</t>
    <phoneticPr fontId="51" type="noConversion"/>
  </si>
  <si>
    <r>
      <t>tester read 0xCCCC to check if</t>
    </r>
    <r>
      <rPr>
        <sz val="12"/>
        <color rgb="FF00B050"/>
        <rFont val="新細明體"/>
        <family val="1"/>
        <charset val="136"/>
      </rPr>
      <t xml:space="preserve"> </t>
    </r>
    <r>
      <rPr>
        <b/>
        <sz val="12"/>
        <color rgb="FF00B050"/>
        <rFont val="新細明體"/>
        <family val="1"/>
        <charset val="136"/>
      </rPr>
      <t>intermediate certificate</t>
    </r>
    <r>
      <rPr>
        <sz val="12"/>
        <rFont val="新細明體"/>
        <family val="1"/>
        <charset val="136"/>
      </rPr>
      <t xml:space="preserve"> was successfully written</t>
    </r>
  </si>
  <si>
    <t>TSP Fusion diagnostic write certificate</t>
  </si>
  <si>
    <t>AA AA: Read CSR from TSP in this DID. Tester read this DID data and send to PKI Server。</t>
  </si>
  <si>
    <t>DID1 for TSP 
Read only</t>
  </si>
  <si>
    <t>BB BB: Tester write certificate of TSP server to TSP in this DID.</t>
  </si>
  <si>
    <t>DID2 for TSP  
Read/Write</t>
  </si>
  <si>
    <t>CC CC: Tester write intermediate certificate of client to TSP in this DID</t>
  </si>
  <si>
    <t>DID3 for TSP
Read/Write</t>
  </si>
  <si>
    <t>Connectivity Fusion diagnostic write certificate</t>
  </si>
  <si>
    <t>AA AA: Read CSR from Connectivity in this DID. Tester read this DID data and send to PKI Server。</t>
    <phoneticPr fontId="51" type="noConversion"/>
  </si>
  <si>
    <t>DID1 for Connectivity 
Read only</t>
    <phoneticPr fontId="51" type="noConversion"/>
  </si>
  <si>
    <t>BB BB: Tester write certificate of Connectivity server to Connectivity in this DID.</t>
  </si>
  <si>
    <t xml:space="preserve">DID2 for Connectivity
Read/Write </t>
    <phoneticPr fontId="51" type="noConversion"/>
  </si>
  <si>
    <r>
      <t xml:space="preserve">CC CC: Tester write </t>
    </r>
    <r>
      <rPr>
        <b/>
        <sz val="12"/>
        <color rgb="FF00B050"/>
        <rFont val="新細明體"/>
        <family val="1"/>
        <charset val="136"/>
      </rPr>
      <t>intermediate certificate</t>
    </r>
    <r>
      <rPr>
        <sz val="12"/>
        <rFont val="新細明體"/>
        <family val="1"/>
        <charset val="136"/>
      </rPr>
      <t xml:space="preserve"> of server to connectivity in this DID</t>
    </r>
    <phoneticPr fontId="45" type="noConversion"/>
  </si>
  <si>
    <t>DID3 for Connectivity
Read/Write</t>
    <phoneticPr fontId="51" type="noConversion"/>
  </si>
  <si>
    <t>EVCC Fusion diagnostic write certificate</t>
    <phoneticPr fontId="51" type="noConversion"/>
  </si>
  <si>
    <t>AA AA: Read CSR from EVCC in this DID. Tester read this DID data and send to PKI Server。</t>
    <phoneticPr fontId="51" type="noConversion"/>
  </si>
  <si>
    <t>DID1 for EVCC oemProv-2.key 
Read only</t>
    <phoneticPr fontId="51" type="noConversion"/>
  </si>
  <si>
    <r>
      <t xml:space="preserve">BB BB: Tester write certificate of EVCC server to EVCC in this DID.  </t>
    </r>
    <r>
      <rPr>
        <sz val="12"/>
        <color rgb="FFFF0000"/>
        <rFont val="新細明體"/>
        <family val="1"/>
        <charset val="136"/>
      </rPr>
      <t>X2: certificate</t>
    </r>
  </si>
  <si>
    <t>DID2 for EVCC oemProv-2.cert
Read/Write</t>
  </si>
  <si>
    <t>CC CC: Read CSR from EVCC in this DID. Tester read this DID data and send to PKI Server。</t>
    <phoneticPr fontId="51" type="noConversion"/>
  </si>
  <si>
    <t>DID3 for EVCC oemProv-20.key
Read only</t>
    <phoneticPr fontId="51" type="noConversion"/>
  </si>
  <si>
    <r>
      <t>X3</t>
    </r>
    <r>
      <rPr>
        <sz val="12"/>
        <color rgb="FFFF0000"/>
        <rFont val="新細明體"/>
        <family val="1"/>
        <charset val="136"/>
      </rPr>
      <t>: CSR</t>
    </r>
    <r>
      <rPr>
        <sz val="12"/>
        <rFont val="新細明體"/>
        <family val="1"/>
        <charset val="136"/>
      </rPr>
      <t>。</t>
    </r>
  </si>
  <si>
    <t>Tester send CSR to PKI server through Ethernet</t>
  </si>
  <si>
    <t>PKI server provide certificate to tester</t>
  </si>
  <si>
    <t>2E DD DD X4</t>
    <phoneticPr fontId="45" type="noConversion"/>
  </si>
  <si>
    <r>
      <t xml:space="preserve">BB BB: Tester write certificate of EVCC server to EVCC in this DID.  </t>
    </r>
    <r>
      <rPr>
        <sz val="12"/>
        <color rgb="FFFF0000"/>
        <rFont val="新細明體"/>
        <family val="1"/>
        <charset val="136"/>
      </rPr>
      <t>X4: certificate</t>
    </r>
  </si>
  <si>
    <t>DID4 for EVCC  oemProv-20.cert
Read/Write</t>
    <phoneticPr fontId="51" type="noConversion"/>
  </si>
  <si>
    <t>6E DD DD</t>
    <phoneticPr fontId="45" type="noConversion"/>
  </si>
  <si>
    <t>22 DD DD</t>
    <phoneticPr fontId="95" type="noConversion"/>
  </si>
  <si>
    <t>tester read 0xDDDD to check if certificate was successfully written</t>
  </si>
  <si>
    <t>62 DD DD X4</t>
    <phoneticPr fontId="95" type="noConversion"/>
  </si>
  <si>
    <t>22 EE EE</t>
    <phoneticPr fontId="95" type="noConversion"/>
  </si>
  <si>
    <t>EE EE: Read CSR from EVCC in this DID. Tester read this DID data and send to PKI Server。</t>
  </si>
  <si>
    <t>DID5 for EVCC  vehicleCert.pem
Read only</t>
    <phoneticPr fontId="51" type="noConversion"/>
  </si>
  <si>
    <t>62 EE EE X5</t>
    <phoneticPr fontId="95" type="noConversion"/>
  </si>
  <si>
    <r>
      <t xml:space="preserve">X5: </t>
    </r>
    <r>
      <rPr>
        <sz val="12"/>
        <color rgb="FFFF0000"/>
        <rFont val="新細明體"/>
        <family val="1"/>
        <charset val="136"/>
      </rPr>
      <t>CSR</t>
    </r>
    <r>
      <rPr>
        <sz val="12"/>
        <rFont val="新細明體"/>
        <family val="1"/>
        <charset val="136"/>
      </rPr>
      <t>。</t>
    </r>
  </si>
  <si>
    <t>2E FF FF X6</t>
    <phoneticPr fontId="45" type="noConversion"/>
  </si>
  <si>
    <r>
      <t xml:space="preserve">FF FF: Tester write certificate of EVCC server to EVCC in this DID.  </t>
    </r>
    <r>
      <rPr>
        <sz val="12"/>
        <color rgb="FFFF0000"/>
        <rFont val="新細明體"/>
        <family val="1"/>
        <charset val="136"/>
      </rPr>
      <t>X6: certificate</t>
    </r>
  </si>
  <si>
    <t>DID6 for EVCC  vehicleCert.cert
Read/Write</t>
    <phoneticPr fontId="51" type="noConversion"/>
  </si>
  <si>
    <t>6E FF FF</t>
    <phoneticPr fontId="45" type="noConversion"/>
  </si>
  <si>
    <t>22 GG GG</t>
    <phoneticPr fontId="95" type="noConversion"/>
  </si>
  <si>
    <t>tester read 0xGGGG to check if certificate was successfully written</t>
  </si>
  <si>
    <t>62 GG GG X6</t>
    <phoneticPr fontId="95" type="noConversion"/>
  </si>
  <si>
    <t>OTA DDS Fusion diagnostic write certificate</t>
    <phoneticPr fontId="51" type="noConversion"/>
  </si>
  <si>
    <t>AA AA: Read CSR from OTA DDS in this DID. Tester read this DID data and send to PKI Server。</t>
    <phoneticPr fontId="51" type="noConversion"/>
  </si>
  <si>
    <t>DID1 for OTA DDS 
Read only</t>
    <phoneticPr fontId="51" type="noConversion"/>
  </si>
  <si>
    <r>
      <t xml:space="preserve">X1: </t>
    </r>
    <r>
      <rPr>
        <sz val="12"/>
        <color rgb="FFFF0000"/>
        <rFont val="新細明體"/>
        <family val="1"/>
        <charset val="136"/>
      </rPr>
      <t>CSR。</t>
    </r>
  </si>
  <si>
    <r>
      <t xml:space="preserve">BB BB: Tester write certificate of OTA DDS server to OTA DDS in this DID.  </t>
    </r>
    <r>
      <rPr>
        <sz val="12"/>
        <color rgb="FFFF0000"/>
        <rFont val="新細明體"/>
        <family val="1"/>
        <charset val="136"/>
      </rPr>
      <t>X2: certificate</t>
    </r>
  </si>
  <si>
    <t xml:space="preserve">DID2 for OTA DDS
Read/Write </t>
    <phoneticPr fontId="51" type="noConversion"/>
  </si>
  <si>
    <t xml:space="preserve">DKC Fusion diagnostic write credential </t>
    <phoneticPr fontId="45" type="noConversion"/>
  </si>
  <si>
    <t>Steps</t>
  </si>
  <si>
    <t>command</t>
  </si>
  <si>
    <t>description</t>
  </si>
  <si>
    <t>Enter Customize Session</t>
  </si>
  <si>
    <t xml:space="preserve">Request: </t>
  </si>
  <si>
    <r>
      <t xml:space="preserve">10 </t>
    </r>
    <r>
      <rPr>
        <sz val="12"/>
        <color rgb="FFFF0000"/>
        <rFont val="新細明體"/>
        <family val="1"/>
        <charset val="136"/>
      </rPr>
      <t>03</t>
    </r>
  </si>
  <si>
    <t>ECU enter extended session</t>
  </si>
  <si>
    <t xml:space="preserve">Positive Response: </t>
  </si>
  <si>
    <r>
      <t>50</t>
    </r>
    <r>
      <rPr>
        <sz val="12"/>
        <color rgb="FFFF0000"/>
        <rFont val="新細明體"/>
        <family val="1"/>
        <charset val="136"/>
      </rPr>
      <t xml:space="preserve"> 03</t>
    </r>
    <r>
      <rPr>
        <sz val="12"/>
        <rFont val="新細明體"/>
        <family val="1"/>
        <charset val="136"/>
      </rPr>
      <t xml:space="preserve"> 00 32 01 F4</t>
    </r>
  </si>
  <si>
    <t>Do Security Access Lv5 Unlock</t>
  </si>
  <si>
    <t>27 05</t>
  </si>
  <si>
    <t>Request security Level5 Seed</t>
  </si>
  <si>
    <t>67 05 S1 S2 …  S16</t>
  </si>
  <si>
    <t>27 06 K1 K2…K16</t>
  </si>
  <si>
    <t>Level5 Key</t>
  </si>
  <si>
    <t>67 06</t>
  </si>
  <si>
    <t>Send TestPresent</t>
  </si>
  <si>
    <t>3E 80</t>
  </si>
  <si>
    <t>Write random number</t>
  </si>
  <si>
    <t>2E 02 02 K1 K2 K3 K4 K5 K6 K7 K8</t>
    <phoneticPr fontId="45" type="noConversion"/>
  </si>
  <si>
    <r>
      <t xml:space="preserve">BB BB: Tester write random number to FUSION.  </t>
    </r>
    <r>
      <rPr>
        <sz val="12"/>
        <color rgb="FFFF0000"/>
        <rFont val="新細明體"/>
        <family val="1"/>
        <charset val="136"/>
      </rPr>
      <t>K1~K8: key</t>
    </r>
    <phoneticPr fontId="45" type="noConversion"/>
  </si>
  <si>
    <t>DID for DKC_VCU
Write</t>
    <phoneticPr fontId="51" type="noConversion"/>
  </si>
  <si>
    <t>6E 02 02</t>
    <phoneticPr fontId="45" type="noConversion"/>
  </si>
  <si>
    <t>After saving random number, send positive response to tester. Otherwise send negative response and NRC</t>
  </si>
  <si>
    <t>Tester verify the number</t>
  </si>
  <si>
    <t>22 02 08</t>
    <phoneticPr fontId="45" type="noConversion"/>
  </si>
  <si>
    <t>tester read 0xCCCC to check if DKC paired FDC correctly. DD is DKC pairing state</t>
    <phoneticPr fontId="45" type="noConversion"/>
  </si>
  <si>
    <t>DID for DKC_VCU
Read</t>
    <phoneticPr fontId="51" type="noConversion"/>
  </si>
  <si>
    <t>62 02 08 DD</t>
    <phoneticPr fontId="45" type="noConversion"/>
  </si>
  <si>
    <t>APP1 Fusion diagnostic write certificate</t>
    <phoneticPr fontId="51" type="noConversion"/>
  </si>
  <si>
    <t>10 03</t>
    <phoneticPr fontId="95" type="noConversion"/>
  </si>
  <si>
    <t>50 03 00 32 01 F4</t>
    <phoneticPr fontId="95" type="noConversion"/>
  </si>
  <si>
    <t>AA AA: Read CSR from APP1 in this DID. Tester read this DID data and send to PKI Server。</t>
    <phoneticPr fontId="45" type="noConversion"/>
  </si>
  <si>
    <r>
      <t xml:space="preserve">DID1 for </t>
    </r>
    <r>
      <rPr>
        <sz val="12"/>
        <color rgb="FFFF0000"/>
        <rFont val="細明體"/>
        <family val="3"/>
        <charset val="136"/>
      </rPr>
      <t>APP1</t>
    </r>
    <r>
      <rPr>
        <sz val="12"/>
        <color rgb="FFFF0000"/>
        <rFont val="宋体"/>
      </rPr>
      <t xml:space="preserve">
Read only</t>
    </r>
    <phoneticPr fontId="51" type="noConversion"/>
  </si>
  <si>
    <t>X1:CSR。</t>
    <phoneticPr fontId="95" type="noConversion"/>
  </si>
  <si>
    <t>BB BB: Tester write certificate of APP1 server to APP1 in this DID.  X2: certificate</t>
    <phoneticPr fontId="45" type="noConversion"/>
  </si>
  <si>
    <r>
      <t xml:space="preserve">DID2 for </t>
    </r>
    <r>
      <rPr>
        <sz val="12"/>
        <color rgb="FFFF0000"/>
        <rFont val="細明體"/>
        <family val="3"/>
        <charset val="136"/>
      </rPr>
      <t>APP1</t>
    </r>
    <r>
      <rPr>
        <sz val="12"/>
        <color rgb="FFFF0000"/>
        <rFont val="宋体"/>
      </rPr>
      <t xml:space="preserve">
Read/Write</t>
    </r>
    <phoneticPr fontId="51" type="noConversion"/>
  </si>
  <si>
    <r>
      <t xml:space="preserve">Write </t>
    </r>
    <r>
      <rPr>
        <b/>
        <sz val="12"/>
        <color rgb="FFFF0000"/>
        <rFont val="新細明體"/>
        <family val="1"/>
        <charset val="136"/>
      </rPr>
      <t>intermediate certificate</t>
    </r>
    <phoneticPr fontId="45" type="noConversion"/>
  </si>
  <si>
    <r>
      <t xml:space="preserve">CC CC: Tester write </t>
    </r>
    <r>
      <rPr>
        <b/>
        <sz val="12"/>
        <color rgb="FFFF0000"/>
        <rFont val="新細明體"/>
        <family val="1"/>
        <charset val="136"/>
      </rPr>
      <t>intermediate certificate</t>
    </r>
    <r>
      <rPr>
        <sz val="12"/>
        <color rgb="FFFF0000"/>
        <rFont val="新細明體"/>
        <family val="1"/>
        <charset val="136"/>
      </rPr>
      <t xml:space="preserve"> of client to APP1 in this DID.  X3 certificate</t>
    </r>
    <phoneticPr fontId="45" type="noConversion"/>
  </si>
  <si>
    <r>
      <t xml:space="preserve">DID3 for </t>
    </r>
    <r>
      <rPr>
        <sz val="12"/>
        <color rgb="FFFF0000"/>
        <rFont val="細明體"/>
        <family val="3"/>
        <charset val="136"/>
      </rPr>
      <t>APP1</t>
    </r>
    <r>
      <rPr>
        <sz val="12"/>
        <color rgb="FFFF0000"/>
        <rFont val="宋体"/>
      </rPr>
      <t xml:space="preserve">
Read/Write</t>
    </r>
    <phoneticPr fontId="51" type="noConversion"/>
  </si>
  <si>
    <r>
      <t xml:space="preserve">Tester verify the </t>
    </r>
    <r>
      <rPr>
        <b/>
        <sz val="12"/>
        <color rgb="FFFF0000"/>
        <rFont val="新細明體"/>
        <family val="1"/>
        <charset val="136"/>
      </rPr>
      <t>intermediate certificate</t>
    </r>
    <phoneticPr fontId="45" type="noConversion"/>
  </si>
  <si>
    <r>
      <t xml:space="preserve">tester read 0xCCCC to check if </t>
    </r>
    <r>
      <rPr>
        <b/>
        <sz val="12"/>
        <color rgb="FFFF0000"/>
        <rFont val="新細明體"/>
        <family val="1"/>
        <charset val="136"/>
      </rPr>
      <t>intermediate certificate</t>
    </r>
    <r>
      <rPr>
        <sz val="12"/>
        <color rgb="FFFF0000"/>
        <rFont val="新細明體"/>
        <family val="1"/>
        <charset val="136"/>
      </rPr>
      <t xml:space="preserve"> was successfully written</t>
    </r>
    <phoneticPr fontId="45" type="noConversion"/>
  </si>
  <si>
    <t>APP2 Fusion diagnostic write certificate</t>
  </si>
  <si>
    <t>AA AA: Read CSR from APP2 in this DID. Tester read this DID data and send to PKI Server。</t>
  </si>
  <si>
    <t>DID1 for APP2
Read only</t>
  </si>
  <si>
    <t>X1: CSR。</t>
    <phoneticPr fontId="95" type="noConversion"/>
  </si>
  <si>
    <t>BB BB: Tester write certificate of APP2 server to APP2 in this DID.  X2: certificate</t>
    <phoneticPr fontId="45" type="noConversion"/>
  </si>
  <si>
    <t>DID2 for APP2
Read/Write</t>
  </si>
  <si>
    <t>CC CC: Tester write intermediate certificate of client to APP2 in this DID  X3: certificate</t>
    <phoneticPr fontId="45" type="noConversion"/>
  </si>
  <si>
    <t>DID3 for APP2
Read/Write</t>
  </si>
  <si>
    <t>APP3 Fusion diagnostic write certificate</t>
  </si>
  <si>
    <t>AA AA: Read CSR from APP3 in this DID. Tester read this DID data and send to PKI Server。</t>
  </si>
  <si>
    <t>DID1 for APP3
Read only</t>
  </si>
  <si>
    <t>BB BB: Tester write certificate of APP3 server to APP3 in this DID.  X2: certificate</t>
    <phoneticPr fontId="45" type="noConversion"/>
  </si>
  <si>
    <t>DID2 for APP3
Read/Write</t>
  </si>
  <si>
    <t>CC CC: Tester write intermediate certificate of client to APP3 in this DID.  X3: certificate</t>
    <phoneticPr fontId="45" type="noConversion"/>
  </si>
  <si>
    <t>DID3 for APP3
Read/Write</t>
  </si>
  <si>
    <t>APP4 Fusion diagnostic write certificate</t>
  </si>
  <si>
    <t>AA AA: Read CSR from APP4 in this DID. Tester read this DID data and send to PKI Server。</t>
  </si>
  <si>
    <t>DID1 for APP4
Read only</t>
  </si>
  <si>
    <t>BB BB: Tester write certificate of APP4 server to APP4 in this DID.  X2: certificate</t>
    <phoneticPr fontId="45" type="noConversion"/>
  </si>
  <si>
    <t>DID2 for APP4
Read/Write</t>
  </si>
  <si>
    <t>CC CC: Tester write intermediate certificate of client to APP4 in this DID. X3: certificate</t>
    <phoneticPr fontId="45" type="noConversion"/>
  </si>
  <si>
    <r>
      <t xml:space="preserve">DID3 for </t>
    </r>
    <r>
      <rPr>
        <sz val="12"/>
        <color rgb="FFFF0000"/>
        <rFont val="細明體"/>
        <family val="3"/>
        <charset val="136"/>
      </rPr>
      <t>APP4</t>
    </r>
    <r>
      <rPr>
        <sz val="12"/>
        <color rgb="FFFF0000"/>
        <rFont val="宋体"/>
      </rPr>
      <t xml:space="preserve">
Read/Write</t>
    </r>
    <phoneticPr fontId="51" type="noConversion"/>
  </si>
  <si>
    <r>
      <t xml:space="preserve">IMU Sensor Calibration </t>
    </r>
    <r>
      <rPr>
        <b/>
        <sz val="12"/>
        <rFont val="新細明體"/>
        <family val="1"/>
        <charset val="136"/>
      </rPr>
      <t>歸零校正</t>
    </r>
    <phoneticPr fontId="28" type="noConversion"/>
  </si>
  <si>
    <t>ECU</t>
    <phoneticPr fontId="45" type="noConversion"/>
  </si>
  <si>
    <t>Command</t>
    <phoneticPr fontId="45" type="noConversion"/>
  </si>
  <si>
    <t>Description</t>
    <phoneticPr fontId="45" type="noConversion"/>
  </si>
  <si>
    <t>EOL</t>
    <phoneticPr fontId="45" type="noConversion"/>
  </si>
  <si>
    <r>
      <rPr>
        <sz val="12"/>
        <rFont val="新細明體"/>
        <family val="1"/>
        <charset val="136"/>
      </rPr>
      <t xml:space="preserve">請將車輛置於水平路面，並確認車輛完全靜止
</t>
    </r>
    <r>
      <rPr>
        <sz val="12"/>
        <rFont val="Arial"/>
        <family val="2"/>
      </rPr>
      <t>Please make sure the vehicle is on a horizontal plane and at complete stop.</t>
    </r>
    <phoneticPr fontId="51" type="noConversion"/>
  </si>
  <si>
    <t>TESTER</t>
    <phoneticPr fontId="45" type="noConversion"/>
  </si>
  <si>
    <t>Request</t>
    <phoneticPr fontId="45" type="noConversion"/>
  </si>
  <si>
    <r>
      <rPr>
        <sz val="12"/>
        <rFont val="新細明體"/>
        <family val="1"/>
        <charset val="136"/>
      </rPr>
      <t>請求進入</t>
    </r>
    <r>
      <rPr>
        <sz val="12"/>
        <rFont val="Arial"/>
        <family val="2"/>
      </rPr>
      <t>IMU</t>
    </r>
    <r>
      <rPr>
        <sz val="12"/>
        <rFont val="新細明體"/>
        <family val="1"/>
        <charset val="136"/>
      </rPr>
      <t xml:space="preserve">校正程序
</t>
    </r>
    <r>
      <rPr>
        <sz val="12"/>
        <rFont val="Arial"/>
        <family val="2"/>
      </rPr>
      <t>Request IMU calibration...</t>
    </r>
    <phoneticPr fontId="50" type="noConversion"/>
  </si>
  <si>
    <r>
      <t>T</t>
    </r>
    <r>
      <rPr>
        <sz val="12"/>
        <rFont val="Microsoft YaHei"/>
        <family val="2"/>
      </rPr>
      <t>ester requests to enter e</t>
    </r>
    <r>
      <rPr>
        <sz val="12"/>
        <rFont val="Arial"/>
        <family val="2"/>
      </rPr>
      <t>xtended diagnostic session</t>
    </r>
    <phoneticPr fontId="51" type="noConversion"/>
  </si>
  <si>
    <t>3E 00 (1 sent cycle is 3sec)</t>
    <phoneticPr fontId="45" type="noConversion"/>
  </si>
  <si>
    <t>Tester sends Test Present</t>
    <phoneticPr fontId="45" type="noConversion"/>
  </si>
  <si>
    <t>Positive Response</t>
  </si>
  <si>
    <t>50 03 00 32 01 f4</t>
    <phoneticPr fontId="51" type="noConversion"/>
  </si>
  <si>
    <t>FD positive response</t>
    <phoneticPr fontId="45" type="noConversion"/>
  </si>
  <si>
    <t>Negative Response</t>
  </si>
  <si>
    <t>7F 10 xx (refer to 4.7.3 precondition check result)</t>
    <phoneticPr fontId="45" type="noConversion"/>
  </si>
  <si>
    <t>FD NRC</t>
    <phoneticPr fontId="45" type="noConversion"/>
  </si>
  <si>
    <t>4</t>
    <phoneticPr fontId="45" type="noConversion"/>
  </si>
  <si>
    <r>
      <t>Tester requests security access</t>
    </r>
    <r>
      <rPr>
        <sz val="12"/>
        <rFont val="Arial"/>
        <family val="2"/>
      </rPr>
      <t xml:space="preserve"> level 1 seed</t>
    </r>
    <phoneticPr fontId="51" type="noConversion"/>
  </si>
  <si>
    <t>5</t>
    <phoneticPr fontId="45" type="noConversion"/>
  </si>
  <si>
    <t>Positive Response</t>
    <phoneticPr fontId="45" type="noConversion"/>
  </si>
  <si>
    <t>67 01 xx xx xx xx</t>
    <phoneticPr fontId="51" type="noConversion"/>
  </si>
  <si>
    <t>FD responds to seed</t>
    <phoneticPr fontId="45" type="noConversion"/>
  </si>
  <si>
    <t>6</t>
    <phoneticPr fontId="45" type="noConversion"/>
  </si>
  <si>
    <t>Send</t>
    <phoneticPr fontId="45" type="noConversion"/>
  </si>
  <si>
    <t>27 02 xx xx xx xx</t>
    <phoneticPr fontId="51" type="noConversion"/>
  </si>
  <si>
    <t>Tester sends security access level 1 key</t>
    <phoneticPr fontId="51" type="noConversion"/>
  </si>
  <si>
    <t>7</t>
    <phoneticPr fontId="45" type="noConversion"/>
  </si>
  <si>
    <t>67 02</t>
    <phoneticPr fontId="45" type="noConversion"/>
  </si>
  <si>
    <t>Go to next step</t>
    <phoneticPr fontId="45" type="noConversion"/>
  </si>
  <si>
    <t>Negative Response</t>
    <phoneticPr fontId="45" type="noConversion"/>
  </si>
  <si>
    <t>7F 27 xx (refer to 4.7.3)</t>
    <phoneticPr fontId="45" type="noConversion"/>
  </si>
  <si>
    <r>
      <rPr>
        <sz val="12"/>
        <rFont val="新細明體"/>
        <family val="1"/>
        <charset val="136"/>
      </rPr>
      <t>進行</t>
    </r>
    <r>
      <rPr>
        <sz val="12"/>
        <rFont val="Arial"/>
        <family val="2"/>
      </rPr>
      <t>IMU</t>
    </r>
    <r>
      <rPr>
        <sz val="12"/>
        <rFont val="新細明體"/>
        <family val="1"/>
        <charset val="136"/>
      </rPr>
      <t xml:space="preserve">歸零校正標定
</t>
    </r>
    <r>
      <rPr>
        <sz val="12"/>
        <rFont val="Arial"/>
        <family val="2"/>
      </rPr>
      <t>IMU senesor calibration in progress...</t>
    </r>
    <phoneticPr fontId="50" type="noConversion"/>
  </si>
  <si>
    <r>
      <t xml:space="preserve">31 01 </t>
    </r>
    <r>
      <rPr>
        <b/>
        <sz val="12"/>
        <color rgb="FFFF0000"/>
        <rFont val="Arial"/>
        <family val="2"/>
      </rPr>
      <t>02 04</t>
    </r>
    <r>
      <rPr>
        <sz val="12"/>
        <rFont val="Arial"/>
        <family val="2"/>
      </rPr>
      <t xml:space="preserve"> xx xx xx xx xx xx</t>
    </r>
    <phoneticPr fontId="51" type="noConversion"/>
  </si>
  <si>
    <t>Tester requests calibration</t>
    <phoneticPr fontId="51" type="noConversion"/>
  </si>
  <si>
    <t>9</t>
    <phoneticPr fontId="45" type="noConversion"/>
  </si>
  <si>
    <t>Positve Response</t>
  </si>
  <si>
    <r>
      <t xml:space="preserve">71 01 </t>
    </r>
    <r>
      <rPr>
        <b/>
        <sz val="12"/>
        <color rgb="FFFF0000"/>
        <rFont val="Arial"/>
        <family val="2"/>
      </rPr>
      <t>02 04</t>
    </r>
    <r>
      <rPr>
        <sz val="12"/>
        <rFont val="Arial"/>
        <family val="2"/>
      </rPr>
      <t xml:space="preserve"> xx…..</t>
    </r>
    <phoneticPr fontId="51" type="noConversion"/>
  </si>
  <si>
    <t>7F 31 xx (refer to 4.11.3)</t>
    <phoneticPr fontId="45" type="noConversion"/>
  </si>
  <si>
    <r>
      <rPr>
        <sz val="12"/>
        <rFont val="細明體"/>
        <family val="2"/>
        <charset val="136"/>
      </rPr>
      <t>若步驟</t>
    </r>
    <r>
      <rPr>
        <sz val="12"/>
        <rFont val="Arial"/>
        <family val="2"/>
      </rPr>
      <t>9</t>
    </r>
    <r>
      <rPr>
        <sz val="12"/>
        <rFont val="細明體"/>
        <family val="2"/>
        <charset val="136"/>
      </rPr>
      <t>為正回應，</t>
    </r>
    <r>
      <rPr>
        <sz val="12"/>
        <rFont val="Arial"/>
        <family val="2"/>
      </rPr>
      <t xml:space="preserve">Tester </t>
    </r>
    <r>
      <rPr>
        <sz val="12"/>
        <rFont val="Microsoft JhengHei"/>
        <family val="2"/>
      </rPr>
      <t>儲存</t>
    </r>
    <r>
      <rPr>
        <sz val="12"/>
        <rFont val="Arial"/>
        <family val="2"/>
        <charset val="136"/>
      </rPr>
      <t>Positve response</t>
    </r>
    <phoneticPr fontId="51" type="noConversion"/>
  </si>
  <si>
    <t>Tester save log.</t>
    <phoneticPr fontId="51" type="noConversion"/>
  </si>
  <si>
    <r>
      <rPr>
        <sz val="12"/>
        <rFont val="Microsoft JhengHei"/>
        <family val="2"/>
      </rPr>
      <t>校正結束</t>
    </r>
    <r>
      <rPr>
        <sz val="12"/>
        <rFont val="Arial"/>
        <family val="2"/>
      </rPr>
      <t xml:space="preserve">
Calibration complete</t>
    </r>
    <phoneticPr fontId="51" type="noConversion"/>
  </si>
  <si>
    <t>EVCCID Check</t>
    <phoneticPr fontId="28" type="noConversion"/>
  </si>
  <si>
    <r>
      <rPr>
        <sz val="12"/>
        <rFont val="細明體"/>
        <family val="2"/>
        <charset val="136"/>
      </rPr>
      <t>前置作業：
低壓電源、低壓電瓶電壓保持</t>
    </r>
    <r>
      <rPr>
        <sz val="12"/>
        <rFont val="Arial"/>
        <family val="2"/>
      </rPr>
      <t>12</t>
    </r>
    <r>
      <rPr>
        <sz val="12"/>
        <rFont val="細明體"/>
        <family val="2"/>
        <charset val="136"/>
      </rPr>
      <t>伏以上、非充電狀態</t>
    </r>
    <phoneticPr fontId="51" type="noConversion"/>
  </si>
  <si>
    <r>
      <rPr>
        <sz val="12"/>
        <rFont val="新細明體"/>
        <family val="1"/>
        <charset val="136"/>
      </rPr>
      <t>切到</t>
    </r>
    <r>
      <rPr>
        <sz val="12"/>
        <rFont val="Arial"/>
        <family val="1"/>
      </rPr>
      <t xml:space="preserve"> extended session</t>
    </r>
    <phoneticPr fontId="50" type="noConversion"/>
  </si>
  <si>
    <r>
      <rPr>
        <sz val="12"/>
        <color theme="1"/>
        <rFont val="Microsoft JhengHei"/>
        <family val="2"/>
      </rPr>
      <t>切到</t>
    </r>
    <r>
      <rPr>
        <sz val="12"/>
        <color theme="1"/>
        <rFont val="Arial"/>
        <family val="2"/>
      </rPr>
      <t xml:space="preserve"> extended session</t>
    </r>
    <phoneticPr fontId="50" type="noConversion"/>
  </si>
  <si>
    <t>正回應</t>
    <phoneticPr fontId="50" type="noConversion"/>
  </si>
  <si>
    <t>負回應</t>
    <phoneticPr fontId="50" type="noConversion"/>
  </si>
  <si>
    <r>
      <rPr>
        <sz val="12"/>
        <color theme="1"/>
        <rFont val="Microsoft JhengHei"/>
        <family val="2"/>
      </rPr>
      <t>發送</t>
    </r>
    <r>
      <rPr>
        <sz val="12"/>
        <color theme="1"/>
        <rFont val="Arial"/>
        <family val="2"/>
      </rPr>
      <t xml:space="preserve"> SecurityAccess </t>
    </r>
    <r>
      <rPr>
        <sz val="12"/>
        <color theme="1"/>
        <rFont val="Microsoft JhengHei"/>
        <family val="2"/>
      </rPr>
      <t>命令</t>
    </r>
    <phoneticPr fontId="50" type="noConversion"/>
  </si>
  <si>
    <r>
      <rPr>
        <sz val="12"/>
        <color theme="1"/>
        <rFont val="Microsoft JhengHei"/>
        <family val="2"/>
      </rPr>
      <t>發送</t>
    </r>
    <r>
      <rPr>
        <sz val="12"/>
        <color theme="1"/>
        <rFont val="Arial"/>
        <family val="2"/>
      </rPr>
      <t xml:space="preserve"> SecurityAccess </t>
    </r>
    <r>
      <rPr>
        <sz val="12"/>
        <color theme="1"/>
        <rFont val="Microsoft JhengHei"/>
        <family val="2"/>
      </rPr>
      <t>命令</t>
    </r>
    <r>
      <rPr>
        <sz val="12"/>
        <color theme="1"/>
        <rFont val="Arial"/>
        <family val="2"/>
      </rPr>
      <t xml:space="preserve"> (KEY)</t>
    </r>
    <phoneticPr fontId="50" type="noConversion"/>
  </si>
  <si>
    <r>
      <rPr>
        <sz val="12"/>
        <rFont val="宋体"/>
      </rPr>
      <t>確認</t>
    </r>
    <r>
      <rPr>
        <sz val="12"/>
        <rFont val="Arial"/>
        <family val="2"/>
      </rPr>
      <t xml:space="preserve"> EVCCID </t>
    </r>
    <r>
      <rPr>
        <sz val="12"/>
        <rFont val="Microsoft JhengHei"/>
        <family val="2"/>
        <charset val="136"/>
      </rPr>
      <t>是否正確</t>
    </r>
    <phoneticPr fontId="45" type="noConversion"/>
  </si>
  <si>
    <t>22 05 04</t>
    <phoneticPr fontId="45" type="noConversion"/>
  </si>
  <si>
    <r>
      <rPr>
        <sz val="12"/>
        <color theme="1"/>
        <rFont val="Microsoft JhengHei"/>
        <family val="2"/>
      </rPr>
      <t>確認</t>
    </r>
    <r>
      <rPr>
        <sz val="12"/>
        <color theme="1"/>
        <rFont val="Arial"/>
        <family val="2"/>
      </rPr>
      <t xml:space="preserve"> EvccMacAddress (EVCCID)</t>
    </r>
    <phoneticPr fontId="50" type="noConversion"/>
  </si>
  <si>
    <r>
      <t xml:space="preserve">62 </t>
    </r>
    <r>
      <rPr>
        <sz val="12"/>
        <color rgb="FFFF0000"/>
        <rFont val="Arial"/>
        <family val="2"/>
      </rPr>
      <t>F0 FD DD</t>
    </r>
    <r>
      <rPr>
        <sz val="12"/>
        <color theme="1"/>
        <rFont val="Arial"/>
        <family val="2"/>
      </rPr>
      <t xml:space="preserve"> xx xx xx</t>
    </r>
    <phoneticPr fontId="45" type="noConversion"/>
  </si>
  <si>
    <t>正回應 (EVCCID 前三碼必須是 F0 FD DD )</t>
    <phoneticPr fontId="50" type="noConversion"/>
  </si>
  <si>
    <r>
      <rPr>
        <sz val="12"/>
        <rFont val="Microsoft JhengHei"/>
        <family val="2"/>
      </rPr>
      <t>若</t>
    </r>
    <r>
      <rPr>
        <sz val="12"/>
        <rFont val="Arial"/>
        <family val="2"/>
      </rPr>
      <t xml:space="preserve">EVCCID </t>
    </r>
    <r>
      <rPr>
        <sz val="12"/>
        <rFont val="Microsoft JhengHei"/>
        <family val="2"/>
        <charset val="136"/>
      </rPr>
      <t>異常，螢幕顯示換件處理</t>
    </r>
    <phoneticPr fontId="45" type="noConversion"/>
  </si>
  <si>
    <t xml:space="preserve">DKC Fusion diagnostic write credential </t>
  </si>
  <si>
    <t>關閉 OTA Emergency Mode</t>
    <phoneticPr fontId="28" type="noConversion"/>
  </si>
  <si>
    <t>按下 OTA Emergency OFF按鈕後，
診斷器開始發送指令</t>
    <phoneticPr fontId="45" type="noConversion"/>
  </si>
  <si>
    <r>
      <t xml:space="preserve">27 </t>
    </r>
    <r>
      <rPr>
        <b/>
        <sz val="12"/>
        <color rgb="FFFF0000"/>
        <rFont val="微軟正黑體"/>
        <family val="2"/>
        <charset val="136"/>
      </rPr>
      <t>03</t>
    </r>
    <phoneticPr fontId="51" type="noConversion"/>
  </si>
  <si>
    <r>
      <t xml:space="preserve">67 </t>
    </r>
    <r>
      <rPr>
        <b/>
        <sz val="12"/>
        <color rgb="FFFF0000"/>
        <rFont val="微軟正黑體"/>
        <family val="2"/>
        <charset val="136"/>
      </rPr>
      <t xml:space="preserve">03 </t>
    </r>
    <r>
      <rPr>
        <sz val="12"/>
        <color theme="1"/>
        <rFont val="微軟正黑體"/>
        <family val="2"/>
        <charset val="136"/>
      </rPr>
      <t>01 02 03 04</t>
    </r>
    <phoneticPr fontId="51" type="noConversion"/>
  </si>
  <si>
    <r>
      <t xml:space="preserve">27 </t>
    </r>
    <r>
      <rPr>
        <b/>
        <sz val="12"/>
        <color rgb="FFFF0000"/>
        <rFont val="微軟正黑體"/>
        <family val="2"/>
        <charset val="136"/>
      </rPr>
      <t>04</t>
    </r>
    <r>
      <rPr>
        <sz val="12"/>
        <color theme="1"/>
        <rFont val="微軟正黑體"/>
        <family val="2"/>
        <charset val="136"/>
      </rPr>
      <t xml:space="preserve"> YY YY YY YY</t>
    </r>
    <phoneticPr fontId="51" type="noConversion"/>
  </si>
  <si>
    <r>
      <t xml:space="preserve">67 </t>
    </r>
    <r>
      <rPr>
        <b/>
        <sz val="12"/>
        <color rgb="FFFF0000"/>
        <rFont val="微軟正黑體"/>
        <family val="2"/>
        <charset val="136"/>
      </rPr>
      <t>04</t>
    </r>
    <phoneticPr fontId="51" type="noConversion"/>
  </si>
  <si>
    <t xml:space="preserve">2E 06 10 00
</t>
    <phoneticPr fontId="51" type="noConversion"/>
  </si>
  <si>
    <r>
      <t xml:space="preserve">寫入 OTA Emergency Mode
</t>
    </r>
    <r>
      <rPr>
        <b/>
        <sz val="12"/>
        <color rgb="FFFF0000"/>
        <rFont val="新細明體"/>
        <family val="1"/>
        <charset val="136"/>
        <scheme val="minor"/>
      </rPr>
      <t>0x0:Emergency OFF</t>
    </r>
    <phoneticPr fontId="51" type="noConversion"/>
  </si>
  <si>
    <t>6E 06 10</t>
    <phoneticPr fontId="51" type="noConversion"/>
  </si>
  <si>
    <t>寫入成功，或寫入失敗
(寫入失敗程序跳到步驟 6)</t>
    <phoneticPr fontId="51" type="noConversion"/>
  </si>
  <si>
    <t xml:space="preserve">22 06 10
</t>
    <phoneticPr fontId="51" type="noConversion"/>
  </si>
  <si>
    <t>讀取 OTA Emergency Mode</t>
    <phoneticPr fontId="51" type="noConversion"/>
  </si>
  <si>
    <r>
      <t>62 06 10</t>
    </r>
    <r>
      <rPr>
        <sz val="12"/>
        <color rgb="FFFF0000"/>
        <rFont val="微軟正黑體"/>
        <family val="2"/>
        <charset val="136"/>
      </rPr>
      <t xml:space="preserve"> 00</t>
    </r>
    <phoneticPr fontId="51" type="noConversion"/>
  </si>
  <si>
    <t>讀取 OTA Emergency Mode 進行比對
(比對失敗程序跳到步驟 6)</t>
    <phoneticPr fontId="51" type="noConversion"/>
  </si>
  <si>
    <t>電門踏板APS 歸零校正</t>
    <phoneticPr fontId="45" type="noConversion"/>
  </si>
  <si>
    <t>service</t>
  </si>
  <si>
    <t>請將確認車輛完全靜止、電門踏板鬆開並且維持車兩電源在ON狀態</t>
  </si>
  <si>
    <t>Please make sure the vehicle at complete stop, accel pedal is released and vehicle power state at ON.</t>
  </si>
  <si>
    <t>Read DID</t>
  </si>
  <si>
    <r>
      <t xml:space="preserve">22 </t>
    </r>
    <r>
      <rPr>
        <b/>
        <sz val="12"/>
        <color rgb="FFFF0000"/>
        <rFont val="新細明體"/>
        <family val="1"/>
        <charset val="136"/>
      </rPr>
      <t>02 06</t>
    </r>
  </si>
  <si>
    <t>當前踏板零點:</t>
  </si>
  <si>
    <t>Current pedal zero position:</t>
  </si>
  <si>
    <t>APS1 = XX</t>
  </si>
  <si>
    <r>
      <t xml:space="preserve">62 </t>
    </r>
    <r>
      <rPr>
        <b/>
        <sz val="12"/>
        <color rgb="FFFF0000"/>
        <rFont val="新細明體"/>
        <family val="1"/>
        <charset val="136"/>
      </rPr>
      <t>02 06</t>
    </r>
    <r>
      <rPr>
        <sz val="12"/>
        <color rgb="FFFF0000"/>
        <rFont val="新細明體"/>
        <family val="1"/>
        <charset val="136"/>
      </rPr>
      <t xml:space="preserve"> XX XX</t>
    </r>
  </si>
  <si>
    <t>XX = current APP used ZP</t>
  </si>
  <si>
    <t>APS2 = XX</t>
  </si>
  <si>
    <t>10 03</t>
  </si>
  <si>
    <t>50 03 00 32 01 F4</t>
  </si>
  <si>
    <t>Do Security Access Lv3 Unlock</t>
  </si>
  <si>
    <t>27 03</t>
  </si>
  <si>
    <t>Request security Level3 Seed</t>
  </si>
  <si>
    <t>67 03 S1 S2 …  S16</t>
  </si>
  <si>
    <t>27 04 K1 K2…K16</t>
  </si>
  <si>
    <t>Level3 Key</t>
  </si>
  <si>
    <t>67 04</t>
  </si>
  <si>
    <t>APS ZP reset</t>
  </si>
  <si>
    <r>
      <t xml:space="preserve">31 01 </t>
    </r>
    <r>
      <rPr>
        <b/>
        <sz val="12"/>
        <color rgb="FFFF0000"/>
        <rFont val="新細明體"/>
        <family val="1"/>
        <charset val="136"/>
      </rPr>
      <t>02 05</t>
    </r>
  </si>
  <si>
    <t>start routine control of reset ZP</t>
  </si>
  <si>
    <r>
      <t xml:space="preserve">71 01 </t>
    </r>
    <r>
      <rPr>
        <b/>
        <sz val="12"/>
        <color rgb="FFFF0000"/>
        <rFont val="新細明體"/>
        <family val="1"/>
        <charset val="136"/>
      </rPr>
      <t>02 05</t>
    </r>
  </si>
  <si>
    <t>ZP reset done.</t>
  </si>
  <si>
    <t>請讓車輛進入OFF狀態並關門、上鎖後靜置五分鐘</t>
  </si>
  <si>
    <t>Please shut down the vehicle to power off state and lock the door and wait for at least 5mins.</t>
  </si>
  <si>
    <t>Diagnostic Specificaion - Customized NRC</t>
    <phoneticPr fontId="28" type="noConversion"/>
  </si>
  <si>
    <t xml:space="preserve"> NRC</t>
    <phoneticPr fontId="28" type="noConversion"/>
  </si>
  <si>
    <t>English Description</t>
    <phoneticPr fontId="45" type="noConversion"/>
  </si>
  <si>
    <t>Chinese Description</t>
    <phoneticPr fontId="45" type="noConversion"/>
  </si>
  <si>
    <t>3E</t>
  </si>
  <si>
    <t>2E</t>
  </si>
  <si>
    <t>2F</t>
  </si>
  <si>
    <t>3D</t>
    <phoneticPr fontId="45" type="noConversion"/>
  </si>
  <si>
    <t>2A</t>
  </si>
  <si>
    <t>2C</t>
  </si>
  <si>
    <t xml:space="preserve">Diagnostic Questionnaire - Open Issue List
</t>
  </si>
  <si>
    <t>Item</t>
    <phoneticPr fontId="28" type="noConversion"/>
  </si>
  <si>
    <t>Issue Descriptions</t>
    <phoneticPr fontId="28" type="noConversion"/>
  </si>
  <si>
    <t>Priority</t>
    <phoneticPr fontId="28" type="noConversion"/>
  </si>
  <si>
    <t>Responded by</t>
    <phoneticPr fontId="28" type="noConversion"/>
  </si>
  <si>
    <t>Subject</t>
    <phoneticPr fontId="28" type="noConversion"/>
  </si>
  <si>
    <t>Date Issued</t>
    <phoneticPr fontId="28" type="noConversion"/>
  </si>
  <si>
    <t>Issued by</t>
    <phoneticPr fontId="28" type="noConversion"/>
  </si>
  <si>
    <t>Due date</t>
    <phoneticPr fontId="28" type="noConversion"/>
  </si>
  <si>
    <t>Feedback</t>
    <phoneticPr fontId="28" type="noConversion"/>
  </si>
  <si>
    <t>Status</t>
    <phoneticPr fontId="28" type="noConversion"/>
  </si>
  <si>
    <t>Date closed</t>
    <phoneticPr fontId="28" type="noConversion"/>
  </si>
  <si>
    <t>UWB1 anchor Hardware Version</t>
    <phoneticPr fontId="28" type="noConversion"/>
  </si>
  <si>
    <t>UWB1 anchor Software Version</t>
    <phoneticPr fontId="28" type="noConversion"/>
  </si>
  <si>
    <t>26</t>
    <phoneticPr fontId="28" type="noConversion"/>
  </si>
  <si>
    <t>19072</t>
    <phoneticPr fontId="28" type="noConversion"/>
  </si>
  <si>
    <t>2385</t>
    <phoneticPr fontId="28" type="noConversion"/>
  </si>
  <si>
    <t>4112</t>
    <phoneticPr fontId="28" type="noConversion"/>
  </si>
  <si>
    <t>0x0F01</t>
    <phoneticPr fontId="28" type="noConversion"/>
  </si>
  <si>
    <t>0x00:DKC_NORMAL_MODE
0x01:DKC_ISP_MODE
0x02:DKC_NFC_UDS_MODE
0x03:DKC_UID_UDS_MODE
0x04:DKC_UWB_SWUP_MODE
0x05:DKC_NFC_OTA_MODE
0x06:DKC_ANCHOR_1_OTA_MODE
0x07:DKC_ANCHOR_2_OTA_MODE
0x08:DKC_ANCHOR_3_OTA_MODE
0x09:DKC_ANCHOR_4_OTA_MODE</t>
    <phoneticPr fontId="28" type="noConversion"/>
  </si>
  <si>
    <r>
      <rPr>
        <sz val="8"/>
        <rFont val="細明體"/>
        <family val="2"/>
        <charset val="136"/>
      </rPr>
      <t>對應</t>
    </r>
    <r>
      <rPr>
        <sz val="8"/>
        <rFont val="Arial"/>
        <family val="2"/>
      </rPr>
      <t>Foxtron Pi</t>
    </r>
    <r>
      <rPr>
        <sz val="8"/>
        <rFont val="細明體"/>
        <family val="2"/>
        <charset val="136"/>
      </rPr>
      <t>專案</t>
    </r>
    <r>
      <rPr>
        <sz val="8"/>
        <rFont val="Microsoft JhengHei"/>
        <family val="2"/>
        <charset val="136"/>
      </rPr>
      <t>使用</t>
    </r>
    <phoneticPr fontId="51" type="noConversion"/>
  </si>
  <si>
    <r>
      <t>0x0</t>
    </r>
    <r>
      <rPr>
        <sz val="8"/>
        <rFont val="新細明體"/>
        <family val="1"/>
        <charset val="136"/>
      </rPr>
      <t>：</t>
    </r>
    <r>
      <rPr>
        <sz val="8"/>
        <rFont val="Arial"/>
        <family val="2"/>
      </rPr>
      <t>Disable
0x1</t>
    </r>
    <r>
      <rPr>
        <sz val="8"/>
        <rFont val="新細明體"/>
        <family val="1"/>
        <charset val="136"/>
      </rPr>
      <t>：</t>
    </r>
    <r>
      <rPr>
        <sz val="8"/>
        <rFont val="Arial"/>
        <family val="2"/>
      </rPr>
      <t>Enable</t>
    </r>
  </si>
  <si>
    <r>
      <t>0x0</t>
    </r>
    <r>
      <rPr>
        <sz val="8"/>
        <rFont val="新細明體"/>
        <family val="1"/>
        <charset val="136"/>
      </rPr>
      <t>：</t>
    </r>
    <r>
      <rPr>
        <sz val="8"/>
        <rFont val="Arial"/>
        <family val="2"/>
      </rPr>
      <t>OFF
0x1</t>
    </r>
    <r>
      <rPr>
        <sz val="8"/>
        <rFont val="新細明體"/>
        <family val="1"/>
        <charset val="136"/>
      </rPr>
      <t>：</t>
    </r>
    <r>
      <rPr>
        <sz val="8"/>
        <rFont val="Arial"/>
        <family val="2"/>
      </rPr>
      <t>ON</t>
    </r>
  </si>
  <si>
    <r>
      <rPr>
        <sz val="8"/>
        <rFont val="細明體"/>
        <family val="3"/>
        <charset val="136"/>
      </rPr>
      <t>對應</t>
    </r>
    <r>
      <rPr>
        <sz val="8"/>
        <rFont val="Arial"/>
        <family val="2"/>
      </rPr>
      <t>Foxtron Pi</t>
    </r>
    <r>
      <rPr>
        <sz val="8"/>
        <rFont val="細明體"/>
        <family val="3"/>
        <charset val="136"/>
      </rPr>
      <t>專案</t>
    </r>
    <r>
      <rPr>
        <sz val="8"/>
        <rFont val="Microsoft JhengHei"/>
        <family val="2"/>
        <charset val="136"/>
      </rPr>
      <t>使用</t>
    </r>
  </si>
  <si>
    <t>v02.22_2025/04/14_R1</t>
    <phoneticPr fontId="28" type="noConversion"/>
  </si>
  <si>
    <t>2025/04/14</t>
    <phoneticPr fontId="28" type="noConversion"/>
  </si>
  <si>
    <t>DIDList、DIDData、31Service</t>
    <phoneticPr fontId="28" type="noConversion"/>
  </si>
  <si>
    <t>0x0F05</t>
    <phoneticPr fontId="28" type="noConversion"/>
  </si>
  <si>
    <t>1. 誤記訂正,訊號長度超過64bit資料型態調整為Hex (31Service)
2. 誤記訂正,刪除尚未啟用且後續不使用 DID 0x0208 (DIDList、DIDData)
3. DKC DID 0x0F05~0x0F0D 改預留次此版不實現</t>
    <phoneticPr fontId="28" type="noConversion"/>
  </si>
  <si>
    <t>2025/04/15</t>
  </si>
  <si>
    <t>v02.22_2025/04/14_R2</t>
    <phoneticPr fontId="28" type="noConversion"/>
  </si>
  <si>
    <t>8-byte write, 1-byte response.</t>
    <phoneticPr fontId="28" type="noConversion"/>
  </si>
  <si>
    <t>DIDList、DIDData</t>
    <phoneticPr fontId="28" type="noConversion"/>
  </si>
  <si>
    <t>0x0202</t>
    <phoneticPr fontId="28" type="noConversion"/>
  </si>
  <si>
    <t>WriteRandomNumberDKC</t>
    <phoneticPr fontId="28" type="noConversion"/>
  </si>
  <si>
    <t>1. 誤記訂正 DID 0x0202 (WriteRandomNumberDKC) 支持 $22 服務，格式為寫入 8 Bytes，回覆 1 Byte。(DIDList、DIDData)</t>
    <phoneticPr fontId="28" type="noConversion"/>
  </si>
  <si>
    <t>FoxPi_Driving_Ctrl</t>
    <phoneticPr fontId="51" type="noConversion"/>
  </si>
  <si>
    <t>FoxPi_Ctrl_Enable_Switch</t>
    <phoneticPr fontId="28" type="noConversion"/>
  </si>
  <si>
    <r>
      <t xml:space="preserve">Foxtron Pi </t>
    </r>
    <r>
      <rPr>
        <sz val="8"/>
        <color rgb="FFFF0000"/>
        <rFont val="Microsoft JhengHei"/>
        <family val="2"/>
        <charset val="136"/>
      </rPr>
      <t>使用</t>
    </r>
    <phoneticPr fontId="28" type="noConversion"/>
  </si>
  <si>
    <t>Ctrl_Enable_Switch</t>
    <phoneticPr fontId="28" type="noConversion"/>
  </si>
  <si>
    <t>0x0: OFF
0x1: ON</t>
    <phoneticPr fontId="28" type="noConversion"/>
  </si>
  <si>
    <t>155</t>
    <phoneticPr fontId="28" type="noConversion"/>
  </si>
  <si>
    <t>153</t>
    <phoneticPr fontId="28" type="noConversion"/>
  </si>
  <si>
    <t>159</t>
    <phoneticPr fontId="28" type="noConversion"/>
  </si>
  <si>
    <t>156</t>
    <phoneticPr fontId="28" type="noConversion"/>
  </si>
  <si>
    <r>
      <rPr>
        <sz val="8"/>
        <color rgb="FFFF0000"/>
        <rFont val="細明體"/>
        <family val="2"/>
        <charset val="136"/>
      </rPr>
      <t>對應</t>
    </r>
    <r>
      <rPr>
        <sz val="8"/>
        <color rgb="FFFF0000"/>
        <rFont val="Arial"/>
        <family val="2"/>
      </rPr>
      <t>Foxtron Pi</t>
    </r>
    <r>
      <rPr>
        <sz val="8"/>
        <color rgb="FFFF0000"/>
        <rFont val="細明體"/>
        <family val="2"/>
        <charset val="136"/>
      </rPr>
      <t>專案</t>
    </r>
    <r>
      <rPr>
        <sz val="8"/>
        <color rgb="FFFF0000"/>
        <rFont val="Microsoft JhengHei"/>
        <family val="2"/>
        <charset val="136"/>
      </rPr>
      <t>使用</t>
    </r>
    <phoneticPr fontId="51" type="noConversion"/>
  </si>
  <si>
    <t>v02.23_2025/04/21_R0</t>
    <phoneticPr fontId="28" type="noConversion"/>
  </si>
  <si>
    <t>2025/04/21</t>
    <phoneticPr fontId="28" type="noConversion"/>
  </si>
  <si>
    <t>2025/04/21</t>
    <phoneticPr fontId="28" type="noConversion"/>
  </si>
  <si>
    <t>FD detect SSD cannot be read/written for 1 times</t>
    <phoneticPr fontId="45" type="noConversion"/>
  </si>
  <si>
    <t xml:space="preserve">1. FoxtronPi 誤記訂正 DIDList 0x0202 (WriteRandomNumberDKC) 
2. FoxtronPi 刪除 DID : FoxPi_Steering_Ctrl、FoxPi_Shifter_Ctrl (DIDList、DIDData) 
3. FoxtronPi 新增 DID : FoxPi_Ctrl_Enable_Switch (DIDList、DIDData) 
4. FoxtronPi 更名 DID &amp; 內容新增 : FoxPi_Speed_Ctrl -&gt; FoxPi_Driving_Ctrl (DIDList、DIDData) 
5. VND DTCData 內容修正 (DTCData) </t>
    <phoneticPr fontId="28" type="noConversion"/>
  </si>
  <si>
    <t>DIDList、DIDData、DTCData</t>
    <phoneticPr fontId="2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</si>
</sst>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Red]\-&quot;$&quot;#,##0"/>
    <numFmt numFmtId="176" formatCode="_ &quot;￥&quot;* #,##0.00_ ;_ &quot;￥&quot;* \-#,##0.00_ ;_ &quot;￥&quot;* &quot;-&quot;??_ ;_ @_ "/>
    <numFmt numFmtId="177" formatCode="#,##0_ "/>
    <numFmt numFmtId="178" formatCode="m&quot;月&quot;d&quot;日&quot;"/>
  </numFmts>
  <fonts count="156">
    <font>
      <sz val="12"/>
      <name val="宋体"/>
      <charset val="134"/>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0"/>
      <name val="Arial"/>
      <family val="2"/>
    </font>
    <font>
      <sz val="10"/>
      <color indexed="9"/>
      <name val="Arial"/>
      <family val="2"/>
    </font>
    <font>
      <b/>
      <sz val="12"/>
      <name val="Arial"/>
      <family val="2"/>
    </font>
    <font>
      <b/>
      <sz val="10"/>
      <name val="Arial"/>
      <family val="2"/>
    </font>
    <font>
      <sz val="12"/>
      <name val="Arial"/>
      <family val="2"/>
    </font>
    <font>
      <sz val="9"/>
      <name val="Arial"/>
      <family val="2"/>
    </font>
    <font>
      <b/>
      <i/>
      <sz val="8"/>
      <name val="Arial"/>
      <family val="2"/>
    </font>
    <font>
      <sz val="8"/>
      <name val="Arial"/>
      <family val="2"/>
    </font>
    <font>
      <b/>
      <i/>
      <sz val="14"/>
      <name val="Arial"/>
      <family val="2"/>
    </font>
    <font>
      <b/>
      <sz val="14"/>
      <name val="Arial"/>
      <family val="2"/>
    </font>
    <font>
      <b/>
      <i/>
      <sz val="10"/>
      <name val="Arial"/>
      <family val="2"/>
    </font>
    <font>
      <b/>
      <i/>
      <sz val="9"/>
      <name val="Arial"/>
      <family val="2"/>
    </font>
    <font>
      <b/>
      <i/>
      <sz val="8"/>
      <name val="宋体"/>
      <family val="3"/>
      <charset val="134"/>
    </font>
    <font>
      <sz val="8"/>
      <name val="宋体"/>
      <family val="3"/>
      <charset val="134"/>
    </font>
    <font>
      <sz val="8"/>
      <color indexed="30"/>
      <name val="Arial"/>
      <family val="2"/>
    </font>
    <font>
      <b/>
      <sz val="10"/>
      <color indexed="62"/>
      <name val="Arial"/>
      <family val="2"/>
    </font>
    <font>
      <b/>
      <i/>
      <sz val="10"/>
      <color indexed="62"/>
      <name val="Arial"/>
      <family val="2"/>
    </font>
    <font>
      <b/>
      <sz val="8"/>
      <name val="Arial"/>
      <family val="2"/>
    </font>
    <font>
      <b/>
      <sz val="9"/>
      <name val="Arial"/>
      <family val="2"/>
    </font>
    <font>
      <sz val="9"/>
      <name val="宋体"/>
      <family val="3"/>
      <charset val="134"/>
    </font>
    <font>
      <sz val="18"/>
      <name val="Arial"/>
      <family val="2"/>
    </font>
    <font>
      <sz val="16"/>
      <name val="Arial"/>
      <family val="2"/>
    </font>
    <font>
      <b/>
      <sz val="11"/>
      <name val="Arial"/>
      <family val="2"/>
    </font>
    <font>
      <sz val="10"/>
      <color theme="0" tint="-0.34998626667073579"/>
      <name val="Arial"/>
      <family val="2"/>
    </font>
    <font>
      <b/>
      <sz val="12"/>
      <color indexed="8"/>
      <name val="Arial"/>
      <family val="2"/>
    </font>
    <font>
      <b/>
      <sz val="14"/>
      <color indexed="8"/>
      <name val="Arial"/>
      <family val="2"/>
    </font>
    <font>
      <b/>
      <i/>
      <sz val="10"/>
      <color rgb="FF000000"/>
      <name val="Arial"/>
      <family val="2"/>
    </font>
    <font>
      <b/>
      <i/>
      <sz val="10"/>
      <color indexed="8"/>
      <name val="Arial"/>
      <family val="2"/>
    </font>
    <font>
      <u/>
      <sz val="12"/>
      <color indexed="12"/>
      <name val="宋体"/>
      <family val="3"/>
      <charset val="134"/>
    </font>
    <font>
      <sz val="8"/>
      <color theme="1"/>
      <name val="Arial"/>
      <family val="2"/>
    </font>
    <font>
      <b/>
      <sz val="8"/>
      <color theme="1"/>
      <name val="Arial"/>
      <family val="2"/>
    </font>
    <font>
      <sz val="12"/>
      <name val="宋体"/>
    </font>
    <font>
      <b/>
      <sz val="10"/>
      <name val="微軟正黑體"/>
      <family val="2"/>
      <charset val="136"/>
    </font>
    <font>
      <sz val="10"/>
      <name val="微軟正黑體"/>
      <family val="2"/>
      <charset val="136"/>
    </font>
    <font>
      <sz val="10"/>
      <color theme="1"/>
      <name val="微軟正黑體"/>
      <family val="2"/>
      <charset val="136"/>
    </font>
    <font>
      <sz val="10"/>
      <name val="BatangChe"/>
      <family val="3"/>
      <charset val="129"/>
    </font>
    <font>
      <sz val="9"/>
      <name val="細明體"/>
      <family val="3"/>
      <charset val="136"/>
    </font>
    <font>
      <b/>
      <i/>
      <sz val="10"/>
      <color rgb="FF000000"/>
      <name val="微軟正黑體"/>
      <family val="2"/>
      <charset val="136"/>
    </font>
    <font>
      <b/>
      <i/>
      <sz val="10"/>
      <color indexed="8"/>
      <name val="微軟正黑體"/>
      <family val="2"/>
      <charset val="136"/>
    </font>
    <font>
      <u/>
      <sz val="8"/>
      <name val="Arial"/>
      <family val="2"/>
    </font>
    <font>
      <sz val="10"/>
      <color theme="1"/>
      <name val="Arial"/>
      <family val="2"/>
    </font>
    <font>
      <sz val="9"/>
      <name val="新細明體"/>
      <family val="3"/>
      <charset val="136"/>
      <scheme val="minor"/>
    </font>
    <font>
      <sz val="9"/>
      <name val="新細明體"/>
      <family val="2"/>
      <charset val="136"/>
      <scheme val="minor"/>
    </font>
    <font>
      <b/>
      <i/>
      <sz val="8"/>
      <color theme="1"/>
      <name val="Arial"/>
      <family val="2"/>
    </font>
    <font>
      <strike/>
      <sz val="10"/>
      <color rgb="FFFF0000"/>
      <name val="微軟正黑體"/>
      <family val="2"/>
      <charset val="136"/>
    </font>
    <font>
      <b/>
      <sz val="8"/>
      <color rgb="FFFF0000"/>
      <name val="Arial"/>
      <family val="2"/>
    </font>
    <font>
      <sz val="8"/>
      <color theme="1"/>
      <name val="新細明體"/>
      <family val="2"/>
      <charset val="136"/>
    </font>
    <font>
      <sz val="8"/>
      <color rgb="FFFF0000"/>
      <name val="Arial"/>
      <family val="2"/>
    </font>
    <font>
      <sz val="11"/>
      <name val="Arial"/>
      <family val="2"/>
    </font>
    <font>
      <strike/>
      <sz val="10"/>
      <color rgb="FFFF0000"/>
      <name val="Arial"/>
      <family val="2"/>
    </font>
    <font>
      <sz val="12"/>
      <color indexed="10"/>
      <name val="Arial"/>
      <family val="2"/>
    </font>
    <font>
      <b/>
      <sz val="10"/>
      <color indexed="30"/>
      <name val="Arial"/>
      <family val="2"/>
    </font>
    <font>
      <b/>
      <sz val="10"/>
      <color theme="1"/>
      <name val="Arial"/>
      <family val="2"/>
    </font>
    <font>
      <u/>
      <sz val="12"/>
      <color indexed="12"/>
      <name val="Arial"/>
      <family val="2"/>
    </font>
    <font>
      <sz val="12"/>
      <color indexed="62"/>
      <name val="Arial"/>
      <family val="2"/>
    </font>
    <font>
      <sz val="12"/>
      <color rgb="FFFF0000"/>
      <name val="Arial"/>
      <family val="2"/>
    </font>
    <font>
      <strike/>
      <sz val="9"/>
      <name val="Arial"/>
      <family val="2"/>
    </font>
    <font>
      <b/>
      <sz val="12"/>
      <color indexed="10"/>
      <name val="Arial"/>
      <family val="2"/>
    </font>
    <font>
      <sz val="10"/>
      <color rgb="FFFF0000"/>
      <name val="Arial"/>
      <family val="2"/>
    </font>
    <font>
      <b/>
      <vertAlign val="superscript"/>
      <sz val="10"/>
      <name val="Arial"/>
      <family val="2"/>
    </font>
    <font>
      <sz val="10"/>
      <color theme="1"/>
      <name val="細明體"/>
      <family val="2"/>
      <charset val="136"/>
    </font>
    <font>
      <sz val="10"/>
      <color theme="1"/>
      <name val="Cambria Math"/>
      <family val="2"/>
    </font>
    <font>
      <sz val="10"/>
      <name val="Arial"/>
      <family val="3"/>
    </font>
    <font>
      <sz val="12"/>
      <color rgb="FFFF0000"/>
      <name val="微軟正黑體"/>
      <family val="2"/>
      <charset val="136"/>
    </font>
    <font>
      <sz val="12"/>
      <name val="微軟正黑體"/>
      <family val="2"/>
      <charset val="136"/>
    </font>
    <font>
      <b/>
      <sz val="12"/>
      <name val="微軟正黑體"/>
      <family val="2"/>
      <charset val="136"/>
    </font>
    <font>
      <sz val="12"/>
      <name val="新細明體"/>
      <family val="1"/>
      <charset val="136"/>
      <scheme val="minor"/>
    </font>
    <font>
      <b/>
      <sz val="12"/>
      <name val="新細明體"/>
      <family val="1"/>
      <charset val="136"/>
      <scheme val="minor"/>
    </font>
    <font>
      <sz val="12"/>
      <name val="新細明體"/>
      <family val="1"/>
      <charset val="136"/>
    </font>
    <font>
      <b/>
      <sz val="10"/>
      <name val="新細明體"/>
      <family val="2"/>
      <charset val="136"/>
    </font>
    <font>
      <sz val="10"/>
      <name val="細明體"/>
      <family val="2"/>
      <charset val="136"/>
    </font>
    <font>
      <sz val="10"/>
      <name val="新細明體"/>
      <family val="2"/>
      <charset val="136"/>
    </font>
    <font>
      <sz val="10"/>
      <name val="細明體"/>
      <family val="3"/>
      <charset val="136"/>
    </font>
    <font>
      <b/>
      <sz val="10"/>
      <name val="細明體"/>
      <family val="2"/>
      <charset val="136"/>
    </font>
    <font>
      <sz val="12"/>
      <color theme="1"/>
      <name val="微軟正黑體"/>
      <family val="2"/>
      <charset val="136"/>
    </font>
    <font>
      <b/>
      <sz val="12"/>
      <color rgb="FF000000"/>
      <name val="微軟正黑體"/>
      <family val="2"/>
      <charset val="136"/>
    </font>
    <font>
      <sz val="12"/>
      <color rgb="FF00B050"/>
      <name val="微軟正黑體"/>
      <family val="2"/>
      <charset val="136"/>
    </font>
    <font>
      <sz val="12"/>
      <color rgb="FF00B0F0"/>
      <name val="微軟正黑體"/>
      <family val="2"/>
      <charset val="136"/>
    </font>
    <font>
      <b/>
      <sz val="14"/>
      <color rgb="FF000000"/>
      <name val="微軟正黑體"/>
      <family val="2"/>
      <charset val="136"/>
    </font>
    <font>
      <b/>
      <sz val="10"/>
      <color rgb="FF000000"/>
      <name val="微軟正黑體"/>
      <family val="2"/>
      <charset val="136"/>
    </font>
    <font>
      <b/>
      <sz val="12"/>
      <name val="新細明體"/>
      <family val="1"/>
      <charset val="136"/>
    </font>
    <font>
      <sz val="12"/>
      <name val="Arial"/>
      <family val="2"/>
      <charset val="136"/>
    </font>
    <font>
      <sz val="12"/>
      <name val="細明體"/>
      <family val="2"/>
      <charset val="136"/>
    </font>
    <font>
      <sz val="12"/>
      <color theme="1"/>
      <name val="Arial"/>
      <family val="2"/>
    </font>
    <font>
      <sz val="9"/>
      <name val="新細明體"/>
      <family val="3"/>
      <charset val="136"/>
    </font>
    <font>
      <sz val="12"/>
      <color rgb="FFFF0000"/>
      <name val="新細明體"/>
      <family val="1"/>
      <charset val="136"/>
    </font>
    <font>
      <sz val="9"/>
      <name val="新細明體"/>
      <family val="2"/>
      <charset val="136"/>
    </font>
    <font>
      <b/>
      <sz val="12"/>
      <color rgb="FF00B050"/>
      <name val="新細明體"/>
      <family val="1"/>
      <charset val="136"/>
    </font>
    <font>
      <sz val="12"/>
      <color rgb="FF00B050"/>
      <name val="新細明體"/>
      <family val="1"/>
      <charset val="136"/>
    </font>
    <font>
      <b/>
      <sz val="12"/>
      <color theme="9"/>
      <name val="新細明體"/>
      <family val="1"/>
      <charset val="136"/>
    </font>
    <font>
      <sz val="10"/>
      <name val="Microsoft JhengHei"/>
      <family val="2"/>
    </font>
    <font>
      <b/>
      <sz val="12"/>
      <name val="Arial"/>
      <family val="1"/>
    </font>
    <font>
      <sz val="12"/>
      <name val="Arial"/>
      <family val="1"/>
      <charset val="136"/>
    </font>
    <font>
      <sz val="12"/>
      <name val="Microsoft YaHei"/>
      <family val="2"/>
    </font>
    <font>
      <sz val="12"/>
      <name val="Arial"/>
      <family val="1"/>
    </font>
    <font>
      <b/>
      <sz val="12"/>
      <color rgb="FFFF0000"/>
      <name val="Arial"/>
      <family val="2"/>
    </font>
    <font>
      <sz val="12"/>
      <name val="Microsoft JhengHei"/>
      <family val="2"/>
    </font>
    <font>
      <sz val="12"/>
      <color rgb="FFFF0000"/>
      <name val="宋体"/>
    </font>
    <font>
      <b/>
      <sz val="12"/>
      <color rgb="FFFF0000"/>
      <name val="新細明體"/>
      <family val="1"/>
      <charset val="136"/>
    </font>
    <font>
      <sz val="12"/>
      <color rgb="FFFF0000"/>
      <name val="細明體"/>
      <family val="3"/>
      <charset val="136"/>
    </font>
    <font>
      <sz val="10"/>
      <name val="Microsoft JhengHei UI"/>
      <family val="2"/>
      <charset val="136"/>
    </font>
    <font>
      <b/>
      <sz val="8"/>
      <name val="細明體"/>
      <family val="2"/>
      <charset val="136"/>
    </font>
    <font>
      <sz val="8"/>
      <name val="新細明體"/>
      <family val="1"/>
      <charset val="136"/>
    </font>
    <font>
      <sz val="8"/>
      <name val="細明體"/>
      <family val="2"/>
      <charset val="136"/>
    </font>
    <font>
      <i/>
      <sz val="8"/>
      <name val="Arial"/>
      <family val="2"/>
    </font>
    <font>
      <sz val="8"/>
      <name val="Microsoft JhengHei"/>
      <family val="2"/>
    </font>
    <font>
      <sz val="8"/>
      <name val="Microsoft JhengHei"/>
      <family val="2"/>
      <charset val="136"/>
    </font>
    <font>
      <b/>
      <i/>
      <sz val="12"/>
      <name val="Arial"/>
      <family val="2"/>
    </font>
    <font>
      <sz val="12"/>
      <name val="Microsoft JhengHei"/>
      <family val="2"/>
      <charset val="136"/>
    </font>
    <font>
      <sz val="12"/>
      <name val="MS Gothic"/>
      <family val="3"/>
      <charset val="128"/>
    </font>
    <font>
      <sz val="12"/>
      <name val="Microsoft YaHei"/>
      <family val="2"/>
      <charset val="134"/>
    </font>
    <font>
      <sz val="12"/>
      <name val="宋体"/>
      <family val="3"/>
      <charset val="128"/>
    </font>
    <font>
      <sz val="12"/>
      <name val="Microsoft JhengHei"/>
      <family val="3"/>
      <charset val="136"/>
    </font>
    <font>
      <sz val="12"/>
      <name val="Yu Gothic"/>
      <family val="3"/>
      <charset val="128"/>
    </font>
    <font>
      <sz val="12"/>
      <name val="Arial"/>
      <family val="3"/>
    </font>
    <font>
      <sz val="12"/>
      <name val="Microsoft JhengHei"/>
      <family val="3"/>
    </font>
    <font>
      <sz val="10"/>
      <color rgb="FFFF0000"/>
      <name val="細明體"/>
      <family val="3"/>
      <charset val="136"/>
    </font>
    <font>
      <b/>
      <sz val="12"/>
      <color rgb="FFFF0000"/>
      <name val="新細明體"/>
      <family val="1"/>
      <charset val="136"/>
      <scheme val="minor"/>
    </font>
    <font>
      <b/>
      <sz val="12"/>
      <color rgb="FFFF0000"/>
      <name val="微軟正黑體"/>
      <family val="2"/>
      <charset val="136"/>
    </font>
    <font>
      <sz val="12"/>
      <name val="Arial"/>
      <family val="3"/>
      <charset val="128"/>
    </font>
    <font>
      <sz val="12"/>
      <name val="Arial"/>
      <family val="3"/>
      <charset val="134"/>
    </font>
    <font>
      <sz val="12"/>
      <name val="Microsoft YaHei"/>
      <family val="3"/>
      <charset val="134"/>
    </font>
    <font>
      <sz val="10"/>
      <name val="新細明體"/>
      <family val="1"/>
      <charset val="136"/>
      <scheme val="minor"/>
    </font>
    <font>
      <b/>
      <sz val="10"/>
      <name val="細明體"/>
      <family val="3"/>
      <charset val="136"/>
    </font>
    <font>
      <sz val="12"/>
      <name val="細明體"/>
      <family val="3"/>
      <charset val="136"/>
    </font>
    <font>
      <sz val="12"/>
      <name val="Arial"/>
      <family val="2"/>
      <charset val="134"/>
    </font>
    <font>
      <b/>
      <sz val="12"/>
      <color rgb="FFFF0000"/>
      <name val="細明體"/>
      <family val="3"/>
      <charset val="136"/>
    </font>
    <font>
      <sz val="12"/>
      <color theme="1"/>
      <name val="Microsoft JhengHei"/>
      <family val="2"/>
    </font>
    <font>
      <sz val="12"/>
      <color rgb="FFFF0000"/>
      <name val="Microsoft JhengHei"/>
      <family val="2"/>
    </font>
    <font>
      <sz val="8"/>
      <name val="微軟正黑體"/>
      <family val="2"/>
      <charset val="136"/>
    </font>
    <font>
      <sz val="10"/>
      <color theme="1"/>
      <name val="Microsoft JhengHei UI"/>
      <family val="2"/>
      <charset val="136"/>
    </font>
    <font>
      <sz val="12"/>
      <name val="Microsoft JhengHei UI"/>
      <family val="2"/>
      <charset val="136"/>
    </font>
    <font>
      <b/>
      <sz val="12"/>
      <name val="Microsoft JhengHei UI"/>
      <family val="2"/>
      <charset val="136"/>
    </font>
    <font>
      <sz val="12"/>
      <color theme="1"/>
      <name val="宋体"/>
    </font>
    <font>
      <sz val="8"/>
      <name val="Microsoft JhengHei UI"/>
      <family val="2"/>
      <charset val="136"/>
    </font>
    <font>
      <b/>
      <i/>
      <sz val="12"/>
      <name val="宋体"/>
      <family val="3"/>
      <charset val="134"/>
    </font>
    <font>
      <b/>
      <i/>
      <sz val="12"/>
      <name val="Microsoft JhengHei UI"/>
      <family val="2"/>
      <charset val="136"/>
    </font>
    <font>
      <sz val="7"/>
      <name val="Arial"/>
      <family val="2"/>
    </font>
    <font>
      <sz val="8"/>
      <color indexed="62"/>
      <name val="Arial"/>
      <family val="2"/>
    </font>
    <font>
      <sz val="8"/>
      <color rgb="FF000000"/>
      <name val="Arial"/>
      <family val="2"/>
    </font>
    <font>
      <sz val="10"/>
      <color rgb="FFFF0000"/>
      <name val="BatangChe"/>
      <family val="3"/>
      <charset val="129"/>
    </font>
    <font>
      <b/>
      <sz val="10"/>
      <color theme="1"/>
      <name val="細明體"/>
      <family val="3"/>
      <charset val="136"/>
    </font>
    <font>
      <b/>
      <sz val="10"/>
      <color rgb="FFFF0000"/>
      <name val="細明體"/>
      <family val="3"/>
      <charset val="136"/>
    </font>
    <font>
      <sz val="8"/>
      <color indexed="2"/>
      <name val="Arial"/>
      <family val="2"/>
    </font>
    <font>
      <sz val="8"/>
      <name val="細明體"/>
      <family val="3"/>
      <charset val="136"/>
    </font>
    <font>
      <sz val="8"/>
      <color rgb="FFFF0000"/>
      <name val="Microsoft JhengHei"/>
      <family val="2"/>
      <charset val="136"/>
    </font>
    <font>
      <sz val="8"/>
      <color rgb="FFFF0000"/>
      <name val="細明體"/>
      <family val="2"/>
      <charset val="136"/>
    </font>
  </fonts>
  <fills count="24">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4" tint="0.7993713187047945"/>
        <bgColor indexed="64"/>
      </patternFill>
    </fill>
    <fill>
      <patternFill patternType="solid">
        <fgColor theme="0" tint="-0.34998626667073579"/>
        <bgColor indexed="64"/>
      </patternFill>
    </fill>
    <fill>
      <patternFill patternType="solid">
        <fgColor theme="0"/>
        <bgColor indexed="64"/>
      </patternFill>
    </fill>
    <fill>
      <patternFill patternType="none">
        <fgColor indexed="9"/>
        <bgColor indexed="9"/>
      </patternFill>
    </fill>
    <fill>
      <patternFill patternType="solid">
        <fgColor theme="8" tint="0.59999389629810485"/>
        <bgColor indexed="64"/>
      </patternFill>
    </fill>
    <fill>
      <patternFill patternType="solid">
        <fgColor theme="6" tint="0.79943235572374649"/>
        <bgColor indexed="64"/>
      </patternFill>
    </fill>
    <fill>
      <patternFill patternType="solid">
        <fgColor theme="6" tint="0.7993713187047945"/>
        <bgColor indexed="64"/>
      </patternFill>
    </fill>
    <fill>
      <patternFill patternType="solid">
        <fgColor theme="0" tint="-0.249977111117893"/>
        <bgColor indexed="64"/>
      </patternFill>
    </fill>
    <fill>
      <patternFill patternType="none">
        <fgColor indexed="9"/>
      </patternFill>
    </fill>
    <fill>
      <patternFill patternType="solid">
        <fgColor rgb="FFFFFF00"/>
        <bgColor indexed="64"/>
      </patternFill>
    </fill>
    <fill>
      <patternFill patternType="solid">
        <fgColor theme="0"/>
        <bgColor indexed="9"/>
      </patternFill>
    </fill>
    <fill>
      <patternFill patternType="solid">
        <fgColor rgb="FFC0C0C0"/>
        <bgColor rgb="FF000000"/>
      </patternFill>
    </fill>
    <fill>
      <patternFill patternType="solid">
        <fgColor rgb="FFFFFF00"/>
        <bgColor rgb="FF000000"/>
      </patternFill>
    </fill>
    <fill>
      <patternFill patternType="solid">
        <fgColor rgb="FFFFFF00"/>
        <bgColor rgb="FFFFFFFF"/>
      </patternFill>
    </fill>
    <fill>
      <patternFill patternType="solid">
        <fgColor rgb="FFFFFF00"/>
        <bgColor indexed="9"/>
      </patternFill>
    </fill>
    <fill>
      <patternFill patternType="solid">
        <fgColor rgb="FF00B0F0"/>
        <bgColor indexed="64"/>
      </patternFill>
    </fill>
    <fill>
      <patternFill patternType="solid">
        <fgColor rgb="FF00B050"/>
        <bgColor indexed="64"/>
      </patternFill>
    </fill>
    <fill>
      <patternFill patternType="solid">
        <fgColor theme="8" tint="0.59999389629810485"/>
        <bgColor indexed="9"/>
      </patternFill>
    </fill>
    <fill>
      <patternFill patternType="solid">
        <fgColor rgb="FFFFC000"/>
        <bgColor indexed="64"/>
      </patternFill>
    </fill>
    <fill>
      <patternFill patternType="solid">
        <fgColor rgb="FF92D050"/>
        <bgColor indexed="64"/>
      </patternFill>
    </fill>
  </fills>
  <borders count="59">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medium">
        <color auto="1"/>
      </top>
      <bottom style="thin">
        <color auto="1"/>
      </bottom>
      <diagonal/>
    </border>
    <border>
      <left/>
      <right style="thin">
        <color auto="1"/>
      </right>
      <top/>
      <bottom style="thin">
        <color auto="1"/>
      </bottom>
      <diagonal/>
    </border>
    <border>
      <left/>
      <right style="thin">
        <color auto="1"/>
      </right>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diagonal/>
    </border>
    <border>
      <left/>
      <right style="thin">
        <color auto="1"/>
      </right>
      <top style="thin">
        <color auto="1"/>
      </top>
      <bottom/>
      <diagonal/>
    </border>
    <border>
      <left/>
      <right/>
      <top/>
      <bottom style="medium">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bottom style="thin">
        <color auto="1"/>
      </bottom>
      <diagonal/>
    </border>
    <border>
      <left style="medium">
        <color auto="1"/>
      </left>
      <right style="thin">
        <color auto="1"/>
      </right>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style="medium">
        <color auto="1"/>
      </left>
      <right/>
      <top/>
      <bottom style="thin">
        <color auto="1"/>
      </bottom>
      <diagonal/>
    </border>
    <border>
      <left style="thin">
        <color auto="1"/>
      </left>
      <right style="medium">
        <color auto="1"/>
      </right>
      <top style="thin">
        <color auto="1"/>
      </top>
      <bottom/>
      <diagonal/>
    </border>
    <border>
      <left style="medium">
        <color auto="1"/>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thin">
        <color theme="1"/>
      </right>
      <top style="thin">
        <color auto="1"/>
      </top>
      <bottom style="thin">
        <color auto="1"/>
      </bottom>
      <diagonal/>
    </border>
    <border>
      <left style="thin">
        <color theme="1"/>
      </left>
      <right style="thin">
        <color theme="1"/>
      </right>
      <top style="thin">
        <color theme="1"/>
      </top>
      <bottom style="thin">
        <color theme="1"/>
      </bottom>
      <diagonal/>
    </border>
    <border>
      <left style="thin">
        <color theme="1"/>
      </left>
      <right style="thin">
        <color auto="1"/>
      </right>
      <top style="thin">
        <color auto="1"/>
      </top>
      <bottom style="thin">
        <color auto="1"/>
      </bottom>
      <diagonal/>
    </border>
    <border>
      <left style="thin">
        <color auto="1"/>
      </left>
      <right style="thin">
        <color auto="1"/>
      </right>
      <top style="thin">
        <color auto="1"/>
      </top>
      <bottom style="thin">
        <color theme="1"/>
      </bottom>
      <diagonal/>
    </border>
    <border>
      <left style="thin">
        <color auto="1"/>
      </left>
      <right style="thin">
        <color auto="1"/>
      </right>
      <top style="thin">
        <color theme="1"/>
      </top>
      <bottom style="thin">
        <color theme="1"/>
      </bottom>
      <diagonal/>
    </border>
    <border>
      <left style="thin">
        <color auto="1"/>
      </left>
      <right style="thin">
        <color auto="1"/>
      </right>
      <top style="thin">
        <color theme="1"/>
      </top>
      <bottom/>
      <diagonal/>
    </border>
    <border>
      <left/>
      <right/>
      <top style="thin">
        <color theme="1"/>
      </top>
      <bottom style="thin">
        <color theme="1"/>
      </bottom>
      <diagonal/>
    </border>
    <border>
      <left style="thin">
        <color auto="1"/>
      </left>
      <right style="thin">
        <color theme="1"/>
      </right>
      <top/>
      <bottom style="thin">
        <color auto="1"/>
      </bottom>
      <diagonal/>
    </border>
    <border>
      <left style="thin">
        <color theme="1"/>
      </left>
      <right style="thin">
        <color auto="1"/>
      </right>
      <top/>
      <bottom style="thin">
        <color auto="1"/>
      </bottom>
      <diagonal/>
    </border>
    <border>
      <left style="thin">
        <color theme="1"/>
      </left>
      <right style="thin">
        <color theme="1"/>
      </right>
      <top style="thin">
        <color theme="1"/>
      </top>
      <bottom/>
      <diagonal/>
    </border>
    <border>
      <left/>
      <right/>
      <top style="thin">
        <color theme="1"/>
      </top>
      <bottom/>
      <diagonal/>
    </border>
    <border>
      <left/>
      <right style="thin">
        <color auto="1"/>
      </right>
      <top style="thin">
        <color theme="1"/>
      </top>
      <bottom/>
      <diagonal/>
    </border>
    <border>
      <left/>
      <right style="thin">
        <color theme="1"/>
      </right>
      <top style="thin">
        <color theme="1"/>
      </top>
      <bottom style="thin">
        <color theme="1"/>
      </bottom>
      <diagonal/>
    </border>
    <border>
      <left/>
      <right style="medium">
        <color auto="1"/>
      </right>
      <top style="thin">
        <color auto="1"/>
      </top>
      <bottom style="thin">
        <color auto="1"/>
      </bottom>
      <diagonal/>
    </border>
  </borders>
  <cellStyleXfs count="1256">
    <xf numFmtId="176" fontId="0" fillId="0" borderId="0">
      <alignment vertical="center"/>
    </xf>
    <xf numFmtId="0" fontId="37" fillId="0" borderId="0">
      <alignment vertical="top"/>
      <protection locked="0"/>
    </xf>
    <xf numFmtId="176" fontId="40" fillId="7" borderId="0">
      <alignment vertical="center"/>
    </xf>
    <xf numFmtId="176" fontId="40" fillId="12" borderId="0">
      <alignment vertical="center"/>
    </xf>
    <xf numFmtId="0" fontId="37" fillId="12" borderId="0">
      <alignment vertical="top"/>
      <protection locked="0"/>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0" fontId="8" fillId="12" borderId="0">
      <alignment vertical="center"/>
    </xf>
    <xf numFmtId="0" fontId="8" fillId="12" borderId="0">
      <alignment vertical="center"/>
    </xf>
    <xf numFmtId="0" fontId="8" fillId="12" borderId="0">
      <alignment vertical="center"/>
    </xf>
    <xf numFmtId="0" fontId="8"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0" fontId="8" fillId="12" borderId="0">
      <alignment vertical="center"/>
    </xf>
    <xf numFmtId="0" fontId="8" fillId="12" borderId="0">
      <alignment vertical="center"/>
    </xf>
    <xf numFmtId="0" fontId="8" fillId="12" borderId="0">
      <alignment vertical="center"/>
    </xf>
    <xf numFmtId="0" fontId="8" fillId="12" borderId="0">
      <alignment vertical="center"/>
    </xf>
    <xf numFmtId="0" fontId="8" fillId="12" borderId="0">
      <alignment vertical="center"/>
    </xf>
    <xf numFmtId="0" fontId="8" fillId="12" borderId="0">
      <alignment vertical="center"/>
    </xf>
    <xf numFmtId="0" fontId="8" fillId="12" borderId="0">
      <alignment vertical="center"/>
    </xf>
    <xf numFmtId="0" fontId="8" fillId="12" borderId="0">
      <alignment vertical="center"/>
    </xf>
    <xf numFmtId="0" fontId="8" fillId="12" borderId="0">
      <alignment vertical="center"/>
    </xf>
    <xf numFmtId="0" fontId="8" fillId="12" borderId="0">
      <alignment vertical="center"/>
    </xf>
    <xf numFmtId="0" fontId="8" fillId="12" borderId="0">
      <alignment vertical="center"/>
    </xf>
    <xf numFmtId="0" fontId="8" fillId="12" borderId="0">
      <alignment vertical="center"/>
    </xf>
    <xf numFmtId="0" fontId="8" fillId="12" borderId="0">
      <alignment vertical="center"/>
    </xf>
    <xf numFmtId="0" fontId="8" fillId="12" borderId="0">
      <alignment vertical="center"/>
    </xf>
    <xf numFmtId="0" fontId="8" fillId="12" borderId="0">
      <alignment vertical="center"/>
    </xf>
    <xf numFmtId="0" fontId="8" fillId="12" borderId="0">
      <alignment vertical="center"/>
    </xf>
    <xf numFmtId="0" fontId="8" fillId="12" borderId="0">
      <alignment vertical="center"/>
    </xf>
    <xf numFmtId="0" fontId="8" fillId="12" borderId="0">
      <alignment vertical="center"/>
    </xf>
    <xf numFmtId="0" fontId="8" fillId="12" borderId="0">
      <alignment vertical="center"/>
    </xf>
    <xf numFmtId="0" fontId="8" fillId="12" borderId="0">
      <alignment vertical="center"/>
    </xf>
    <xf numFmtId="0" fontId="8" fillId="12" borderId="0">
      <alignment vertical="center"/>
    </xf>
    <xf numFmtId="0" fontId="8" fillId="12" borderId="0">
      <alignment vertical="center"/>
    </xf>
    <xf numFmtId="0" fontId="8" fillId="12" borderId="0">
      <alignment vertical="center"/>
    </xf>
    <xf numFmtId="0" fontId="8" fillId="12" borderId="0">
      <alignment vertical="center"/>
    </xf>
    <xf numFmtId="0" fontId="8" fillId="12" borderId="0">
      <alignment vertical="center"/>
    </xf>
    <xf numFmtId="0" fontId="8" fillId="12" borderId="0">
      <alignment vertical="center"/>
    </xf>
    <xf numFmtId="0" fontId="8" fillId="12" borderId="0">
      <alignment vertical="center"/>
    </xf>
    <xf numFmtId="0" fontId="8"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0" fontId="7" fillId="12" borderId="0">
      <alignment vertical="center"/>
    </xf>
    <xf numFmtId="0" fontId="7" fillId="12" borderId="0">
      <alignment vertical="center"/>
    </xf>
    <xf numFmtId="0" fontId="7" fillId="12" borderId="0">
      <alignment vertical="center"/>
    </xf>
    <xf numFmtId="0" fontId="7" fillId="12" borderId="0">
      <alignment vertical="center"/>
    </xf>
    <xf numFmtId="0" fontId="7" fillId="12" borderId="0">
      <alignment vertical="center"/>
    </xf>
    <xf numFmtId="0" fontId="7" fillId="12" borderId="0">
      <alignment vertical="center"/>
    </xf>
    <xf numFmtId="0" fontId="7" fillId="12" borderId="0">
      <alignment vertical="center"/>
    </xf>
    <xf numFmtId="0" fontId="7" fillId="12" borderId="0">
      <alignment vertical="center"/>
    </xf>
    <xf numFmtId="0" fontId="7" fillId="12" borderId="0">
      <alignment vertical="center"/>
    </xf>
    <xf numFmtId="0" fontId="7" fillId="12" borderId="0">
      <alignment vertical="center"/>
    </xf>
    <xf numFmtId="0" fontId="7" fillId="12" borderId="0">
      <alignment vertical="center"/>
    </xf>
    <xf numFmtId="0" fontId="7" fillId="12" borderId="0">
      <alignment vertical="center"/>
    </xf>
    <xf numFmtId="0" fontId="7" fillId="12" borderId="0">
      <alignment vertical="center"/>
    </xf>
    <xf numFmtId="0" fontId="7" fillId="12" borderId="0">
      <alignment vertical="center"/>
    </xf>
    <xf numFmtId="0" fontId="7" fillId="12" borderId="0">
      <alignment vertical="center"/>
    </xf>
    <xf numFmtId="0" fontId="7" fillId="12" borderId="0">
      <alignment vertical="center"/>
    </xf>
    <xf numFmtId="0" fontId="7" fillId="12" borderId="0">
      <alignment vertical="center"/>
    </xf>
    <xf numFmtId="0" fontId="7" fillId="12" borderId="0">
      <alignment vertical="center"/>
    </xf>
    <xf numFmtId="0" fontId="7" fillId="12" borderId="0">
      <alignment vertical="center"/>
    </xf>
    <xf numFmtId="0" fontId="7" fillId="12" borderId="0">
      <alignment vertical="center"/>
    </xf>
    <xf numFmtId="0" fontId="7" fillId="12" borderId="0">
      <alignment vertical="center"/>
    </xf>
    <xf numFmtId="0" fontId="7" fillId="12" borderId="0">
      <alignment vertical="center"/>
    </xf>
    <xf numFmtId="0" fontId="7" fillId="12" borderId="0">
      <alignment vertical="center"/>
    </xf>
    <xf numFmtId="0" fontId="7" fillId="12" borderId="0">
      <alignment vertical="center"/>
    </xf>
    <xf numFmtId="0" fontId="7" fillId="12" borderId="0">
      <alignment vertical="center"/>
    </xf>
    <xf numFmtId="0" fontId="7" fillId="12" borderId="0">
      <alignment vertical="center"/>
    </xf>
    <xf numFmtId="0" fontId="7" fillId="12" borderId="0">
      <alignment vertical="center"/>
    </xf>
    <xf numFmtId="0" fontId="7" fillId="12" borderId="0">
      <alignment vertical="center"/>
    </xf>
    <xf numFmtId="0" fontId="7" fillId="12" borderId="0">
      <alignment vertical="center"/>
    </xf>
    <xf numFmtId="0" fontId="7" fillId="12" borderId="0">
      <alignment vertical="center"/>
    </xf>
    <xf numFmtId="0" fontId="7" fillId="12" borderId="0">
      <alignment vertical="center"/>
    </xf>
    <xf numFmtId="0" fontId="7" fillId="12" borderId="0">
      <alignment vertical="center"/>
    </xf>
    <xf numFmtId="0" fontId="6" fillId="12" borderId="0">
      <alignment vertical="center"/>
    </xf>
    <xf numFmtId="0" fontId="6" fillId="12" borderId="0">
      <alignment vertical="center"/>
    </xf>
    <xf numFmtId="0" fontId="6" fillId="12" borderId="0">
      <alignment vertical="center"/>
    </xf>
    <xf numFmtId="0" fontId="6" fillId="12" borderId="0">
      <alignment vertical="center"/>
    </xf>
    <xf numFmtId="0" fontId="6" fillId="12" borderId="0">
      <alignment vertical="center"/>
    </xf>
    <xf numFmtId="0" fontId="6" fillId="12" borderId="0">
      <alignment vertical="center"/>
    </xf>
    <xf numFmtId="0" fontId="6" fillId="12" borderId="0">
      <alignment vertical="center"/>
    </xf>
    <xf numFmtId="0" fontId="6" fillId="12" borderId="0">
      <alignment vertical="center"/>
    </xf>
    <xf numFmtId="0" fontId="6" fillId="12" borderId="0">
      <alignment vertical="center"/>
    </xf>
    <xf numFmtId="0" fontId="6" fillId="12" borderId="0">
      <alignment vertical="center"/>
    </xf>
    <xf numFmtId="0" fontId="6" fillId="12" borderId="0">
      <alignment vertical="center"/>
    </xf>
    <xf numFmtId="0" fontId="6" fillId="12" borderId="0">
      <alignment vertical="center"/>
    </xf>
    <xf numFmtId="0" fontId="6" fillId="12" borderId="0">
      <alignment vertical="center"/>
    </xf>
    <xf numFmtId="0" fontId="6" fillId="12" borderId="0">
      <alignment vertical="center"/>
    </xf>
    <xf numFmtId="0" fontId="6" fillId="12" borderId="0">
      <alignment vertical="center"/>
    </xf>
    <xf numFmtId="0" fontId="6" fillId="12" borderId="0">
      <alignment vertical="center"/>
    </xf>
    <xf numFmtId="0" fontId="6" fillId="12" borderId="0">
      <alignment vertical="center"/>
    </xf>
    <xf numFmtId="0" fontId="6" fillId="12" borderId="0">
      <alignment vertical="center"/>
    </xf>
    <xf numFmtId="0" fontId="6" fillId="12" borderId="0">
      <alignment vertical="center"/>
    </xf>
    <xf numFmtId="0" fontId="6" fillId="12" borderId="0">
      <alignment vertical="center"/>
    </xf>
    <xf numFmtId="0" fontId="6" fillId="12" borderId="0">
      <alignment vertical="center"/>
    </xf>
    <xf numFmtId="0" fontId="6" fillId="12" borderId="0">
      <alignment vertical="center"/>
    </xf>
    <xf numFmtId="0" fontId="6" fillId="12" borderId="0">
      <alignment vertical="center"/>
    </xf>
    <xf numFmtId="0" fontId="6" fillId="12" borderId="0">
      <alignment vertical="center"/>
    </xf>
    <xf numFmtId="0" fontId="6" fillId="12" borderId="0">
      <alignment vertical="center"/>
    </xf>
    <xf numFmtId="0" fontId="6" fillId="12" borderId="0">
      <alignment vertical="center"/>
    </xf>
    <xf numFmtId="0" fontId="6" fillId="12" borderId="0">
      <alignment vertical="center"/>
    </xf>
    <xf numFmtId="0" fontId="6" fillId="12" borderId="0">
      <alignment vertical="center"/>
    </xf>
    <xf numFmtId="0" fontId="6" fillId="12" borderId="0">
      <alignment vertical="center"/>
    </xf>
    <xf numFmtId="0" fontId="6" fillId="12" borderId="0">
      <alignment vertical="center"/>
    </xf>
    <xf numFmtId="0" fontId="6" fillId="12" borderId="0">
      <alignment vertical="center"/>
    </xf>
    <xf numFmtId="0" fontId="6"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5"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0" fontId="4" fillId="12" borderId="0">
      <alignment vertical="center"/>
    </xf>
    <xf numFmtId="176" fontId="40"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176" fontId="40" fillId="12" borderId="0">
      <alignment vertical="center"/>
    </xf>
    <xf numFmtId="176" fontId="40"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0" fontId="3"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2" fillId="12" borderId="0">
      <alignment vertical="center"/>
    </xf>
    <xf numFmtId="0" fontId="1" fillId="12" borderId="0">
      <alignment vertical="center"/>
    </xf>
    <xf numFmtId="0" fontId="1" fillId="12" borderId="0">
      <alignment vertical="center"/>
    </xf>
    <xf numFmtId="0" fontId="1" fillId="12" borderId="0">
      <alignment vertical="center"/>
    </xf>
    <xf numFmtId="0" fontId="1" fillId="12" borderId="0">
      <alignment vertical="center"/>
    </xf>
    <xf numFmtId="0" fontId="1" fillId="12" borderId="0">
      <alignment vertical="center"/>
    </xf>
    <xf numFmtId="0" fontId="1" fillId="12" borderId="0">
      <alignment vertical="center"/>
    </xf>
    <xf numFmtId="0" fontId="1" fillId="12" borderId="0">
      <alignment vertical="center"/>
    </xf>
    <xf numFmtId="0" fontId="1" fillId="12" borderId="0">
      <alignment vertical="center"/>
    </xf>
    <xf numFmtId="0" fontId="1" fillId="12" borderId="0">
      <alignment vertical="center"/>
    </xf>
    <xf numFmtId="0" fontId="1" fillId="12" borderId="0">
      <alignment vertical="center"/>
    </xf>
    <xf numFmtId="0" fontId="1" fillId="12" borderId="0">
      <alignment vertical="center"/>
    </xf>
    <xf numFmtId="0" fontId="1" fillId="12" borderId="0">
      <alignment vertical="center"/>
    </xf>
    <xf numFmtId="0" fontId="1" fillId="12" borderId="0">
      <alignment vertical="center"/>
    </xf>
    <xf numFmtId="0" fontId="1" fillId="12" borderId="0">
      <alignment vertical="center"/>
    </xf>
    <xf numFmtId="0" fontId="1" fillId="12" borderId="0">
      <alignment vertical="center"/>
    </xf>
    <xf numFmtId="0" fontId="1" fillId="12" borderId="0">
      <alignment vertical="center"/>
    </xf>
    <xf numFmtId="0" fontId="1" fillId="12" borderId="0">
      <alignment vertical="center"/>
    </xf>
    <xf numFmtId="0" fontId="1" fillId="12" borderId="0">
      <alignment vertical="center"/>
    </xf>
    <xf numFmtId="0" fontId="1" fillId="12" borderId="0">
      <alignment vertical="center"/>
    </xf>
    <xf numFmtId="0" fontId="1" fillId="12" borderId="0">
      <alignment vertical="center"/>
    </xf>
    <xf numFmtId="0" fontId="1" fillId="12" borderId="0">
      <alignment vertical="center"/>
    </xf>
    <xf numFmtId="0" fontId="1" fillId="12" borderId="0">
      <alignment vertical="center"/>
    </xf>
    <xf numFmtId="0" fontId="1" fillId="12" borderId="0">
      <alignment vertical="center"/>
    </xf>
    <xf numFmtId="0" fontId="1" fillId="12" borderId="0">
      <alignment vertical="center"/>
    </xf>
    <xf numFmtId="0" fontId="1" fillId="12" borderId="0">
      <alignment vertical="center"/>
    </xf>
    <xf numFmtId="0" fontId="1" fillId="12" borderId="0">
      <alignment vertical="center"/>
    </xf>
    <xf numFmtId="0" fontId="1" fillId="12" borderId="0">
      <alignment vertical="center"/>
    </xf>
    <xf numFmtId="0" fontId="1" fillId="12" borderId="0">
      <alignment vertical="center"/>
    </xf>
    <xf numFmtId="0" fontId="1" fillId="12" borderId="0">
      <alignment vertical="center"/>
    </xf>
    <xf numFmtId="0" fontId="1" fillId="12" borderId="0">
      <alignment vertical="center"/>
    </xf>
    <xf numFmtId="0" fontId="1" fillId="12" borderId="0">
      <alignment vertical="center"/>
    </xf>
    <xf numFmtId="0" fontId="1" fillId="12" borderId="0">
      <alignment vertical="center"/>
    </xf>
    <xf numFmtId="176" fontId="40" fillId="12" borderId="0">
      <alignment vertical="center"/>
    </xf>
    <xf numFmtId="176" fontId="40" fillId="12" borderId="0">
      <alignment vertical="center"/>
    </xf>
    <xf numFmtId="176" fontId="40" fillId="12" borderId="0">
      <alignment vertical="center"/>
    </xf>
    <xf numFmtId="176" fontId="40" fillId="12" borderId="0">
      <alignment vertical="center"/>
    </xf>
  </cellStyleXfs>
  <cellXfs count="1039">
    <xf numFmtId="0" fontId="0" fillId="0" borderId="0" xfId="0" applyNumberFormat="1" applyAlignment="1"/>
    <xf numFmtId="49" fontId="9" fillId="0" borderId="0" xfId="0" applyNumberFormat="1" applyFont="1" applyAlignment="1">
      <alignment horizontal="center" vertical="top" wrapText="1"/>
    </xf>
    <xf numFmtId="49" fontId="9" fillId="0" borderId="0" xfId="0" applyNumberFormat="1" applyFont="1" applyAlignment="1">
      <alignment horizontal="left" vertical="top" wrapText="1"/>
    </xf>
    <xf numFmtId="49" fontId="9" fillId="0" borderId="0" xfId="0" applyNumberFormat="1" applyFont="1" applyAlignment="1">
      <alignment vertical="top" wrapText="1"/>
    </xf>
    <xf numFmtId="49" fontId="10" fillId="0" borderId="0" xfId="0" applyNumberFormat="1" applyFont="1" applyAlignment="1">
      <alignment horizontal="center" vertical="top" wrapText="1"/>
    </xf>
    <xf numFmtId="49" fontId="12" fillId="2" borderId="1" xfId="0" applyNumberFormat="1" applyFont="1" applyFill="1" applyBorder="1" applyAlignment="1">
      <alignment horizontal="center" vertical="top" wrapText="1"/>
    </xf>
    <xf numFmtId="49" fontId="12" fillId="2" borderId="2" xfId="0" applyNumberFormat="1" applyFont="1" applyFill="1" applyBorder="1" applyAlignment="1">
      <alignment horizontal="center" vertical="top" wrapText="1"/>
    </xf>
    <xf numFmtId="49" fontId="9" fillId="0" borderId="3" xfId="0" applyNumberFormat="1" applyFont="1" applyBorder="1" applyAlignment="1">
      <alignment horizontal="center" vertical="top" wrapText="1"/>
    </xf>
    <xf numFmtId="49" fontId="9" fillId="0" borderId="4" xfId="0" applyNumberFormat="1" applyFont="1" applyBorder="1" applyAlignment="1">
      <alignment horizontal="center" vertical="top" wrapText="1"/>
    </xf>
    <xf numFmtId="49" fontId="9" fillId="0" borderId="4" xfId="0" applyNumberFormat="1" applyFont="1" applyBorder="1" applyAlignment="1">
      <alignment horizontal="left" vertical="top" wrapText="1"/>
    </xf>
    <xf numFmtId="49" fontId="9" fillId="0" borderId="5" xfId="0" applyNumberFormat="1" applyFont="1" applyBorder="1" applyAlignment="1">
      <alignment horizontal="center" vertical="top" wrapText="1"/>
    </xf>
    <xf numFmtId="49" fontId="9" fillId="0" borderId="6" xfId="0" applyNumberFormat="1" applyFont="1" applyBorder="1" applyAlignment="1">
      <alignment horizontal="left" vertical="top" wrapText="1"/>
    </xf>
    <xf numFmtId="49" fontId="9" fillId="0" borderId="6" xfId="0" applyNumberFormat="1" applyFont="1" applyBorder="1" applyAlignment="1">
      <alignment horizontal="center" vertical="top" wrapText="1"/>
    </xf>
    <xf numFmtId="49" fontId="12" fillId="2" borderId="7" xfId="0" applyNumberFormat="1" applyFont="1" applyFill="1" applyBorder="1" applyAlignment="1">
      <alignment horizontal="center" vertical="top" wrapText="1"/>
    </xf>
    <xf numFmtId="49" fontId="10" fillId="0" borderId="4" xfId="0" applyNumberFormat="1" applyFont="1" applyBorder="1" applyAlignment="1">
      <alignment horizontal="center" vertical="top" wrapText="1"/>
    </xf>
    <xf numFmtId="49" fontId="9" fillId="0" borderId="8" xfId="0" applyNumberFormat="1" applyFont="1" applyBorder="1" applyAlignment="1">
      <alignment horizontal="center" vertical="top" wrapText="1"/>
    </xf>
    <xf numFmtId="49" fontId="10" fillId="0" borderId="6" xfId="0" applyNumberFormat="1" applyFont="1" applyBorder="1" applyAlignment="1">
      <alignment horizontal="center" vertical="top" wrapText="1"/>
    </xf>
    <xf numFmtId="49" fontId="9" fillId="0" borderId="9" xfId="0" applyNumberFormat="1" applyFont="1" applyBorder="1" applyAlignment="1">
      <alignment horizontal="center" vertical="top" wrapText="1"/>
    </xf>
    <xf numFmtId="49" fontId="16" fillId="0" borderId="0" xfId="0" applyNumberFormat="1" applyFont="1" applyAlignment="1" applyProtection="1">
      <protection locked="0"/>
    </xf>
    <xf numFmtId="49" fontId="9" fillId="0" borderId="0" xfId="0" applyNumberFormat="1" applyFont="1" applyAlignment="1" applyProtection="1">
      <protection locked="0"/>
    </xf>
    <xf numFmtId="49" fontId="16" fillId="0" borderId="0" xfId="0" applyNumberFormat="1" applyFont="1" applyAlignment="1" applyProtection="1">
      <alignment horizontal="center"/>
      <protection locked="0"/>
    </xf>
    <xf numFmtId="49" fontId="16" fillId="0" borderId="0" xfId="0" applyNumberFormat="1" applyFont="1" applyAlignment="1" applyProtection="1">
      <alignment horizontal="left"/>
      <protection locked="0"/>
    </xf>
    <xf numFmtId="49" fontId="15" fillId="0" borderId="0" xfId="0" applyNumberFormat="1" applyFont="1" applyAlignment="1" applyProtection="1">
      <protection locked="0"/>
    </xf>
    <xf numFmtId="49" fontId="16" fillId="0" borderId="4" xfId="0" applyNumberFormat="1" applyFont="1" applyBorder="1" applyAlignment="1" applyProtection="1">
      <alignment horizontal="left" vertical="center" wrapText="1"/>
      <protection locked="0"/>
    </xf>
    <xf numFmtId="49" fontId="16" fillId="0" borderId="4" xfId="0" applyNumberFormat="1" applyFont="1" applyBorder="1" applyAlignment="1" applyProtection="1">
      <alignment horizontal="center" vertical="center" wrapText="1"/>
      <protection locked="0"/>
    </xf>
    <xf numFmtId="49" fontId="16" fillId="0" borderId="0" xfId="0" applyNumberFormat="1" applyFont="1" applyAlignment="1" applyProtection="1">
      <alignment horizontal="center" vertical="center" wrapText="1"/>
      <protection locked="0"/>
    </xf>
    <xf numFmtId="49" fontId="38" fillId="8" borderId="4" xfId="0" applyNumberFormat="1" applyFont="1" applyFill="1" applyBorder="1" applyAlignment="1" applyProtection="1">
      <alignment horizontal="center"/>
      <protection locked="0"/>
    </xf>
    <xf numFmtId="49" fontId="38" fillId="0" borderId="4" xfId="0" applyNumberFormat="1" applyFont="1" applyBorder="1" applyAlignment="1" applyProtection="1">
      <alignment horizontal="center"/>
      <protection locked="0"/>
    </xf>
    <xf numFmtId="49" fontId="39" fillId="0" borderId="4" xfId="0" applyNumberFormat="1" applyFont="1" applyBorder="1" applyAlignment="1" applyProtection="1">
      <alignment horizontal="center"/>
      <protection locked="0"/>
    </xf>
    <xf numFmtId="49" fontId="38" fillId="0" borderId="4" xfId="0" applyNumberFormat="1" applyFont="1" applyBorder="1" applyAlignment="1" applyProtection="1">
      <protection locked="0"/>
    </xf>
    <xf numFmtId="49" fontId="38" fillId="0" borderId="4" xfId="0" applyNumberFormat="1" applyFont="1" applyBorder="1" applyAlignment="1" applyProtection="1">
      <alignment horizontal="left"/>
      <protection locked="0"/>
    </xf>
    <xf numFmtId="49" fontId="13" fillId="0" borderId="0" xfId="0" applyNumberFormat="1" applyFont="1" applyAlignment="1" applyProtection="1">
      <alignment wrapText="1"/>
      <protection locked="0"/>
    </xf>
    <xf numFmtId="0" fontId="23" fillId="0" borderId="4" xfId="0" applyNumberFormat="1" applyFont="1" applyBorder="1" applyAlignment="1" applyProtection="1">
      <alignment horizontal="left" vertical="center" wrapText="1"/>
      <protection locked="0"/>
    </xf>
    <xf numFmtId="49" fontId="16" fillId="5" borderId="4" xfId="0" applyNumberFormat="1" applyFont="1" applyFill="1" applyBorder="1" applyAlignment="1" applyProtection="1">
      <alignment horizontal="center" vertical="center" wrapText="1"/>
      <protection locked="0"/>
    </xf>
    <xf numFmtId="49" fontId="14" fillId="3" borderId="0" xfId="3" applyNumberFormat="1" applyFont="1" applyFill="1" applyAlignment="1" applyProtection="1">
      <protection locked="0"/>
    </xf>
    <xf numFmtId="49" fontId="13" fillId="12" borderId="0" xfId="3" applyNumberFormat="1" applyFont="1" applyAlignment="1" applyProtection="1">
      <protection locked="0"/>
    </xf>
    <xf numFmtId="49" fontId="16" fillId="6" borderId="4" xfId="0" applyNumberFormat="1" applyFont="1" applyFill="1" applyBorder="1" applyAlignment="1" applyProtection="1">
      <alignment horizontal="center" vertical="center" wrapText="1"/>
      <protection locked="0"/>
    </xf>
    <xf numFmtId="0" fontId="38" fillId="0" borderId="4" xfId="0" applyNumberFormat="1" applyFont="1" applyBorder="1" applyAlignment="1" applyProtection="1">
      <alignment horizontal="left" vertical="center" wrapText="1"/>
      <protection locked="0"/>
    </xf>
    <xf numFmtId="49" fontId="38" fillId="8" borderId="4" xfId="0" applyNumberFormat="1" applyFont="1" applyFill="1" applyBorder="1" applyAlignment="1" applyProtection="1">
      <alignment horizontal="center" vertical="center" wrapText="1"/>
      <protection locked="0"/>
    </xf>
    <xf numFmtId="49" fontId="39" fillId="8" borderId="4" xfId="0" applyNumberFormat="1" applyFont="1" applyFill="1" applyBorder="1" applyAlignment="1" applyProtection="1">
      <alignment horizontal="center"/>
      <protection locked="0"/>
    </xf>
    <xf numFmtId="49" fontId="38" fillId="8" borderId="4" xfId="0" applyNumberFormat="1" applyFont="1" applyFill="1" applyBorder="1" applyAlignment="1" applyProtection="1">
      <alignment horizontal="left"/>
      <protection locked="0"/>
    </xf>
    <xf numFmtId="49" fontId="38" fillId="8" borderId="4" xfId="0" applyNumberFormat="1" applyFont="1" applyFill="1" applyBorder="1" applyAlignment="1" applyProtection="1">
      <protection locked="0"/>
    </xf>
    <xf numFmtId="49" fontId="38" fillId="0" borderId="4" xfId="0" applyNumberFormat="1" applyFont="1" applyBorder="1" applyAlignment="1" applyProtection="1">
      <alignment horizontal="center" vertical="center" wrapText="1"/>
      <protection locked="0"/>
    </xf>
    <xf numFmtId="49" fontId="38" fillId="0" borderId="4" xfId="0" applyNumberFormat="1" applyFont="1" applyBorder="1" applyAlignment="1" applyProtection="1">
      <alignment horizontal="center" vertical="center"/>
      <protection locked="0"/>
    </xf>
    <xf numFmtId="49" fontId="38" fillId="0" borderId="4" xfId="0" applyNumberFormat="1" applyFont="1" applyBorder="1" applyAlignment="1" applyProtection="1">
      <alignment horizontal="left" vertical="center"/>
      <protection locked="0"/>
    </xf>
    <xf numFmtId="49" fontId="38" fillId="8" borderId="4" xfId="0" applyNumberFormat="1" applyFont="1" applyFill="1" applyBorder="1" applyAlignment="1" applyProtection="1">
      <alignment horizontal="center" vertical="center"/>
      <protection locked="0"/>
    </xf>
    <xf numFmtId="49" fontId="38" fillId="0" borderId="4" xfId="0" applyNumberFormat="1" applyFont="1" applyBorder="1" applyAlignment="1" applyProtection="1">
      <alignment horizontal="left" vertical="center" wrapText="1"/>
      <protection locked="0"/>
    </xf>
    <xf numFmtId="49" fontId="11" fillId="0" borderId="0" xfId="0" applyNumberFormat="1" applyFont="1" applyAlignment="1" applyProtection="1">
      <alignment horizontal="left" vertical="center" wrapText="1"/>
      <protection locked="0"/>
    </xf>
    <xf numFmtId="49" fontId="13" fillId="0" borderId="0" xfId="0" applyNumberFormat="1" applyFont="1" applyAlignment="1" applyProtection="1">
      <protection locked="0"/>
    </xf>
    <xf numFmtId="49" fontId="29" fillId="0" borderId="0" xfId="0" applyNumberFormat="1" applyFont="1" applyAlignment="1" applyProtection="1">
      <alignment wrapText="1"/>
      <protection locked="0"/>
    </xf>
    <xf numFmtId="49" fontId="29" fillId="0" borderId="0" xfId="0" applyNumberFormat="1" applyFont="1" applyAlignment="1" applyProtection="1">
      <alignment horizontal="center" vertical="center" wrapText="1"/>
      <protection locked="0"/>
    </xf>
    <xf numFmtId="49" fontId="29" fillId="0" borderId="0" xfId="0" applyNumberFormat="1" applyFont="1" applyAlignment="1" applyProtection="1">
      <alignment horizontal="center" wrapText="1"/>
      <protection locked="0"/>
    </xf>
    <xf numFmtId="49" fontId="11" fillId="0" borderId="0" xfId="0" applyNumberFormat="1" applyFont="1" applyAlignment="1" applyProtection="1">
      <alignment horizontal="center" vertical="center" wrapText="1"/>
      <protection locked="0"/>
    </xf>
    <xf numFmtId="49" fontId="26" fillId="0" borderId="0" xfId="0" applyNumberFormat="1" applyFont="1" applyAlignment="1" applyProtection="1">
      <alignment horizontal="center"/>
      <protection locked="0"/>
    </xf>
    <xf numFmtId="49" fontId="16" fillId="0" borderId="0" xfId="0" applyNumberFormat="1" applyFont="1" applyAlignment="1" applyProtection="1">
      <alignment horizontal="centerContinuous"/>
      <protection locked="0"/>
    </xf>
    <xf numFmtId="49" fontId="16" fillId="0" borderId="0" xfId="0" applyNumberFormat="1" applyFont="1" applyAlignment="1" applyProtection="1">
      <alignment horizontal="center" vertical="center"/>
      <protection locked="0"/>
    </xf>
    <xf numFmtId="49" fontId="15" fillId="2" borderId="4" xfId="0" applyNumberFormat="1" applyFont="1" applyFill="1" applyBorder="1" applyAlignment="1" applyProtection="1">
      <alignment horizontal="center" vertical="center" wrapText="1"/>
      <protection locked="0"/>
    </xf>
    <xf numFmtId="49" fontId="16" fillId="0" borderId="11" xfId="0" applyNumberFormat="1" applyFont="1" applyBorder="1" applyAlignment="1" applyProtection="1">
      <alignment horizontal="left" vertical="center" wrapText="1"/>
      <protection locked="0"/>
    </xf>
    <xf numFmtId="49" fontId="17" fillId="0" borderId="13" xfId="0" applyNumberFormat="1" applyFont="1" applyBorder="1" applyAlignment="1" applyProtection="1">
      <protection locked="0"/>
    </xf>
    <xf numFmtId="49" fontId="17" fillId="0" borderId="13" xfId="0" applyNumberFormat="1" applyFont="1" applyBorder="1" applyAlignment="1" applyProtection="1">
      <alignment horizontal="right"/>
      <protection locked="0"/>
    </xf>
    <xf numFmtId="49" fontId="12" fillId="0" borderId="13" xfId="0" applyNumberFormat="1" applyFont="1" applyBorder="1" applyAlignment="1" applyProtection="1">
      <alignment horizontal="center"/>
      <protection locked="0"/>
    </xf>
    <xf numFmtId="49" fontId="12" fillId="0" borderId="13" xfId="0" applyNumberFormat="1" applyFont="1" applyBorder="1" applyAlignment="1" applyProtection="1">
      <protection locked="0"/>
    </xf>
    <xf numFmtId="49" fontId="19" fillId="0" borderId="13" xfId="0" applyNumberFormat="1" applyFont="1" applyBorder="1" applyAlignment="1" applyProtection="1">
      <protection locked="0"/>
    </xf>
    <xf numFmtId="49" fontId="18" fillId="0" borderId="20" xfId="0" applyNumberFormat="1" applyFont="1" applyBorder="1" applyAlignment="1" applyProtection="1">
      <protection locked="0"/>
    </xf>
    <xf numFmtId="49" fontId="17" fillId="0" borderId="21" xfId="0" applyNumberFormat="1" applyFont="1" applyBorder="1" applyAlignment="1" applyProtection="1">
      <alignment horizontal="left"/>
      <protection locked="0"/>
    </xf>
    <xf numFmtId="49" fontId="9" fillId="0" borderId="21" xfId="0" applyNumberFormat="1" applyFont="1" applyBorder="1" applyAlignment="1" applyProtection="1">
      <alignment horizontal="center"/>
      <protection locked="0"/>
    </xf>
    <xf numFmtId="49" fontId="19" fillId="0" borderId="21" xfId="0" applyNumberFormat="1" applyFont="1" applyBorder="1" applyAlignment="1" applyProtection="1">
      <alignment vertical="top"/>
      <protection locked="0"/>
    </xf>
    <xf numFmtId="49" fontId="19" fillId="0" borderId="21" xfId="0" applyNumberFormat="1" applyFont="1" applyBorder="1" applyAlignment="1" applyProtection="1">
      <alignment horizontal="left" vertical="top"/>
      <protection locked="0"/>
    </xf>
    <xf numFmtId="49" fontId="19" fillId="0" borderId="21" xfId="0" applyNumberFormat="1" applyFont="1" applyBorder="1" applyAlignment="1" applyProtection="1">
      <alignment horizontal="center" vertical="top"/>
      <protection locked="0"/>
    </xf>
    <xf numFmtId="49" fontId="16" fillId="0" borderId="21" xfId="0" applyNumberFormat="1" applyFont="1" applyBorder="1" applyAlignment="1" applyProtection="1">
      <alignment horizontal="center"/>
      <protection locked="0"/>
    </xf>
    <xf numFmtId="49" fontId="24" fillId="0" borderId="13" xfId="0" applyNumberFormat="1" applyFont="1" applyBorder="1" applyAlignment="1" applyProtection="1">
      <alignment horizontal="center"/>
      <protection locked="0"/>
    </xf>
    <xf numFmtId="49" fontId="12" fillId="0" borderId="0" xfId="0" applyNumberFormat="1" applyFont="1" applyAlignment="1" applyProtection="1">
      <alignment horizontal="center"/>
      <protection locked="0"/>
    </xf>
    <xf numFmtId="49" fontId="25" fillId="0" borderId="21" xfId="0" applyNumberFormat="1" applyFont="1" applyBorder="1" applyAlignment="1" applyProtection="1">
      <alignment horizontal="center" vertical="top"/>
      <protection locked="0"/>
    </xf>
    <xf numFmtId="49" fontId="19" fillId="0" borderId="0" xfId="0" applyNumberFormat="1" applyFont="1" applyAlignment="1" applyProtection="1">
      <alignment horizontal="center" vertical="top"/>
      <protection locked="0"/>
    </xf>
    <xf numFmtId="49" fontId="16" fillId="0" borderId="21" xfId="0" applyNumberFormat="1" applyFont="1" applyBorder="1" applyAlignment="1" applyProtection="1">
      <alignment horizontal="left" wrapText="1"/>
      <protection locked="0"/>
    </xf>
    <xf numFmtId="49" fontId="16" fillId="0" borderId="23" xfId="0" applyNumberFormat="1" applyFont="1" applyBorder="1" applyAlignment="1" applyProtection="1">
      <protection locked="0"/>
    </xf>
    <xf numFmtId="49" fontId="12" fillId="0" borderId="13" xfId="0" applyNumberFormat="1" applyFont="1" applyBorder="1" applyAlignment="1" applyProtection="1">
      <alignment horizontal="left"/>
      <protection locked="0"/>
    </xf>
    <xf numFmtId="49" fontId="12" fillId="0" borderId="0" xfId="0" applyNumberFormat="1" applyFont="1" applyAlignment="1" applyProtection="1">
      <protection locked="0"/>
    </xf>
    <xf numFmtId="49" fontId="12" fillId="0" borderId="0" xfId="0" applyNumberFormat="1" applyFont="1" applyAlignment="1" applyProtection="1">
      <alignment horizontal="left"/>
      <protection locked="0"/>
    </xf>
    <xf numFmtId="49" fontId="18" fillId="0" borderId="14" xfId="0" applyNumberFormat="1" applyFont="1" applyBorder="1" applyAlignment="1" applyProtection="1">
      <protection locked="0"/>
    </xf>
    <xf numFmtId="49" fontId="17" fillId="0" borderId="0" xfId="0" applyNumberFormat="1" applyFont="1" applyAlignment="1" applyProtection="1">
      <alignment horizontal="left"/>
      <protection locked="0"/>
    </xf>
    <xf numFmtId="49" fontId="9" fillId="0" borderId="0" xfId="0" applyNumberFormat="1" applyFont="1" applyAlignment="1" applyProtection="1">
      <alignment horizontal="center"/>
      <protection locked="0"/>
    </xf>
    <xf numFmtId="49" fontId="19" fillId="0" borderId="0" xfId="0" applyNumberFormat="1" applyFont="1" applyAlignment="1" applyProtection="1">
      <alignment horizontal="left" vertical="top"/>
      <protection locked="0"/>
    </xf>
    <xf numFmtId="49" fontId="17" fillId="0" borderId="13" xfId="0" applyNumberFormat="1" applyFont="1" applyBorder="1" applyAlignment="1" applyProtection="1">
      <alignment horizontal="left"/>
      <protection locked="0"/>
    </xf>
    <xf numFmtId="49" fontId="12" fillId="0" borderId="13" xfId="0" applyNumberFormat="1" applyFont="1" applyBorder="1" applyAlignment="1" applyProtection="1">
      <alignment wrapText="1"/>
      <protection locked="0"/>
    </xf>
    <xf numFmtId="49" fontId="19" fillId="0" borderId="21" xfId="0" applyNumberFormat="1" applyFont="1" applyBorder="1" applyAlignment="1" applyProtection="1">
      <alignment vertical="top" wrapText="1"/>
      <protection locked="0"/>
    </xf>
    <xf numFmtId="0" fontId="15" fillId="2" borderId="4" xfId="0" applyNumberFormat="1" applyFont="1" applyFill="1" applyBorder="1" applyAlignment="1" applyProtection="1">
      <alignment horizontal="center" vertical="center" wrapText="1"/>
      <protection locked="0"/>
    </xf>
    <xf numFmtId="49" fontId="26" fillId="0" borderId="0" xfId="0" applyNumberFormat="1" applyFont="1" applyAlignment="1" applyProtection="1">
      <alignment horizontal="center" vertical="center"/>
      <protection locked="0"/>
    </xf>
    <xf numFmtId="49" fontId="16" fillId="0" borderId="4" xfId="0" applyNumberFormat="1" applyFont="1" applyBorder="1" applyAlignment="1" applyProtection="1">
      <alignment horizontal="center" vertical="center"/>
      <protection locked="0"/>
    </xf>
    <xf numFmtId="49" fontId="15" fillId="11" borderId="4" xfId="0" applyNumberFormat="1" applyFont="1" applyFill="1" applyBorder="1" applyAlignment="1" applyProtection="1">
      <alignment horizontal="center" vertical="center" wrapText="1"/>
      <protection locked="0"/>
    </xf>
    <xf numFmtId="49" fontId="12" fillId="2" borderId="4" xfId="0" applyNumberFormat="1" applyFont="1" applyFill="1" applyBorder="1" applyAlignment="1" applyProtection="1">
      <alignment horizontal="centerContinuous" vertical="center"/>
      <protection locked="0"/>
    </xf>
    <xf numFmtId="49" fontId="19" fillId="2" borderId="4" xfId="0" applyNumberFormat="1" applyFont="1" applyFill="1" applyBorder="1" applyAlignment="1" applyProtection="1">
      <alignment horizontal="centerContinuous" vertical="center"/>
      <protection locked="0"/>
    </xf>
    <xf numFmtId="49" fontId="9" fillId="0" borderId="4" xfId="0" applyNumberFormat="1" applyFont="1" applyBorder="1" applyAlignment="1" applyProtection="1">
      <alignment horizontal="center" vertical="center"/>
      <protection locked="0"/>
    </xf>
    <xf numFmtId="0" fontId="9" fillId="6" borderId="4" xfId="0" applyNumberFormat="1" applyFont="1" applyFill="1" applyBorder="1" applyAlignment="1" applyProtection="1">
      <alignment horizontal="center" vertical="center"/>
      <protection locked="0"/>
    </xf>
    <xf numFmtId="49" fontId="12" fillId="2" borderId="4" xfId="0" applyNumberFormat="1" applyFont="1" applyFill="1" applyBorder="1" applyAlignment="1" applyProtection="1">
      <alignment horizontal="center" vertical="center"/>
      <protection locked="0"/>
    </xf>
    <xf numFmtId="176" fontId="13" fillId="12" borderId="4" xfId="3" applyFont="1" applyBorder="1" applyAlignment="1">
      <alignment horizontal="center" vertical="center"/>
    </xf>
    <xf numFmtId="176" fontId="12" fillId="12" borderId="4" xfId="3" applyFont="1" applyBorder="1" applyAlignment="1">
      <alignment horizontal="center" vertical="center" wrapText="1"/>
    </xf>
    <xf numFmtId="176" fontId="27" fillId="12" borderId="4" xfId="3" applyFont="1" applyBorder="1" applyAlignment="1">
      <alignment horizontal="center" vertical="center" wrapText="1"/>
    </xf>
    <xf numFmtId="49" fontId="35" fillId="2" borderId="4" xfId="3" applyNumberFormat="1" applyFont="1" applyFill="1" applyBorder="1" applyAlignment="1">
      <alignment horizontal="center" vertical="center" wrapText="1"/>
    </xf>
    <xf numFmtId="49" fontId="36" fillId="2" borderId="4" xfId="3" applyNumberFormat="1" applyFont="1" applyFill="1" applyBorder="1" applyAlignment="1">
      <alignment horizontal="center" vertical="center" wrapText="1"/>
    </xf>
    <xf numFmtId="49" fontId="9" fillId="12" borderId="4" xfId="3" applyNumberFormat="1" applyFont="1" applyBorder="1" applyAlignment="1">
      <alignment horizontal="center" vertical="center" wrapText="1"/>
    </xf>
    <xf numFmtId="49" fontId="9" fillId="12" borderId="4" xfId="3" applyNumberFormat="1" applyFont="1" applyBorder="1" applyAlignment="1">
      <alignment horizontal="left" vertical="center" wrapText="1"/>
    </xf>
    <xf numFmtId="49" fontId="9" fillId="12" borderId="4" xfId="3" applyNumberFormat="1" applyFont="1" applyBorder="1" applyAlignment="1">
      <alignment horizontal="center" vertical="center"/>
    </xf>
    <xf numFmtId="49" fontId="49" fillId="6" borderId="4" xfId="3" applyNumberFormat="1" applyFont="1" applyFill="1" applyBorder="1" applyAlignment="1">
      <alignment horizontal="center" vertical="center"/>
    </xf>
    <xf numFmtId="49" fontId="49" fillId="6" borderId="4" xfId="3" applyNumberFormat="1" applyFont="1" applyFill="1" applyBorder="1" applyAlignment="1">
      <alignment horizontal="center" vertical="center" wrapText="1"/>
    </xf>
    <xf numFmtId="49" fontId="49" fillId="12" borderId="4" xfId="3" applyNumberFormat="1" applyFont="1" applyBorder="1" applyAlignment="1">
      <alignment horizontal="center" vertical="center" wrapText="1"/>
    </xf>
    <xf numFmtId="49" fontId="49" fillId="6" borderId="4" xfId="3" applyNumberFormat="1" applyFont="1" applyFill="1" applyBorder="1" applyAlignment="1">
      <alignment horizontal="left" vertical="center" wrapText="1"/>
    </xf>
    <xf numFmtId="49" fontId="49" fillId="12" borderId="4" xfId="3" applyNumberFormat="1" applyFont="1" applyBorder="1" applyAlignment="1">
      <alignment horizontal="center" vertical="center"/>
    </xf>
    <xf numFmtId="49" fontId="49" fillId="12" borderId="4" xfId="3" applyNumberFormat="1" applyFont="1" applyBorder="1" applyAlignment="1">
      <alignment horizontal="left" vertical="center" wrapText="1"/>
    </xf>
    <xf numFmtId="49" fontId="13" fillId="0" borderId="0" xfId="0" applyNumberFormat="1" applyFont="1" applyAlignment="1" applyProtection="1">
      <alignment horizontal="left"/>
      <protection locked="0"/>
    </xf>
    <xf numFmtId="49" fontId="12" fillId="0" borderId="4" xfId="0" applyNumberFormat="1" applyFont="1" applyBorder="1" applyAlignment="1" applyProtection="1">
      <alignment horizontal="center" vertical="center" wrapText="1"/>
      <protection locked="0"/>
    </xf>
    <xf numFmtId="49" fontId="9" fillId="0" borderId="0" xfId="0" applyNumberFormat="1" applyFont="1" applyAlignment="1" applyProtection="1">
      <alignment horizontal="left"/>
      <protection locked="0"/>
    </xf>
    <xf numFmtId="49" fontId="12" fillId="0" borderId="4" xfId="0" applyNumberFormat="1" applyFont="1" applyBorder="1" applyAlignment="1" applyProtection="1">
      <alignment horizontal="center" vertical="center"/>
      <protection locked="0"/>
    </xf>
    <xf numFmtId="49" fontId="34" fillId="0" borderId="0" xfId="0" applyNumberFormat="1" applyFont="1" applyAlignment="1" applyProtection="1">
      <alignment horizontal="left" vertical="center" wrapText="1"/>
      <protection locked="0"/>
    </xf>
    <xf numFmtId="49" fontId="38" fillId="8" borderId="4" xfId="0" applyNumberFormat="1" applyFont="1" applyFill="1" applyBorder="1" applyAlignment="1" applyProtection="1">
      <alignment wrapText="1"/>
      <protection locked="0"/>
    </xf>
    <xf numFmtId="49" fontId="38" fillId="8" borderId="4" xfId="0" applyNumberFormat="1" applyFont="1" applyFill="1" applyBorder="1" applyAlignment="1" applyProtection="1">
      <alignment horizontal="center" wrapText="1"/>
      <protection locked="0"/>
    </xf>
    <xf numFmtId="49" fontId="38" fillId="0" borderId="4" xfId="0" applyNumberFormat="1" applyFont="1" applyBorder="1" applyAlignment="1" applyProtection="1">
      <alignment wrapText="1"/>
      <protection locked="0"/>
    </xf>
    <xf numFmtId="49" fontId="16" fillId="0" borderId="11" xfId="0" applyNumberFormat="1" applyFont="1" applyBorder="1" applyAlignment="1" applyProtection="1">
      <alignment horizontal="center" vertical="center" wrapText="1"/>
      <protection locked="0"/>
    </xf>
    <xf numFmtId="49" fontId="56" fillId="8" borderId="4" xfId="0" applyNumberFormat="1" applyFont="1" applyFill="1" applyBorder="1" applyAlignment="1" applyProtection="1">
      <alignment horizontal="left"/>
      <protection locked="0"/>
    </xf>
    <xf numFmtId="49" fontId="56" fillId="8" borderId="4" xfId="0" applyNumberFormat="1" applyFont="1" applyFill="1" applyBorder="1" applyAlignment="1" applyProtection="1">
      <alignment horizontal="center"/>
      <protection locked="0"/>
    </xf>
    <xf numFmtId="49" fontId="38" fillId="12" borderId="4" xfId="0" applyNumberFormat="1" applyFont="1" applyFill="1" applyBorder="1" applyAlignment="1" applyProtection="1">
      <protection locked="0"/>
    </xf>
    <xf numFmtId="0" fontId="62" fillId="12" borderId="0" xfId="1" applyFont="1" applyFill="1">
      <alignment vertical="top"/>
      <protection locked="0"/>
    </xf>
    <xf numFmtId="49" fontId="13" fillId="0" borderId="18" xfId="0" applyNumberFormat="1" applyFont="1" applyBorder="1" applyAlignment="1" applyProtection="1">
      <protection locked="0"/>
    </xf>
    <xf numFmtId="49" fontId="13" fillId="0" borderId="19" xfId="0" applyNumberFormat="1" applyFont="1" applyBorder="1" applyAlignment="1" applyProtection="1">
      <protection locked="0"/>
    </xf>
    <xf numFmtId="49" fontId="13" fillId="0" borderId="11" xfId="0" applyNumberFormat="1" applyFont="1" applyBorder="1" applyAlignment="1" applyProtection="1">
      <protection locked="0"/>
    </xf>
    <xf numFmtId="49" fontId="23" fillId="0" borderId="0" xfId="0" applyNumberFormat="1" applyFont="1" applyAlignment="1" applyProtection="1">
      <protection locked="0"/>
    </xf>
    <xf numFmtId="49" fontId="13" fillId="0" borderId="0" xfId="0" applyNumberFormat="1" applyFont="1" applyAlignment="1" applyProtection="1">
      <alignment horizontal="center"/>
      <protection locked="0"/>
    </xf>
    <xf numFmtId="49" fontId="63" fillId="0" borderId="0" xfId="0" applyNumberFormat="1" applyFont="1" applyAlignment="1" applyProtection="1">
      <alignment horizontal="center"/>
      <protection locked="0"/>
    </xf>
    <xf numFmtId="49" fontId="11" fillId="0" borderId="0" xfId="0" applyNumberFormat="1" applyFont="1" applyAlignment="1" applyProtection="1">
      <protection locked="0"/>
    </xf>
    <xf numFmtId="49" fontId="13" fillId="0" borderId="4" xfId="0" applyNumberFormat="1" applyFont="1" applyBorder="1" applyAlignment="1">
      <alignment horizontal="center" vertical="top" wrapText="1"/>
    </xf>
    <xf numFmtId="49" fontId="11" fillId="12" borderId="0" xfId="3" applyNumberFormat="1" applyFont="1" applyAlignment="1" applyProtection="1">
      <protection locked="0"/>
    </xf>
    <xf numFmtId="49" fontId="14" fillId="14" borderId="4" xfId="3" applyNumberFormat="1" applyFont="1" applyFill="1" applyBorder="1" applyAlignment="1" applyProtection="1">
      <alignment horizontal="center" vertical="top"/>
      <protection locked="0"/>
    </xf>
    <xf numFmtId="49" fontId="14" fillId="14" borderId="4" xfId="3" applyNumberFormat="1" applyFont="1" applyFill="1" applyBorder="1" applyAlignment="1" applyProtection="1">
      <alignment vertical="center" wrapText="1"/>
      <protection locked="0"/>
    </xf>
    <xf numFmtId="49" fontId="14" fillId="6" borderId="4" xfId="3" applyNumberFormat="1" applyFont="1" applyFill="1" applyBorder="1" applyAlignment="1" applyProtection="1">
      <alignment horizontal="center" vertical="top"/>
      <protection locked="0"/>
    </xf>
    <xf numFmtId="0" fontId="14" fillId="6" borderId="4" xfId="3" applyNumberFormat="1" applyFont="1" applyFill="1" applyBorder="1" applyProtection="1">
      <alignment vertical="center"/>
      <protection locked="0"/>
    </xf>
    <xf numFmtId="49" fontId="14" fillId="14" borderId="4" xfId="3" applyNumberFormat="1" applyFont="1" applyFill="1" applyBorder="1" applyProtection="1">
      <alignment vertical="center"/>
      <protection locked="0"/>
    </xf>
    <xf numFmtId="0" fontId="14" fillId="14" borderId="4" xfId="3" applyNumberFormat="1" applyFont="1" applyFill="1" applyBorder="1" applyProtection="1">
      <alignment vertical="center"/>
      <protection locked="0"/>
    </xf>
    <xf numFmtId="49" fontId="14" fillId="11" borderId="4" xfId="3" applyNumberFormat="1" applyFont="1" applyFill="1" applyBorder="1" applyAlignment="1" applyProtection="1">
      <alignment horizontal="center" vertical="top"/>
      <protection locked="0"/>
    </xf>
    <xf numFmtId="49" fontId="14" fillId="11" borderId="4" xfId="3" applyNumberFormat="1" applyFont="1" applyFill="1" applyBorder="1" applyAlignment="1" applyProtection="1">
      <alignment horizontal="left" vertical="top"/>
      <protection locked="0"/>
    </xf>
    <xf numFmtId="49" fontId="65" fillId="11" borderId="4" xfId="3" applyNumberFormat="1" applyFont="1" applyFill="1" applyBorder="1" applyAlignment="1" applyProtection="1">
      <alignment horizontal="center" vertical="top" wrapText="1"/>
      <protection locked="0"/>
    </xf>
    <xf numFmtId="49" fontId="65" fillId="11" borderId="4" xfId="3" applyNumberFormat="1" applyFont="1" applyFill="1" applyBorder="1" applyAlignment="1" applyProtection="1">
      <alignment horizontal="left" vertical="top" wrapText="1"/>
      <protection locked="0"/>
    </xf>
    <xf numFmtId="176" fontId="64" fillId="7" borderId="0" xfId="2" applyFont="1" applyAlignment="1" applyProtection="1">
      <alignment vertical="top"/>
      <protection locked="0"/>
    </xf>
    <xf numFmtId="0" fontId="13" fillId="7" borderId="0" xfId="2" applyNumberFormat="1" applyFont="1" applyAlignment="1" applyProtection="1">
      <protection locked="0"/>
    </xf>
    <xf numFmtId="49" fontId="11" fillId="0" borderId="4" xfId="0" applyNumberFormat="1" applyFont="1" applyBorder="1" applyAlignment="1" applyProtection="1">
      <alignment horizontal="center" vertical="center"/>
      <protection locked="0"/>
    </xf>
    <xf numFmtId="49" fontId="13" fillId="0" borderId="4" xfId="0" applyNumberFormat="1" applyFont="1" applyBorder="1" applyAlignment="1" applyProtection="1">
      <alignment horizontal="center" vertical="center"/>
      <protection locked="0"/>
    </xf>
    <xf numFmtId="49" fontId="13" fillId="0" borderId="4" xfId="0" applyNumberFormat="1" applyFont="1" applyBorder="1" applyAlignment="1" applyProtection="1">
      <alignment horizontal="left" vertical="center" wrapText="1"/>
      <protection locked="0"/>
    </xf>
    <xf numFmtId="49" fontId="13" fillId="0" borderId="4" xfId="0" applyNumberFormat="1" applyFont="1" applyBorder="1" applyAlignment="1" applyProtection="1">
      <alignment horizontal="left" vertical="center"/>
      <protection locked="0"/>
    </xf>
    <xf numFmtId="176" fontId="64" fillId="7" borderId="0" xfId="2" applyFont="1" applyAlignment="1" applyProtection="1">
      <alignment vertical="center" wrapText="1"/>
      <protection locked="0"/>
    </xf>
    <xf numFmtId="49" fontId="13" fillId="6" borderId="0" xfId="0" applyNumberFormat="1" applyFont="1" applyFill="1" applyAlignment="1" applyProtection="1">
      <protection locked="0"/>
    </xf>
    <xf numFmtId="49" fontId="16" fillId="0" borderId="4" xfId="0" applyNumberFormat="1" applyFont="1" applyBorder="1" applyAlignment="1" applyProtection="1">
      <protection locked="0"/>
    </xf>
    <xf numFmtId="49" fontId="13" fillId="0" borderId="0" xfId="0" applyNumberFormat="1" applyFont="1" applyAlignment="1" applyProtection="1">
      <alignment horizontal="center" vertical="center"/>
      <protection locked="0"/>
    </xf>
    <xf numFmtId="49" fontId="66" fillId="0" borderId="0" xfId="0" applyNumberFormat="1" applyFont="1" applyAlignment="1" applyProtection="1">
      <alignment horizontal="center"/>
      <protection locked="0"/>
    </xf>
    <xf numFmtId="0" fontId="13" fillId="0" borderId="0" xfId="0" applyNumberFormat="1" applyFont="1" applyAlignment="1" applyProtection="1">
      <protection locked="0"/>
    </xf>
    <xf numFmtId="0" fontId="13" fillId="12" borderId="0" xfId="3" applyNumberFormat="1" applyFont="1" applyAlignment="1"/>
    <xf numFmtId="49" fontId="13" fillId="0" borderId="4" xfId="0" applyNumberFormat="1" applyFont="1" applyBorder="1" applyAlignment="1" applyProtection="1">
      <protection locked="0"/>
    </xf>
    <xf numFmtId="49" fontId="59" fillId="0" borderId="0" xfId="0" applyNumberFormat="1" applyFont="1" applyAlignment="1" applyProtection="1">
      <protection locked="0"/>
    </xf>
    <xf numFmtId="49" fontId="59" fillId="0" borderId="0" xfId="0" applyNumberFormat="1" applyFont="1" applyAlignment="1" applyProtection="1">
      <alignment horizontal="left"/>
      <protection locked="0"/>
    </xf>
    <xf numFmtId="49" fontId="9" fillId="12" borderId="38" xfId="7" applyNumberFormat="1" applyFont="1" applyBorder="1" applyAlignment="1" applyProtection="1">
      <alignment horizontal="center" vertical="center"/>
      <protection locked="0"/>
    </xf>
    <xf numFmtId="49" fontId="9" fillId="12" borderId="37" xfId="7" applyNumberFormat="1" applyFont="1" applyBorder="1" applyAlignment="1" applyProtection="1">
      <alignment horizontal="center" vertical="center"/>
      <protection locked="0"/>
    </xf>
    <xf numFmtId="49" fontId="9" fillId="12" borderId="39" xfId="7" applyNumberFormat="1" applyFont="1" applyBorder="1" applyAlignment="1" applyProtection="1">
      <alignment horizontal="center" vertical="center"/>
      <protection locked="0"/>
    </xf>
    <xf numFmtId="49" fontId="9" fillId="12" borderId="4" xfId="8" applyNumberFormat="1" applyFont="1" applyBorder="1" applyAlignment="1" applyProtection="1">
      <alignment horizontal="center" vertical="center" wrapText="1"/>
      <protection locked="0"/>
    </xf>
    <xf numFmtId="49" fontId="81" fillId="12" borderId="4" xfId="8" applyNumberFormat="1" applyFont="1" applyBorder="1" applyAlignment="1" applyProtection="1">
      <alignment horizontal="center" vertical="center"/>
      <protection locked="0"/>
    </xf>
    <xf numFmtId="49" fontId="9" fillId="12" borderId="4" xfId="8" applyNumberFormat="1" applyFont="1" applyBorder="1" applyAlignment="1" applyProtection="1">
      <alignment horizontal="center" vertical="center"/>
      <protection locked="0"/>
    </xf>
    <xf numFmtId="49" fontId="9" fillId="0" borderId="4" xfId="0" applyNumberFormat="1" applyFont="1" applyBorder="1" applyAlignment="1" applyProtection="1">
      <alignment horizontal="center" vertical="center" wrapText="1"/>
      <protection locked="0"/>
    </xf>
    <xf numFmtId="49" fontId="79" fillId="0" borderId="4" xfId="0" applyNumberFormat="1" applyFont="1" applyBorder="1" applyAlignment="1" applyProtection="1">
      <alignment horizontal="center" vertical="center" wrapText="1"/>
      <protection locked="0"/>
    </xf>
    <xf numFmtId="49" fontId="80" fillId="0" borderId="4" xfId="0" applyNumberFormat="1" applyFont="1" applyBorder="1" applyAlignment="1" applyProtection="1">
      <alignment horizontal="center" vertical="center" wrapText="1"/>
      <protection locked="0"/>
    </xf>
    <xf numFmtId="49" fontId="81" fillId="0" borderId="4" xfId="0" applyNumberFormat="1" applyFont="1" applyBorder="1" applyAlignment="1" applyProtection="1">
      <alignment horizontal="center" vertical="center"/>
      <protection locked="0"/>
    </xf>
    <xf numFmtId="49" fontId="35" fillId="2" borderId="18" xfId="0" applyNumberFormat="1" applyFont="1" applyFill="1" applyBorder="1" applyAlignment="1" applyProtection="1">
      <alignment horizontal="center" vertical="center" wrapText="1"/>
      <protection locked="0"/>
    </xf>
    <xf numFmtId="49" fontId="36" fillId="2" borderId="18" xfId="0" applyNumberFormat="1" applyFont="1" applyFill="1" applyBorder="1" applyAlignment="1" applyProtection="1">
      <alignment horizontal="center" vertical="center" wrapText="1"/>
      <protection locked="0"/>
    </xf>
    <xf numFmtId="49" fontId="71" fillId="0" borderId="4" xfId="0" applyNumberFormat="1" applyFont="1" applyBorder="1" applyAlignment="1" applyProtection="1">
      <alignment horizontal="center" vertical="center" wrapText="1"/>
      <protection locked="0"/>
    </xf>
    <xf numFmtId="49" fontId="9" fillId="12" borderId="4" xfId="78" applyNumberFormat="1" applyFont="1" applyBorder="1" applyAlignment="1" applyProtection="1">
      <alignment horizontal="center" vertical="center" wrapText="1"/>
      <protection locked="0"/>
    </xf>
    <xf numFmtId="49" fontId="81" fillId="12" borderId="4" xfId="78" applyNumberFormat="1" applyFont="1" applyBorder="1" applyAlignment="1" applyProtection="1">
      <alignment horizontal="center" vertical="center"/>
      <protection locked="0"/>
    </xf>
    <xf numFmtId="49" fontId="16" fillId="0" borderId="18" xfId="0" applyNumberFormat="1" applyFont="1" applyBorder="1" applyAlignment="1" applyProtection="1">
      <alignment horizontal="left" vertical="center" wrapText="1"/>
      <protection locked="0"/>
    </xf>
    <xf numFmtId="0" fontId="23" fillId="0" borderId="18" xfId="0" applyNumberFormat="1" applyFont="1" applyBorder="1" applyAlignment="1" applyProtection="1">
      <alignment horizontal="left" vertical="center" wrapText="1"/>
      <protection locked="0"/>
    </xf>
    <xf numFmtId="49" fontId="16" fillId="5" borderId="18" xfId="0" applyNumberFormat="1" applyFont="1" applyFill="1" applyBorder="1" applyAlignment="1" applyProtection="1">
      <alignment horizontal="center" vertical="center" wrapText="1"/>
      <protection locked="0"/>
    </xf>
    <xf numFmtId="49" fontId="16" fillId="0" borderId="18" xfId="0" applyNumberFormat="1" applyFont="1" applyBorder="1" applyAlignment="1" applyProtection="1">
      <alignment horizontal="center" vertical="center" wrapText="1"/>
      <protection locked="0"/>
    </xf>
    <xf numFmtId="49" fontId="16" fillId="0" borderId="18" xfId="0" applyNumberFormat="1" applyFont="1" applyBorder="1" applyAlignment="1" applyProtection="1">
      <protection locked="0"/>
    </xf>
    <xf numFmtId="0" fontId="40" fillId="12" borderId="0" xfId="9" applyNumberFormat="1" applyAlignment="1" applyProtection="1">
      <protection locked="0"/>
    </xf>
    <xf numFmtId="49" fontId="76" fillId="0" borderId="3" xfId="0" applyNumberFormat="1" applyFont="1" applyBorder="1" applyAlignment="1" applyProtection="1">
      <alignment horizontal="center" vertical="center"/>
      <protection locked="0"/>
    </xf>
    <xf numFmtId="176" fontId="83" fillId="0" borderId="4" xfId="0" applyFont="1" applyBorder="1">
      <alignment vertical="center"/>
    </xf>
    <xf numFmtId="49" fontId="76" fillId="0" borderId="4" xfId="0" applyNumberFormat="1" applyFont="1" applyBorder="1" applyAlignment="1" applyProtection="1">
      <alignment horizontal="center" vertical="center"/>
      <protection locked="0"/>
    </xf>
    <xf numFmtId="49" fontId="76" fillId="0" borderId="8" xfId="0" applyNumberFormat="1" applyFont="1" applyBorder="1" applyAlignment="1" applyProtection="1">
      <alignment horizontal="center" vertical="center"/>
      <protection locked="0"/>
    </xf>
    <xf numFmtId="49" fontId="75" fillId="0" borderId="3" xfId="0" applyNumberFormat="1" applyFont="1" applyBorder="1" applyAlignment="1" applyProtection="1">
      <alignment horizontal="center" vertical="center"/>
      <protection locked="0"/>
    </xf>
    <xf numFmtId="0" fontId="40" fillId="12" borderId="4" xfId="9" applyNumberFormat="1" applyBorder="1" applyProtection="1">
      <alignment vertical="center"/>
      <protection locked="0"/>
    </xf>
    <xf numFmtId="49" fontId="75" fillId="0" borderId="4" xfId="0" applyNumberFormat="1" applyFont="1" applyBorder="1" applyAlignment="1" applyProtection="1">
      <alignment horizontal="left" vertical="center" wrapText="1"/>
      <protection locked="0"/>
    </xf>
    <xf numFmtId="49" fontId="75" fillId="0" borderId="8" xfId="0" applyNumberFormat="1" applyFont="1" applyBorder="1" applyAlignment="1" applyProtection="1">
      <alignment horizontal="left" vertical="center"/>
      <protection locked="0"/>
    </xf>
    <xf numFmtId="49" fontId="75" fillId="0" borderId="36" xfId="0" applyNumberFormat="1" applyFont="1" applyBorder="1" applyAlignment="1" applyProtection="1">
      <alignment horizontal="left" vertical="center"/>
      <protection locked="0"/>
    </xf>
    <xf numFmtId="176" fontId="83" fillId="0" borderId="4" xfId="0" applyFont="1" applyBorder="1" applyAlignment="1">
      <alignment horizontal="left" vertical="center"/>
    </xf>
    <xf numFmtId="176" fontId="83" fillId="0" borderId="4" xfId="0" applyFont="1" applyBorder="1" applyAlignment="1">
      <alignment horizontal="left" vertical="center" wrapText="1"/>
    </xf>
    <xf numFmtId="49" fontId="75" fillId="0" borderId="8" xfId="0" applyNumberFormat="1" applyFont="1" applyBorder="1" applyAlignment="1" applyProtection="1">
      <alignment horizontal="left" vertical="center" wrapText="1"/>
      <protection locked="0"/>
    </xf>
    <xf numFmtId="49" fontId="75" fillId="0" borderId="5" xfId="0" applyNumberFormat="1" applyFont="1" applyBorder="1" applyAlignment="1" applyProtection="1">
      <alignment horizontal="center" vertical="center"/>
      <protection locked="0"/>
    </xf>
    <xf numFmtId="0" fontId="40" fillId="12" borderId="4" xfId="9" applyNumberFormat="1" applyBorder="1" applyAlignment="1" applyProtection="1">
      <protection locked="0"/>
    </xf>
    <xf numFmtId="49" fontId="75" fillId="0" borderId="6" xfId="0" applyNumberFormat="1" applyFont="1" applyBorder="1" applyAlignment="1" applyProtection="1">
      <alignment horizontal="left" vertical="center" wrapText="1"/>
      <protection locked="0"/>
    </xf>
    <xf numFmtId="49" fontId="75" fillId="0" borderId="9" xfId="0" applyNumberFormat="1" applyFont="1" applyBorder="1" applyAlignment="1" applyProtection="1">
      <alignment horizontal="left" vertical="center"/>
      <protection locked="0"/>
    </xf>
    <xf numFmtId="176" fontId="83" fillId="0" borderId="4" xfId="0" applyFont="1" applyBorder="1" applyAlignment="1">
      <alignment horizontal="center" vertical="center"/>
    </xf>
    <xf numFmtId="176" fontId="84" fillId="0" borderId="4" xfId="0" applyFont="1" applyBorder="1" applyAlignment="1">
      <alignment horizontal="center" vertical="center" readingOrder="1"/>
    </xf>
    <xf numFmtId="177" fontId="83" fillId="0" borderId="4" xfId="0" applyNumberFormat="1" applyFont="1" applyBorder="1" applyAlignment="1">
      <alignment horizontal="center" vertical="center"/>
    </xf>
    <xf numFmtId="176" fontId="83" fillId="0" borderId="4" xfId="0" applyFont="1" applyBorder="1" applyAlignment="1">
      <alignment vertical="center" wrapText="1"/>
    </xf>
    <xf numFmtId="176" fontId="84" fillId="0" borderId="4" xfId="0" applyFont="1" applyBorder="1" applyAlignment="1">
      <alignment horizontal="center" vertical="center" wrapText="1" readingOrder="1"/>
    </xf>
    <xf numFmtId="6" fontId="74" fillId="0" borderId="4" xfId="0" applyNumberFormat="1" applyFont="1" applyBorder="1" applyAlignment="1">
      <alignment horizontal="center" vertical="center" wrapText="1" readingOrder="1"/>
    </xf>
    <xf numFmtId="176" fontId="74" fillId="0" borderId="4" xfId="0" applyFont="1" applyBorder="1" applyAlignment="1">
      <alignment horizontal="center" vertical="center" wrapText="1" readingOrder="1"/>
    </xf>
    <xf numFmtId="6" fontId="74" fillId="13" borderId="4" xfId="0" applyNumberFormat="1" applyFont="1" applyFill="1" applyBorder="1" applyAlignment="1">
      <alignment horizontal="center" vertical="center" wrapText="1" readingOrder="1"/>
    </xf>
    <xf numFmtId="6" fontId="74" fillId="0" borderId="4" xfId="0" applyNumberFormat="1" applyFont="1" applyBorder="1" applyAlignment="1">
      <alignment horizontal="center" vertical="center" readingOrder="1"/>
    </xf>
    <xf numFmtId="176" fontId="74" fillId="0" borderId="4" xfId="0" applyFont="1" applyBorder="1" applyAlignment="1">
      <alignment horizontal="center" vertical="center" readingOrder="1"/>
    </xf>
    <xf numFmtId="0" fontId="87" fillId="0" borderId="0" xfId="0" applyNumberFormat="1" applyFont="1" applyAlignment="1">
      <alignment horizontal="center" vertical="center" readingOrder="1"/>
    </xf>
    <xf numFmtId="0" fontId="87" fillId="0" borderId="0" xfId="0" applyNumberFormat="1" applyFont="1" applyAlignment="1">
      <alignment horizontal="center" vertical="center" wrapText="1" readingOrder="1"/>
    </xf>
    <xf numFmtId="0" fontId="41" fillId="0" borderId="0" xfId="0" applyNumberFormat="1" applyFont="1" applyAlignment="1">
      <alignment horizontal="center" vertical="center" wrapText="1" readingOrder="1"/>
    </xf>
    <xf numFmtId="0" fontId="88" fillId="0" borderId="0" xfId="0" applyNumberFormat="1" applyFont="1" applyAlignment="1">
      <alignment horizontal="center" vertical="center" wrapText="1" readingOrder="1"/>
    </xf>
    <xf numFmtId="0" fontId="88" fillId="0" borderId="0" xfId="0" applyNumberFormat="1" applyFont="1" applyAlignment="1">
      <alignment horizontal="center" vertical="center" readingOrder="1"/>
    </xf>
    <xf numFmtId="6" fontId="41" fillId="0" borderId="0" xfId="0" applyNumberFormat="1" applyFont="1" applyAlignment="1">
      <alignment horizontal="center" vertical="center" readingOrder="1"/>
    </xf>
    <xf numFmtId="0" fontId="41" fillId="0" borderId="0" xfId="0" applyNumberFormat="1" applyFont="1" applyAlignment="1">
      <alignment horizontal="center" vertical="center" readingOrder="1"/>
    </xf>
    <xf numFmtId="49" fontId="90" fillId="0" borderId="4" xfId="0" applyNumberFormat="1" applyFont="1" applyBorder="1" applyAlignment="1" applyProtection="1">
      <alignment horizontal="left" vertical="center" wrapText="1"/>
      <protection locked="0"/>
    </xf>
    <xf numFmtId="49" fontId="13" fillId="0" borderId="4" xfId="0" applyNumberFormat="1" applyFont="1" applyBorder="1" applyAlignment="1" applyProtection="1">
      <alignment horizontal="center" vertical="center" wrapText="1"/>
      <protection locked="0"/>
    </xf>
    <xf numFmtId="176" fontId="92" fillId="0" borderId="4" xfId="0" applyFont="1" applyBorder="1" applyAlignment="1">
      <alignment horizontal="left" vertical="center" wrapText="1"/>
    </xf>
    <xf numFmtId="176" fontId="64" fillId="0" borderId="4" xfId="0" applyFont="1" applyBorder="1" applyAlignment="1">
      <alignment horizontal="left" vertical="center" wrapText="1"/>
    </xf>
    <xf numFmtId="176" fontId="92" fillId="0" borderId="4" xfId="0" applyFont="1" applyBorder="1" applyAlignment="1">
      <alignment horizontal="left" vertical="center"/>
    </xf>
    <xf numFmtId="0" fontId="13" fillId="12" borderId="4" xfId="9" applyNumberFormat="1" applyFont="1" applyBorder="1" applyAlignment="1" applyProtection="1">
      <alignment horizontal="center" vertical="center"/>
      <protection locked="0"/>
    </xf>
    <xf numFmtId="0" fontId="13" fillId="12" borderId="4" xfId="9" applyNumberFormat="1" applyFont="1" applyBorder="1" applyAlignment="1" applyProtection="1">
      <protection locked="0"/>
    </xf>
    <xf numFmtId="49" fontId="89" fillId="0" borderId="4" xfId="0" applyNumberFormat="1" applyFont="1" applyBorder="1" applyAlignment="1" applyProtection="1">
      <alignment horizontal="center" vertical="center"/>
      <protection locked="0"/>
    </xf>
    <xf numFmtId="176" fontId="0" fillId="0" borderId="0" xfId="0">
      <alignment vertical="center"/>
    </xf>
    <xf numFmtId="49" fontId="77" fillId="0" borderId="4" xfId="0" applyNumberFormat="1" applyFont="1" applyBorder="1" applyAlignment="1" applyProtection="1">
      <alignment horizontal="left" vertical="center" wrapText="1"/>
      <protection locked="0"/>
    </xf>
    <xf numFmtId="49" fontId="77" fillId="0" borderId="4" xfId="0" applyNumberFormat="1" applyFont="1" applyBorder="1" applyAlignment="1" applyProtection="1">
      <alignment horizontal="left" vertical="center"/>
      <protection locked="0"/>
    </xf>
    <xf numFmtId="176" fontId="40" fillId="0" borderId="0" xfId="0" applyFont="1" applyAlignment="1">
      <alignment vertical="center" wrapText="1"/>
    </xf>
    <xf numFmtId="49" fontId="77" fillId="12" borderId="4" xfId="8" applyNumberFormat="1" applyFont="1" applyBorder="1" applyAlignment="1" applyProtection="1">
      <alignment horizontal="left" vertical="center"/>
      <protection locked="0"/>
    </xf>
    <xf numFmtId="49" fontId="77" fillId="12" borderId="4" xfId="8" applyNumberFormat="1" applyFont="1" applyBorder="1" applyAlignment="1" applyProtection="1">
      <alignment horizontal="left" vertical="center" wrapText="1"/>
      <protection locked="0"/>
    </xf>
    <xf numFmtId="176" fontId="0" fillId="0" borderId="0" xfId="0" applyAlignment="1">
      <alignment vertical="center" wrapText="1"/>
    </xf>
    <xf numFmtId="49" fontId="98" fillId="12" borderId="4" xfId="8" applyNumberFormat="1" applyFont="1" applyBorder="1" applyAlignment="1" applyProtection="1">
      <alignment horizontal="left" vertical="center" wrapText="1"/>
      <protection locked="0"/>
    </xf>
    <xf numFmtId="49" fontId="98" fillId="12" borderId="4" xfId="8" applyNumberFormat="1" applyFont="1" applyBorder="1" applyAlignment="1" applyProtection="1">
      <alignment horizontal="left" vertical="center"/>
      <protection locked="0"/>
    </xf>
    <xf numFmtId="49" fontId="77" fillId="0" borderId="0" xfId="0" applyNumberFormat="1" applyFont="1" applyAlignment="1" applyProtection="1">
      <alignment horizontal="left" vertical="center" wrapText="1"/>
      <protection locked="0"/>
    </xf>
    <xf numFmtId="49" fontId="77" fillId="0" borderId="0" xfId="0" applyNumberFormat="1" applyFont="1" applyAlignment="1" applyProtection="1">
      <alignment horizontal="left" vertical="center"/>
      <protection locked="0"/>
    </xf>
    <xf numFmtId="49" fontId="98" fillId="0" borderId="4" xfId="0" applyNumberFormat="1" applyFont="1" applyBorder="1" applyAlignment="1" applyProtection="1">
      <alignment horizontal="left" vertical="center" wrapText="1"/>
      <protection locked="0"/>
    </xf>
    <xf numFmtId="49" fontId="98" fillId="0" borderId="4" xfId="0" applyNumberFormat="1" applyFont="1" applyBorder="1" applyAlignment="1" applyProtection="1">
      <alignment horizontal="left" vertical="center"/>
      <protection locked="0"/>
    </xf>
    <xf numFmtId="49" fontId="107" fillId="0" borderId="4" xfId="0" applyNumberFormat="1" applyFont="1" applyBorder="1" applyAlignment="1" applyProtection="1">
      <alignment horizontal="center" vertical="center"/>
      <protection locked="0"/>
    </xf>
    <xf numFmtId="176" fontId="106" fillId="0" borderId="0" xfId="0" applyFont="1">
      <alignment vertical="center"/>
    </xf>
    <xf numFmtId="49" fontId="94" fillId="0" borderId="4" xfId="0" applyNumberFormat="1" applyFont="1" applyBorder="1" applyAlignment="1" applyProtection="1">
      <alignment horizontal="left" vertical="center" wrapText="1"/>
      <protection locked="0"/>
    </xf>
    <xf numFmtId="49" fontId="94" fillId="0" borderId="4" xfId="0" applyNumberFormat="1" applyFont="1" applyBorder="1" applyAlignment="1" applyProtection="1">
      <alignment horizontal="left" vertical="center"/>
      <protection locked="0"/>
    </xf>
    <xf numFmtId="176" fontId="106" fillId="0" borderId="0" xfId="0" applyFont="1" applyAlignment="1">
      <alignment vertical="center" wrapText="1"/>
    </xf>
    <xf numFmtId="0" fontId="106" fillId="12" borderId="0" xfId="9" applyNumberFormat="1" applyFont="1" applyAlignment="1" applyProtection="1">
      <protection locked="0"/>
    </xf>
    <xf numFmtId="0" fontId="11" fillId="12" borderId="4" xfId="9" applyNumberFormat="1" applyFont="1" applyBorder="1" applyAlignment="1" applyProtection="1">
      <alignment horizontal="center" vertical="center"/>
      <protection locked="0"/>
    </xf>
    <xf numFmtId="49" fontId="100" fillId="0" borderId="4" xfId="0" applyNumberFormat="1" applyFont="1" applyBorder="1" applyAlignment="1" applyProtection="1">
      <alignment horizontal="center" vertical="center"/>
      <protection locked="0"/>
    </xf>
    <xf numFmtId="49" fontId="101" fillId="0" borderId="4" xfId="0" applyNumberFormat="1" applyFont="1" applyBorder="1" applyAlignment="1" applyProtection="1">
      <alignment horizontal="left" vertical="center" wrapText="1"/>
      <protection locked="0"/>
    </xf>
    <xf numFmtId="49" fontId="101" fillId="0" borderId="4" xfId="0" applyNumberFormat="1" applyFont="1" applyBorder="1" applyAlignment="1" applyProtection="1">
      <alignment vertical="center" wrapText="1"/>
      <protection locked="0"/>
    </xf>
    <xf numFmtId="49" fontId="13" fillId="0" borderId="11" xfId="0" applyNumberFormat="1" applyFont="1" applyBorder="1" applyAlignment="1" applyProtection="1">
      <alignment horizontal="center" vertical="center"/>
      <protection locked="0"/>
    </xf>
    <xf numFmtId="0" fontId="13" fillId="12" borderId="11" xfId="9" applyNumberFormat="1" applyFont="1" applyBorder="1" applyAlignment="1" applyProtection="1">
      <alignment horizontal="center" vertical="center"/>
      <protection locked="0"/>
    </xf>
    <xf numFmtId="49" fontId="103" fillId="0" borderId="4" xfId="0" applyNumberFormat="1" applyFont="1" applyBorder="1" applyAlignment="1" applyProtection="1">
      <alignment horizontal="left" vertical="center"/>
      <protection locked="0"/>
    </xf>
    <xf numFmtId="49" fontId="13" fillId="0" borderId="4" xfId="0" applyNumberFormat="1" applyFont="1" applyBorder="1" applyAlignment="1" applyProtection="1">
      <alignment vertical="center" wrapText="1"/>
      <protection locked="0"/>
    </xf>
    <xf numFmtId="49" fontId="90" fillId="0" borderId="4" xfId="0" applyNumberFormat="1" applyFont="1" applyBorder="1" applyAlignment="1" applyProtection="1">
      <alignment vertical="center" wrapText="1"/>
      <protection locked="0"/>
    </xf>
    <xf numFmtId="49" fontId="16" fillId="0" borderId="4" xfId="0" applyNumberFormat="1" applyFont="1" applyBorder="1" applyAlignment="1" applyProtection="1">
      <alignment wrapText="1"/>
      <protection locked="0"/>
    </xf>
    <xf numFmtId="49" fontId="16" fillId="0" borderId="21" xfId="0" applyNumberFormat="1" applyFont="1" applyBorder="1" applyAlignment="1" applyProtection="1">
      <alignment horizontal="center" vertical="center"/>
      <protection locked="0"/>
    </xf>
    <xf numFmtId="49" fontId="19" fillId="0" borderId="13" xfId="0" applyNumberFormat="1" applyFont="1" applyBorder="1" applyAlignment="1" applyProtection="1">
      <alignment horizontal="center" vertical="center"/>
      <protection locked="0"/>
    </xf>
    <xf numFmtId="0" fontId="16" fillId="0" borderId="4" xfId="0" applyNumberFormat="1" applyFont="1" applyBorder="1" applyAlignment="1"/>
    <xf numFmtId="0" fontId="15" fillId="15" borderId="4" xfId="0" applyNumberFormat="1" applyFont="1" applyFill="1" applyBorder="1" applyAlignment="1">
      <alignment horizontal="center" vertical="center" wrapText="1"/>
    </xf>
    <xf numFmtId="49" fontId="16" fillId="0" borderId="4" xfId="0" applyNumberFormat="1" applyFont="1" applyBorder="1" applyAlignment="1" applyProtection="1">
      <alignment horizontal="center"/>
      <protection locked="0"/>
    </xf>
    <xf numFmtId="49" fontId="26" fillId="0" borderId="4" xfId="0" applyNumberFormat="1" applyFont="1" applyBorder="1" applyAlignment="1" applyProtection="1">
      <alignment horizontal="center"/>
      <protection locked="0"/>
    </xf>
    <xf numFmtId="49" fontId="16" fillId="0" borderId="4" xfId="0" applyNumberFormat="1" applyFont="1" applyBorder="1" applyAlignment="1" applyProtection="1">
      <alignment horizontal="left"/>
      <protection locked="0"/>
    </xf>
    <xf numFmtId="49" fontId="16" fillId="0" borderId="0" xfId="0" applyNumberFormat="1" applyFont="1" applyProtection="1">
      <alignment vertical="center"/>
      <protection locked="0"/>
    </xf>
    <xf numFmtId="49" fontId="54" fillId="0" borderId="4" xfId="0" applyNumberFormat="1" applyFont="1" applyBorder="1" applyAlignment="1" applyProtection="1">
      <alignment horizontal="center"/>
      <protection locked="0"/>
    </xf>
    <xf numFmtId="49" fontId="17" fillId="0" borderId="13" xfId="0" applyNumberFormat="1" applyFont="1" applyBorder="1" applyAlignment="1" applyProtection="1">
      <alignment horizontal="center" vertical="center"/>
      <protection locked="0"/>
    </xf>
    <xf numFmtId="49" fontId="17" fillId="0" borderId="21" xfId="0" applyNumberFormat="1" applyFont="1" applyBorder="1" applyAlignment="1" applyProtection="1">
      <alignment horizontal="center" vertical="center"/>
      <protection locked="0"/>
    </xf>
    <xf numFmtId="49" fontId="11" fillId="0" borderId="0" xfId="0" applyNumberFormat="1" applyFont="1" applyAlignment="1" applyProtection="1">
      <alignment horizontal="center" vertical="center"/>
      <protection locked="0"/>
    </xf>
    <xf numFmtId="0" fontId="40" fillId="12" borderId="6" xfId="9" applyNumberFormat="1" applyBorder="1" applyAlignment="1" applyProtection="1">
      <protection locked="0"/>
    </xf>
    <xf numFmtId="176" fontId="83" fillId="13" borderId="4" xfId="0" applyFont="1" applyFill="1" applyBorder="1" applyAlignment="1">
      <alignment horizontal="left" vertical="center"/>
    </xf>
    <xf numFmtId="49" fontId="26" fillId="0" borderId="4" xfId="0" applyNumberFormat="1" applyFont="1" applyBorder="1" applyAlignment="1" applyProtection="1">
      <alignment horizontal="center" vertical="center"/>
      <protection locked="0"/>
    </xf>
    <xf numFmtId="49" fontId="16" fillId="12" borderId="0" xfId="8" applyNumberFormat="1" applyFont="1" applyAlignment="1" applyProtection="1">
      <protection locked="0"/>
    </xf>
    <xf numFmtId="49" fontId="16" fillId="12" borderId="0" xfId="8" applyNumberFormat="1" applyFont="1" applyAlignment="1" applyProtection="1">
      <alignment horizontal="center" vertical="center"/>
      <protection locked="0"/>
    </xf>
    <xf numFmtId="49" fontId="26" fillId="12" borderId="0" xfId="8" applyNumberFormat="1" applyFont="1" applyAlignment="1" applyProtection="1">
      <alignment horizontal="center" vertical="center"/>
      <protection locked="0"/>
    </xf>
    <xf numFmtId="49" fontId="16" fillId="12" borderId="4" xfId="8" applyNumberFormat="1" applyFont="1" applyBorder="1" applyAlignment="1" applyProtection="1">
      <alignment wrapText="1"/>
      <protection locked="0"/>
    </xf>
    <xf numFmtId="49" fontId="131" fillId="12" borderId="4" xfId="9" applyNumberFormat="1" applyFont="1" applyBorder="1" applyAlignment="1" applyProtection="1">
      <alignment horizontal="center" vertical="center" wrapText="1"/>
      <protection locked="0"/>
    </xf>
    <xf numFmtId="49" fontId="9" fillId="12" borderId="18" xfId="8" applyNumberFormat="1" applyFont="1" applyBorder="1" applyAlignment="1" applyProtection="1">
      <alignment horizontal="center" vertical="center"/>
      <protection locked="0"/>
    </xf>
    <xf numFmtId="49" fontId="9" fillId="12" borderId="18" xfId="78" applyNumberFormat="1" applyFont="1" applyBorder="1" applyAlignment="1" applyProtection="1">
      <alignment horizontal="center" vertical="center" wrapText="1"/>
      <protection locked="0"/>
    </xf>
    <xf numFmtId="49" fontId="81" fillId="12" borderId="18" xfId="78" applyNumberFormat="1" applyFont="1" applyBorder="1" applyAlignment="1" applyProtection="1">
      <alignment horizontal="center" vertical="center"/>
      <protection locked="0"/>
    </xf>
    <xf numFmtId="49" fontId="9" fillId="12" borderId="11" xfId="8" applyNumberFormat="1" applyFont="1" applyBorder="1" applyAlignment="1" applyProtection="1">
      <alignment horizontal="center" vertical="center"/>
      <protection locked="0"/>
    </xf>
    <xf numFmtId="49" fontId="9" fillId="0" borderId="11" xfId="0" applyNumberFormat="1" applyFont="1" applyBorder="1" applyAlignment="1" applyProtection="1">
      <alignment horizontal="center" vertical="center"/>
      <protection locked="0"/>
    </xf>
    <xf numFmtId="49" fontId="131" fillId="12" borderId="11" xfId="9" applyNumberFormat="1" applyFont="1" applyBorder="1" applyAlignment="1" applyProtection="1">
      <alignment horizontal="center" vertical="center" wrapText="1"/>
      <protection locked="0"/>
    </xf>
    <xf numFmtId="49" fontId="9" fillId="12" borderId="25" xfId="8" applyNumberFormat="1" applyFont="1" applyBorder="1" applyAlignment="1" applyProtection="1">
      <alignment horizontal="center" vertical="center"/>
      <protection locked="0"/>
    </xf>
    <xf numFmtId="49" fontId="9" fillId="12" borderId="22" xfId="78" applyNumberFormat="1" applyFont="1" applyBorder="1" applyAlignment="1" applyProtection="1">
      <alignment horizontal="center" vertical="center" wrapText="1"/>
      <protection locked="0"/>
    </xf>
    <xf numFmtId="49" fontId="81" fillId="12" borderId="22" xfId="78" applyNumberFormat="1" applyFont="1" applyBorder="1" applyAlignment="1" applyProtection="1">
      <alignment horizontal="center" vertical="center"/>
      <protection locked="0"/>
    </xf>
    <xf numFmtId="49" fontId="9" fillId="12" borderId="3" xfId="8" applyNumberFormat="1" applyFont="1" applyBorder="1" applyAlignment="1" applyProtection="1">
      <alignment horizontal="center" vertical="center"/>
      <protection locked="0"/>
    </xf>
    <xf numFmtId="49" fontId="9" fillId="12" borderId="5" xfId="8" applyNumberFormat="1" applyFont="1" applyBorder="1" applyAlignment="1" applyProtection="1">
      <alignment horizontal="center" vertical="center"/>
      <protection locked="0"/>
    </xf>
    <xf numFmtId="49" fontId="9" fillId="0" borderId="6" xfId="0" applyNumberFormat="1" applyFont="1" applyBorder="1" applyAlignment="1" applyProtection="1">
      <alignment horizontal="center" vertical="center"/>
      <protection locked="0"/>
    </xf>
    <xf numFmtId="49" fontId="131" fillId="12" borderId="6" xfId="9" applyNumberFormat="1" applyFont="1" applyBorder="1" applyAlignment="1" applyProtection="1">
      <alignment horizontal="center" vertical="center" wrapText="1"/>
      <protection locked="0"/>
    </xf>
    <xf numFmtId="49" fontId="9" fillId="12" borderId="6" xfId="78" applyNumberFormat="1" applyFont="1" applyBorder="1" applyAlignment="1" applyProtection="1">
      <alignment horizontal="center" vertical="center" wrapText="1"/>
      <protection locked="0"/>
    </xf>
    <xf numFmtId="49" fontId="81" fillId="12" borderId="6" xfId="78" applyNumberFormat="1" applyFont="1" applyBorder="1" applyAlignment="1" applyProtection="1">
      <alignment horizontal="center" vertical="center"/>
      <protection locked="0"/>
    </xf>
    <xf numFmtId="49" fontId="38" fillId="0" borderId="4" xfId="0" applyNumberFormat="1" applyFont="1" applyBorder="1" applyAlignment="1" applyProtection="1">
      <alignment horizontal="center" wrapText="1"/>
      <protection locked="0"/>
    </xf>
    <xf numFmtId="49" fontId="16" fillId="0" borderId="4" xfId="0" applyNumberFormat="1" applyFont="1" applyBorder="1" applyAlignment="1" applyProtection="1">
      <alignment horizontal="center" wrapText="1"/>
      <protection locked="0"/>
    </xf>
    <xf numFmtId="0" fontId="38" fillId="0" borderId="4" xfId="0" quotePrefix="1" applyNumberFormat="1" applyFont="1" applyBorder="1" applyAlignment="1" applyProtection="1">
      <alignment horizontal="center"/>
      <protection locked="0"/>
    </xf>
    <xf numFmtId="0" fontId="13" fillId="17" borderId="4" xfId="0" applyNumberFormat="1" applyFont="1" applyFill="1" applyBorder="1" applyAlignment="1"/>
    <xf numFmtId="0" fontId="107" fillId="16" borderId="4" xfId="0" applyNumberFormat="1" applyFont="1" applyFill="1" applyBorder="1" applyAlignment="1">
      <alignment horizontal="center" vertical="center"/>
    </xf>
    <xf numFmtId="0" fontId="135" fillId="16" borderId="18" xfId="0" applyNumberFormat="1" applyFont="1" applyFill="1" applyBorder="1" applyAlignment="1">
      <alignment horizontal="center" vertical="center" wrapText="1"/>
    </xf>
    <xf numFmtId="0" fontId="135" fillId="16" borderId="11" xfId="0" applyNumberFormat="1" applyFont="1" applyFill="1" applyBorder="1" applyAlignment="1">
      <alignment horizontal="center" vertical="center" wrapText="1"/>
    </xf>
    <xf numFmtId="0" fontId="135" fillId="16" borderId="18" xfId="0" applyNumberFormat="1" applyFont="1" applyFill="1" applyBorder="1" applyAlignment="1">
      <alignment horizontal="left" vertical="center" wrapText="1"/>
    </xf>
    <xf numFmtId="0" fontId="135" fillId="16" borderId="19" xfId="0" applyNumberFormat="1" applyFont="1" applyFill="1" applyBorder="1" applyAlignment="1">
      <alignment horizontal="left" vertical="center" wrapText="1"/>
    </xf>
    <xf numFmtId="0" fontId="94" fillId="16" borderId="4" xfId="0" applyNumberFormat="1" applyFont="1" applyFill="1" applyBorder="1" applyAlignment="1">
      <alignment horizontal="left" vertical="center" wrapText="1"/>
    </xf>
    <xf numFmtId="0" fontId="94" fillId="16" borderId="4" xfId="0" applyNumberFormat="1" applyFont="1" applyFill="1" applyBorder="1" applyAlignment="1">
      <alignment horizontal="left" vertical="center"/>
    </xf>
    <xf numFmtId="0" fontId="13" fillId="16" borderId="4" xfId="0" applyNumberFormat="1" applyFont="1" applyFill="1" applyBorder="1" applyAlignment="1">
      <alignment horizontal="left" vertical="center" wrapText="1"/>
    </xf>
    <xf numFmtId="0" fontId="0" fillId="16" borderId="19" xfId="0" applyNumberFormat="1" applyFill="1" applyBorder="1" applyAlignment="1">
      <alignment horizontal="left" vertical="center" wrapText="1"/>
    </xf>
    <xf numFmtId="49" fontId="39" fillId="0" borderId="4" xfId="0" applyNumberFormat="1" applyFont="1" applyBorder="1" applyAlignment="1" applyProtection="1">
      <alignment horizontal="center" vertical="center"/>
      <protection locked="0"/>
    </xf>
    <xf numFmtId="176" fontId="40" fillId="13" borderId="0" xfId="0" applyFont="1" applyFill="1" applyAlignment="1">
      <alignment vertical="center" wrapText="1"/>
    </xf>
    <xf numFmtId="49" fontId="77" fillId="13" borderId="4" xfId="0" applyNumberFormat="1" applyFont="1" applyFill="1" applyBorder="1" applyAlignment="1" applyProtection="1">
      <alignment horizontal="left" vertical="center"/>
      <protection locked="0"/>
    </xf>
    <xf numFmtId="176" fontId="133" fillId="13" borderId="0" xfId="0" applyFont="1" applyFill="1" applyAlignment="1">
      <alignment vertical="center" wrapText="1"/>
    </xf>
    <xf numFmtId="49" fontId="11" fillId="13" borderId="4" xfId="0" applyNumberFormat="1" applyFont="1" applyFill="1" applyBorder="1" applyAlignment="1" applyProtection="1">
      <alignment horizontal="center" vertical="center"/>
      <protection locked="0"/>
    </xf>
    <xf numFmtId="49" fontId="13" fillId="13" borderId="4" xfId="0" applyNumberFormat="1" applyFont="1" applyFill="1" applyBorder="1" applyAlignment="1" applyProtection="1">
      <alignment horizontal="center" vertical="center"/>
      <protection locked="0"/>
    </xf>
    <xf numFmtId="49" fontId="90" fillId="13" borderId="4" xfId="0" applyNumberFormat="1" applyFont="1" applyFill="1" applyBorder="1" applyAlignment="1" applyProtection="1">
      <alignment horizontal="left" vertical="center" wrapText="1"/>
      <protection locked="0"/>
    </xf>
    <xf numFmtId="49" fontId="13" fillId="13" borderId="4" xfId="0" applyNumberFormat="1" applyFont="1" applyFill="1" applyBorder="1" applyAlignment="1" applyProtection="1">
      <alignment horizontal="left" vertical="center"/>
      <protection locked="0"/>
    </xf>
    <xf numFmtId="176" fontId="92" fillId="13" borderId="4" xfId="0" applyFont="1" applyFill="1" applyBorder="1" applyAlignment="1">
      <alignment horizontal="left" vertical="center" wrapText="1"/>
    </xf>
    <xf numFmtId="176" fontId="13" fillId="13" borderId="4" xfId="0" applyFont="1" applyFill="1" applyBorder="1" applyAlignment="1">
      <alignment horizontal="left" vertical="center" wrapText="1"/>
    </xf>
    <xf numFmtId="176" fontId="136" fillId="13" borderId="4" xfId="0" applyFont="1" applyFill="1" applyBorder="1" applyAlignment="1">
      <alignment horizontal="left" vertical="center" wrapText="1"/>
    </xf>
    <xf numFmtId="176" fontId="92" fillId="13" borderId="4" xfId="0" applyFont="1" applyFill="1" applyBorder="1" applyAlignment="1">
      <alignment horizontal="left" vertical="center"/>
    </xf>
    <xf numFmtId="0" fontId="13" fillId="18" borderId="4" xfId="9" applyNumberFormat="1" applyFont="1" applyFill="1" applyBorder="1" applyAlignment="1" applyProtection="1">
      <alignment horizontal="center" vertical="center"/>
      <protection locked="0"/>
    </xf>
    <xf numFmtId="0" fontId="13" fillId="18" borderId="4" xfId="9" applyNumberFormat="1" applyFont="1" applyFill="1" applyBorder="1" applyAlignment="1" applyProtection="1">
      <alignment horizontal="left" vertical="center"/>
      <protection locked="0"/>
    </xf>
    <xf numFmtId="176" fontId="137" fillId="13" borderId="4" xfId="0" applyFont="1" applyFill="1" applyBorder="1" applyAlignment="1">
      <alignment horizontal="left" vertical="center" wrapText="1"/>
    </xf>
    <xf numFmtId="49" fontId="26" fillId="6" borderId="4" xfId="0" applyNumberFormat="1" applyFont="1" applyFill="1" applyBorder="1" applyAlignment="1" applyProtection="1">
      <alignment horizontal="center" vertical="center"/>
      <protection locked="0"/>
    </xf>
    <xf numFmtId="49" fontId="16" fillId="6" borderId="4" xfId="0" applyNumberFormat="1" applyFont="1" applyFill="1" applyBorder="1" applyAlignment="1" applyProtection="1">
      <alignment horizontal="left"/>
      <protection locked="0"/>
    </xf>
    <xf numFmtId="49" fontId="16" fillId="6" borderId="4" xfId="0" applyNumberFormat="1" applyFont="1" applyFill="1" applyBorder="1" applyAlignment="1" applyProtection="1">
      <alignment horizontal="center"/>
      <protection locked="0"/>
    </xf>
    <xf numFmtId="49" fontId="16" fillId="6" borderId="4" xfId="0" applyNumberFormat="1" applyFont="1" applyFill="1" applyBorder="1" applyAlignment="1" applyProtection="1">
      <protection locked="0"/>
    </xf>
    <xf numFmtId="49" fontId="16" fillId="6" borderId="4" xfId="0" applyNumberFormat="1" applyFont="1" applyFill="1" applyBorder="1" applyAlignment="1" applyProtection="1">
      <alignment horizontal="center" vertical="center"/>
      <protection locked="0"/>
    </xf>
    <xf numFmtId="49" fontId="16" fillId="6" borderId="4" xfId="8" applyNumberFormat="1" applyFont="1" applyFill="1" applyBorder="1" applyAlignment="1" applyProtection="1">
      <alignment horizontal="center" vertical="center" wrapText="1"/>
      <protection locked="0"/>
    </xf>
    <xf numFmtId="49" fontId="15" fillId="2" borderId="18" xfId="0" applyNumberFormat="1" applyFont="1" applyFill="1" applyBorder="1" applyAlignment="1" applyProtection="1">
      <alignment horizontal="center" vertical="center" wrapText="1"/>
      <protection locked="0"/>
    </xf>
    <xf numFmtId="0" fontId="15" fillId="2" borderId="18" xfId="0" applyNumberFormat="1" applyFont="1" applyFill="1" applyBorder="1" applyAlignment="1" applyProtection="1">
      <alignment horizontal="center" vertical="center" wrapText="1"/>
      <protection locked="0"/>
    </xf>
    <xf numFmtId="49" fontId="109" fillId="13" borderId="4" xfId="0" applyNumberFormat="1" applyFont="1" applyFill="1" applyBorder="1" applyAlignment="1" applyProtection="1">
      <alignment horizontal="center" vertical="center"/>
      <protection locked="0"/>
    </xf>
    <xf numFmtId="49" fontId="109" fillId="13" borderId="4" xfId="0" applyNumberFormat="1" applyFont="1" applyFill="1" applyBorder="1" applyAlignment="1" applyProtection="1">
      <alignment horizontal="center" vertical="center" wrapText="1"/>
      <protection locked="0"/>
    </xf>
    <xf numFmtId="49" fontId="139" fillId="12" borderId="4" xfId="3" applyNumberFormat="1" applyFont="1" applyBorder="1" applyAlignment="1">
      <alignment horizontal="center" vertical="center"/>
    </xf>
    <xf numFmtId="49" fontId="139" fillId="6" borderId="4" xfId="3" applyNumberFormat="1" applyFont="1" applyFill="1" applyBorder="1" applyAlignment="1">
      <alignment horizontal="center" vertical="center" wrapText="1"/>
    </xf>
    <xf numFmtId="49" fontId="109" fillId="12" borderId="4" xfId="3" applyNumberFormat="1" applyFont="1" applyBorder="1" applyAlignment="1">
      <alignment horizontal="center" vertical="center" wrapText="1"/>
    </xf>
    <xf numFmtId="49" fontId="139" fillId="12" borderId="4" xfId="3" applyNumberFormat="1" applyFont="1" applyBorder="1" applyAlignment="1">
      <alignment horizontal="center" vertical="center" wrapText="1"/>
    </xf>
    <xf numFmtId="49" fontId="139" fillId="12" borderId="4" xfId="3" applyNumberFormat="1" applyFont="1" applyBorder="1" applyAlignment="1">
      <alignment horizontal="left" vertical="center" wrapText="1"/>
    </xf>
    <xf numFmtId="49" fontId="16" fillId="13" borderId="4" xfId="0" applyNumberFormat="1" applyFont="1" applyFill="1" applyBorder="1" applyAlignment="1" applyProtection="1">
      <alignment horizontal="center" vertical="center"/>
      <protection locked="0"/>
    </xf>
    <xf numFmtId="0" fontId="62" fillId="12" borderId="0" xfId="4" applyFont="1">
      <alignment vertical="top"/>
      <protection locked="0"/>
    </xf>
    <xf numFmtId="49" fontId="38" fillId="6" borderId="4" xfId="0" applyNumberFormat="1" applyFont="1" applyFill="1" applyBorder="1" applyAlignment="1" applyProtection="1">
      <alignment horizontal="center"/>
      <protection locked="0"/>
    </xf>
    <xf numFmtId="49" fontId="38" fillId="6" borderId="4" xfId="0" applyNumberFormat="1" applyFont="1" applyFill="1" applyBorder="1" applyAlignment="1" applyProtection="1">
      <alignment horizontal="center" vertical="center"/>
      <protection locked="0"/>
    </xf>
    <xf numFmtId="49" fontId="38" fillId="6" borderId="4" xfId="0" applyNumberFormat="1" applyFont="1" applyFill="1" applyBorder="1" applyAlignment="1" applyProtection="1">
      <alignment horizontal="center" vertical="center" wrapText="1"/>
      <protection locked="0"/>
    </xf>
    <xf numFmtId="49" fontId="38" fillId="6" borderId="4" xfId="0" applyNumberFormat="1" applyFont="1" applyFill="1" applyBorder="1" applyAlignment="1" applyProtection="1">
      <alignment horizontal="left" vertical="center" wrapText="1"/>
      <protection locked="0"/>
    </xf>
    <xf numFmtId="49" fontId="16" fillId="8" borderId="4" xfId="0" applyNumberFormat="1" applyFont="1" applyFill="1" applyBorder="1" applyAlignment="1" applyProtection="1">
      <alignment horizontal="center"/>
      <protection locked="0"/>
    </xf>
    <xf numFmtId="49" fontId="26" fillId="8" borderId="4" xfId="0" applyNumberFormat="1" applyFont="1" applyFill="1" applyBorder="1" applyAlignment="1" applyProtection="1">
      <alignment horizontal="center" vertical="center"/>
      <protection locked="0"/>
    </xf>
    <xf numFmtId="49" fontId="16" fillId="8" borderId="4" xfId="0" applyNumberFormat="1" applyFont="1" applyFill="1" applyBorder="1" applyAlignment="1" applyProtection="1">
      <alignment horizontal="left"/>
      <protection locked="0"/>
    </xf>
    <xf numFmtId="49" fontId="16" fillId="8" borderId="4" xfId="0" applyNumberFormat="1" applyFont="1" applyFill="1" applyBorder="1" applyAlignment="1" applyProtection="1">
      <protection locked="0"/>
    </xf>
    <xf numFmtId="49" fontId="16" fillId="8" borderId="4" xfId="0" applyNumberFormat="1" applyFont="1" applyFill="1" applyBorder="1" applyAlignment="1" applyProtection="1">
      <alignment horizontal="center" vertical="center" wrapText="1"/>
      <protection locked="0"/>
    </xf>
    <xf numFmtId="49" fontId="16" fillId="8" borderId="4" xfId="0" applyNumberFormat="1" applyFont="1" applyFill="1" applyBorder="1" applyAlignment="1" applyProtection="1">
      <alignment horizontal="center" vertical="center"/>
      <protection locked="0"/>
    </xf>
    <xf numFmtId="49" fontId="13" fillId="19" borderId="4" xfId="0" applyNumberFormat="1" applyFont="1" applyFill="1" applyBorder="1" applyAlignment="1" applyProtection="1">
      <protection locked="0"/>
    </xf>
    <xf numFmtId="49" fontId="26" fillId="12" borderId="11" xfId="8" applyNumberFormat="1" applyFont="1" applyBorder="1" applyAlignment="1" applyProtection="1">
      <alignment horizontal="center" vertical="center"/>
      <protection locked="0"/>
    </xf>
    <xf numFmtId="49" fontId="16" fillId="12" borderId="11" xfId="8" applyNumberFormat="1" applyFont="1" applyBorder="1" applyAlignment="1" applyProtection="1">
      <alignment horizontal="center" vertical="center"/>
      <protection locked="0"/>
    </xf>
    <xf numFmtId="49" fontId="16" fillId="12" borderId="11" xfId="8" applyNumberFormat="1" applyFont="1" applyBorder="1" applyAlignment="1" applyProtection="1">
      <alignment horizontal="left" vertical="center" wrapText="1"/>
      <protection locked="0"/>
    </xf>
    <xf numFmtId="49" fontId="16" fillId="12" borderId="4" xfId="8" applyNumberFormat="1" applyFont="1" applyBorder="1" applyAlignment="1" applyProtection="1">
      <alignment horizontal="center" vertical="center" wrapText="1"/>
      <protection locked="0"/>
    </xf>
    <xf numFmtId="49" fontId="16" fillId="12" borderId="11" xfId="8" applyNumberFormat="1" applyFont="1" applyBorder="1" applyAlignment="1" applyProtection="1">
      <alignment horizontal="center" vertical="center" wrapText="1"/>
      <protection locked="0"/>
    </xf>
    <xf numFmtId="49" fontId="16" fillId="12" borderId="3" xfId="8" applyNumberFormat="1" applyFont="1" applyBorder="1" applyAlignment="1" applyProtection="1">
      <alignment horizontal="center" vertical="center"/>
      <protection locked="0"/>
    </xf>
    <xf numFmtId="49" fontId="26" fillId="12" borderId="4" xfId="8" applyNumberFormat="1" applyFont="1" applyBorder="1" applyAlignment="1" applyProtection="1">
      <alignment horizontal="center" vertical="center"/>
      <protection locked="0"/>
    </xf>
    <xf numFmtId="49" fontId="16" fillId="12" borderId="4" xfId="8" applyNumberFormat="1" applyFont="1" applyBorder="1" applyAlignment="1" applyProtection="1">
      <alignment horizontal="center" vertical="center"/>
      <protection locked="0"/>
    </xf>
    <xf numFmtId="49" fontId="9" fillId="12" borderId="4" xfId="91" applyNumberFormat="1" applyFont="1" applyBorder="1" applyAlignment="1" applyProtection="1">
      <alignment horizontal="center" vertical="center"/>
      <protection locked="0"/>
    </xf>
    <xf numFmtId="49" fontId="9" fillId="12" borderId="4" xfId="89" applyNumberFormat="1" applyFont="1" applyBorder="1" applyAlignment="1" applyProtection="1">
      <alignment horizontal="center" vertical="center"/>
      <protection locked="0"/>
    </xf>
    <xf numFmtId="49" fontId="16" fillId="12" borderId="4" xfId="8" applyNumberFormat="1" applyFont="1" applyBorder="1" applyAlignment="1" applyProtection="1">
      <alignment horizontal="left" vertical="center" wrapText="1"/>
      <protection locked="0"/>
    </xf>
    <xf numFmtId="49" fontId="16" fillId="12" borderId="17" xfId="8" applyNumberFormat="1" applyFont="1" applyBorder="1" applyAlignment="1" applyProtection="1">
      <alignment horizontal="center" vertical="center"/>
      <protection locked="0"/>
    </xf>
    <xf numFmtId="49" fontId="26" fillId="12" borderId="4" xfId="8" applyNumberFormat="1" applyFont="1" applyBorder="1" applyAlignment="1" applyProtection="1">
      <alignment horizontal="center"/>
      <protection locked="0"/>
    </xf>
    <xf numFmtId="49" fontId="16" fillId="12" borderId="4" xfId="8" applyNumberFormat="1" applyFont="1" applyBorder="1" applyAlignment="1" applyProtection="1">
      <alignment horizontal="center"/>
      <protection locked="0"/>
    </xf>
    <xf numFmtId="49" fontId="16" fillId="12" borderId="4" xfId="8" applyNumberFormat="1" applyFont="1" applyBorder="1" applyAlignment="1" applyProtection="1">
      <alignment horizontal="left"/>
      <protection locked="0"/>
    </xf>
    <xf numFmtId="49" fontId="13" fillId="12" borderId="4" xfId="8" applyNumberFormat="1" applyFont="1" applyBorder="1" applyAlignment="1" applyProtection="1">
      <alignment horizontal="center" vertical="center"/>
      <protection locked="0"/>
    </xf>
    <xf numFmtId="49" fontId="16" fillId="12" borderId="4" xfId="8" applyNumberFormat="1" applyFont="1" applyBorder="1" applyAlignment="1" applyProtection="1">
      <alignment horizontal="left" vertical="center"/>
      <protection locked="0"/>
    </xf>
    <xf numFmtId="49" fontId="13" fillId="12" borderId="4" xfId="8" applyNumberFormat="1" applyFont="1" applyBorder="1" applyAlignment="1" applyProtection="1">
      <alignment horizontal="center" vertical="center" wrapText="1"/>
      <protection locked="0"/>
    </xf>
    <xf numFmtId="49" fontId="16" fillId="12" borderId="4" xfId="8" applyNumberFormat="1" applyFont="1" applyBorder="1" applyAlignment="1" applyProtection="1">
      <alignment horizontal="center" wrapText="1"/>
      <protection locked="0"/>
    </xf>
    <xf numFmtId="49" fontId="16" fillId="12" borderId="4" xfId="8" applyNumberFormat="1" applyFont="1" applyBorder="1" applyAlignment="1" applyProtection="1">
      <protection locked="0"/>
    </xf>
    <xf numFmtId="49" fontId="16" fillId="12" borderId="4" xfId="8" applyNumberFormat="1" applyFont="1" applyBorder="1" applyAlignment="1" applyProtection="1">
      <alignment horizontal="left" wrapText="1"/>
      <protection locked="0"/>
    </xf>
    <xf numFmtId="49" fontId="38" fillId="12" borderId="4" xfId="8" applyNumberFormat="1" applyFont="1" applyBorder="1" applyAlignment="1" applyProtection="1">
      <alignment horizontal="center"/>
      <protection locked="0"/>
    </xf>
    <xf numFmtId="49" fontId="11" fillId="12" borderId="0" xfId="8" applyNumberFormat="1" applyFont="1" applyAlignment="1" applyProtection="1">
      <alignment horizontal="left" vertical="center" wrapText="1"/>
      <protection locked="0"/>
    </xf>
    <xf numFmtId="49" fontId="11" fillId="12" borderId="0" xfId="8" applyNumberFormat="1" applyFont="1" applyAlignment="1">
      <alignment vertical="center" wrapText="1"/>
    </xf>
    <xf numFmtId="49" fontId="30" fillId="12" borderId="0" xfId="8" applyNumberFormat="1" applyFont="1" applyAlignment="1">
      <alignment wrapText="1"/>
    </xf>
    <xf numFmtId="49" fontId="30" fillId="12" borderId="0" xfId="8" applyNumberFormat="1" applyFont="1" applyAlignment="1"/>
    <xf numFmtId="49" fontId="11" fillId="12" borderId="0" xfId="8" applyNumberFormat="1" applyFont="1" applyAlignment="1">
      <alignment horizontal="center" vertical="center" wrapText="1"/>
    </xf>
    <xf numFmtId="49" fontId="11" fillId="12" borderId="0" xfId="8" applyNumberFormat="1" applyFont="1" applyAlignment="1">
      <alignment horizontal="left" vertical="center" wrapText="1"/>
    </xf>
    <xf numFmtId="49" fontId="31" fillId="12" borderId="0" xfId="8" applyNumberFormat="1" applyFont="1" applyAlignment="1">
      <alignment vertical="center" wrapText="1"/>
    </xf>
    <xf numFmtId="49" fontId="12" fillId="10" borderId="4" xfId="8" applyNumberFormat="1" applyFont="1" applyFill="1" applyBorder="1" applyAlignment="1">
      <alignment horizontal="center" vertical="center" wrapText="1"/>
    </xf>
    <xf numFmtId="49" fontId="19" fillId="12" borderId="0" xfId="8" applyNumberFormat="1" applyFont="1" applyAlignment="1">
      <alignment horizontal="center" vertical="center" wrapText="1"/>
    </xf>
    <xf numFmtId="49" fontId="19" fillId="12" borderId="0" xfId="8" applyNumberFormat="1" applyFont="1" applyAlignment="1">
      <alignment vertical="center" wrapText="1"/>
    </xf>
    <xf numFmtId="49" fontId="12" fillId="9" borderId="4" xfId="8" applyNumberFormat="1" applyFont="1" applyFill="1" applyBorder="1" applyAlignment="1">
      <alignment horizontal="center" vertical="center" wrapText="1"/>
    </xf>
    <xf numFmtId="49" fontId="9" fillId="12" borderId="4" xfId="8" applyNumberFormat="1" applyFont="1" applyBorder="1" applyAlignment="1">
      <alignment horizontal="center" vertical="center"/>
    </xf>
    <xf numFmtId="49" fontId="12" fillId="12" borderId="4" xfId="8" applyNumberFormat="1" applyFont="1" applyBorder="1" applyAlignment="1">
      <alignment horizontal="left" vertical="center" wrapText="1"/>
    </xf>
    <xf numFmtId="49" fontId="30" fillId="12" borderId="0" xfId="8" applyNumberFormat="1" applyFont="1" applyAlignment="1">
      <alignment horizontal="center"/>
    </xf>
    <xf numFmtId="0" fontId="9" fillId="12" borderId="4" xfId="8" applyNumberFormat="1" applyFont="1" applyBorder="1" applyAlignment="1" applyProtection="1">
      <alignment horizontal="center" vertical="center" wrapText="1"/>
      <protection locked="0"/>
    </xf>
    <xf numFmtId="176" fontId="9" fillId="12" borderId="4" xfId="8" applyFont="1" applyBorder="1" applyAlignment="1">
      <alignment horizontal="center" vertical="center" wrapText="1"/>
    </xf>
    <xf numFmtId="176" fontId="26" fillId="12" borderId="0" xfId="8" applyFont="1" applyAlignment="1">
      <alignment vertical="center" wrapText="1"/>
    </xf>
    <xf numFmtId="49" fontId="29" fillId="12" borderId="0" xfId="8" applyNumberFormat="1" applyFont="1" applyAlignment="1" applyProtection="1">
      <alignment wrapText="1"/>
      <protection locked="0"/>
    </xf>
    <xf numFmtId="49" fontId="13" fillId="12" borderId="0" xfId="8" applyNumberFormat="1" applyFont="1" applyAlignment="1" applyProtection="1">
      <protection locked="0"/>
    </xf>
    <xf numFmtId="49" fontId="15" fillId="2" borderId="4" xfId="8" applyNumberFormat="1" applyFont="1" applyFill="1" applyBorder="1" applyAlignment="1" applyProtection="1">
      <alignment horizontal="center" vertical="center" wrapText="1"/>
      <protection locked="0"/>
    </xf>
    <xf numFmtId="49" fontId="16" fillId="13" borderId="4" xfId="8" applyNumberFormat="1" applyFont="1" applyFill="1" applyBorder="1" applyAlignment="1" applyProtection="1">
      <alignment horizontal="center" vertical="center" wrapText="1"/>
      <protection locked="0"/>
    </xf>
    <xf numFmtId="49" fontId="18" fillId="12" borderId="0" xfId="8" applyNumberFormat="1" applyFont="1" applyAlignment="1" applyProtection="1">
      <alignment horizontal="left" vertical="center" wrapText="1"/>
      <protection locked="0"/>
    </xf>
    <xf numFmtId="49" fontId="11" fillId="12" borderId="0" xfId="8" applyNumberFormat="1" applyFont="1" applyAlignment="1" applyProtection="1">
      <alignment horizontal="left" wrapText="1"/>
      <protection locked="0"/>
    </xf>
    <xf numFmtId="49" fontId="13" fillId="12" borderId="0" xfId="8" applyNumberFormat="1" applyFont="1" applyAlignment="1" applyProtection="1">
      <alignment wrapText="1"/>
      <protection locked="0"/>
    </xf>
    <xf numFmtId="49" fontId="11" fillId="12" borderId="0" xfId="8" applyNumberFormat="1" applyFont="1" applyAlignment="1" applyProtection="1">
      <alignment horizontal="center" vertical="center" wrapText="1"/>
      <protection locked="0"/>
    </xf>
    <xf numFmtId="49" fontId="13" fillId="12" borderId="4" xfId="8" applyNumberFormat="1" applyFont="1" applyBorder="1" applyAlignment="1" applyProtection="1">
      <alignment wrapText="1"/>
      <protection locked="0"/>
    </xf>
    <xf numFmtId="49" fontId="64" fillId="12" borderId="0" xfId="8" applyNumberFormat="1" applyFont="1" applyAlignment="1" applyProtection="1">
      <alignment wrapText="1"/>
      <protection locked="0"/>
    </xf>
    <xf numFmtId="49" fontId="13" fillId="6" borderId="0" xfId="8" applyNumberFormat="1" applyFont="1" applyFill="1" applyAlignment="1" applyProtection="1">
      <alignment wrapText="1"/>
      <protection locked="0"/>
    </xf>
    <xf numFmtId="49" fontId="140" fillId="12" borderId="16" xfId="8" applyNumberFormat="1" applyFont="1" applyBorder="1" applyAlignment="1" applyProtection="1">
      <alignment vertical="center" wrapText="1"/>
      <protection locked="0"/>
    </xf>
    <xf numFmtId="49" fontId="13" fillId="12" borderId="16" xfId="8" applyNumberFormat="1" applyFont="1" applyBorder="1" applyAlignment="1" applyProtection="1">
      <alignment wrapText="1"/>
      <protection locked="0"/>
    </xf>
    <xf numFmtId="49" fontId="13" fillId="12" borderId="0" xfId="8" applyNumberFormat="1" applyFont="1" applyAlignment="1" applyProtection="1">
      <alignment horizontal="center" vertical="center" wrapText="1"/>
      <protection locked="0"/>
    </xf>
    <xf numFmtId="49" fontId="16" fillId="12" borderId="4" xfId="8" applyNumberFormat="1" applyFont="1" applyBorder="1" applyAlignment="1" applyProtection="1">
      <alignment vertical="center" wrapText="1"/>
      <protection locked="0"/>
    </xf>
    <xf numFmtId="49" fontId="16" fillId="20" borderId="4" xfId="8" applyNumberFormat="1" applyFont="1" applyFill="1" applyBorder="1" applyAlignment="1" applyProtection="1">
      <alignment horizontal="center" vertical="center" wrapText="1"/>
      <protection locked="0"/>
    </xf>
    <xf numFmtId="49" fontId="16" fillId="0" borderId="4" xfId="0" applyNumberFormat="1" applyFont="1" applyBorder="1" applyAlignment="1" applyProtection="1">
      <alignment horizontal="center" vertical="top" wrapText="1"/>
      <protection locked="0"/>
    </xf>
    <xf numFmtId="0" fontId="38" fillId="6" borderId="4" xfId="0" quotePrefix="1" applyNumberFormat="1" applyFont="1" applyFill="1" applyBorder="1" applyAlignment="1" applyProtection="1">
      <alignment horizontal="center" wrapText="1"/>
      <protection locked="0"/>
    </xf>
    <xf numFmtId="0" fontId="38" fillId="6" borderId="4" xfId="0" quotePrefix="1" applyNumberFormat="1" applyFont="1" applyFill="1" applyBorder="1" applyAlignment="1" applyProtection="1">
      <alignment horizontal="center"/>
      <protection locked="0"/>
    </xf>
    <xf numFmtId="49" fontId="26" fillId="14" borderId="11" xfId="8" applyNumberFormat="1" applyFont="1" applyFill="1" applyBorder="1" applyAlignment="1" applyProtection="1">
      <alignment horizontal="center" vertical="center"/>
      <protection locked="0"/>
    </xf>
    <xf numFmtId="49" fontId="16" fillId="6" borderId="4" xfId="0" applyNumberFormat="1" applyFont="1" applyFill="1" applyBorder="1" applyAlignment="1" applyProtection="1">
      <alignment horizontal="left" vertical="center"/>
      <protection locked="0"/>
    </xf>
    <xf numFmtId="49" fontId="38" fillId="6" borderId="4" xfId="0" applyNumberFormat="1" applyFont="1" applyFill="1" applyBorder="1" applyAlignment="1" applyProtection="1">
      <alignment horizontal="left" vertical="center"/>
      <protection locked="0"/>
    </xf>
    <xf numFmtId="49" fontId="56" fillId="6" borderId="4" xfId="8" applyNumberFormat="1" applyFont="1" applyFill="1" applyBorder="1" applyAlignment="1" applyProtection="1">
      <alignment horizontal="center"/>
      <protection locked="0"/>
    </xf>
    <xf numFmtId="49" fontId="16" fillId="14" borderId="4" xfId="8" applyNumberFormat="1" applyFont="1" applyFill="1" applyBorder="1" applyAlignment="1" applyProtection="1">
      <alignment horizontal="center" vertical="center"/>
      <protection locked="0"/>
    </xf>
    <xf numFmtId="49" fontId="38" fillId="6" borderId="4" xfId="8" applyNumberFormat="1" applyFont="1" applyFill="1" applyBorder="1" applyAlignment="1" applyProtection="1">
      <alignment horizontal="center"/>
      <protection locked="0"/>
    </xf>
    <xf numFmtId="49" fontId="16" fillId="14" borderId="4" xfId="8" applyNumberFormat="1" applyFont="1" applyFill="1" applyBorder="1" applyAlignment="1" applyProtection="1">
      <alignment horizontal="center"/>
      <protection locked="0"/>
    </xf>
    <xf numFmtId="49" fontId="26" fillId="14" borderId="4" xfId="8" applyNumberFormat="1" applyFont="1" applyFill="1" applyBorder="1" applyAlignment="1" applyProtection="1">
      <alignment horizontal="center" vertical="center"/>
      <protection locked="0"/>
    </xf>
    <xf numFmtId="49" fontId="13" fillId="14" borderId="4" xfId="8" applyNumberFormat="1" applyFont="1" applyFill="1" applyBorder="1" applyAlignment="1" applyProtection="1">
      <alignment horizontal="center" vertical="center"/>
      <protection locked="0"/>
    </xf>
    <xf numFmtId="49" fontId="16" fillId="6" borderId="4" xfId="8" applyNumberFormat="1" applyFont="1" applyFill="1" applyBorder="1" applyAlignment="1" applyProtection="1">
      <alignment horizontal="left" vertical="center" wrapText="1"/>
      <protection locked="0"/>
    </xf>
    <xf numFmtId="49" fontId="16" fillId="14" borderId="11" xfId="8" applyNumberFormat="1" applyFont="1" applyFill="1" applyBorder="1" applyAlignment="1" applyProtection="1">
      <alignment horizontal="center" vertical="center" wrapText="1"/>
      <protection locked="0"/>
    </xf>
    <xf numFmtId="49" fontId="109" fillId="0" borderId="4" xfId="0" applyNumberFormat="1" applyFont="1" applyBorder="1" applyAlignment="1" applyProtection="1">
      <alignment horizontal="center" vertical="center"/>
      <protection locked="0"/>
    </xf>
    <xf numFmtId="49" fontId="109" fillId="0" borderId="4" xfId="0" applyNumberFormat="1" applyFont="1" applyBorder="1" applyAlignment="1" applyProtection="1">
      <alignment horizontal="center" vertical="center" wrapText="1"/>
      <protection locked="0"/>
    </xf>
    <xf numFmtId="49" fontId="16" fillId="0" borderId="4" xfId="0" applyNumberFormat="1" applyFont="1" applyBorder="1" applyAlignment="1" applyProtection="1">
      <alignment horizontal="left" vertical="center"/>
      <protection locked="0"/>
    </xf>
    <xf numFmtId="49" fontId="48" fillId="0" borderId="4" xfId="1" applyNumberFormat="1" applyFont="1" applyBorder="1" applyAlignment="1">
      <alignment horizontal="center" vertical="center" wrapText="1"/>
      <protection locked="0"/>
    </xf>
    <xf numFmtId="49" fontId="48" fillId="0" borderId="4" xfId="1" applyNumberFormat="1" applyFont="1" applyBorder="1" applyAlignment="1">
      <alignment horizontal="left" vertical="center" wrapText="1"/>
      <protection locked="0"/>
    </xf>
    <xf numFmtId="49" fontId="143" fillId="0" borderId="4" xfId="0" applyNumberFormat="1" applyFont="1" applyBorder="1" applyAlignment="1" applyProtection="1">
      <alignment horizontal="left" vertical="center"/>
      <protection locked="0"/>
    </xf>
    <xf numFmtId="49" fontId="138" fillId="0" borderId="4" xfId="0" applyNumberFormat="1" applyFont="1" applyBorder="1" applyAlignment="1" applyProtection="1">
      <alignment horizontal="center" vertical="center" wrapText="1"/>
      <protection locked="0"/>
    </xf>
    <xf numFmtId="49" fontId="16" fillId="0" borderId="4" xfId="0" applyNumberFormat="1" applyFont="1" applyBorder="1" applyAlignment="1" applyProtection="1">
      <alignment horizontal="left" wrapText="1"/>
      <protection locked="0"/>
    </xf>
    <xf numFmtId="49" fontId="13" fillId="8" borderId="4" xfId="0" applyNumberFormat="1" applyFont="1" applyFill="1" applyBorder="1" applyAlignment="1" applyProtection="1">
      <alignment horizontal="center"/>
      <protection locked="0"/>
    </xf>
    <xf numFmtId="49" fontId="13" fillId="8" borderId="4" xfId="0" applyNumberFormat="1" applyFont="1" applyFill="1" applyBorder="1" applyAlignment="1" applyProtection="1">
      <alignment wrapText="1"/>
      <protection locked="0"/>
    </xf>
    <xf numFmtId="49" fontId="13" fillId="8" borderId="4" xfId="0" applyNumberFormat="1" applyFont="1" applyFill="1" applyBorder="1" applyAlignment="1" applyProtection="1">
      <protection locked="0"/>
    </xf>
    <xf numFmtId="49" fontId="16" fillId="8" borderId="4" xfId="0" applyNumberFormat="1" applyFont="1" applyFill="1" applyBorder="1" applyAlignment="1" applyProtection="1">
      <alignment wrapText="1"/>
      <protection locked="0"/>
    </xf>
    <xf numFmtId="49" fontId="9" fillId="13" borderId="11" xfId="0" applyNumberFormat="1" applyFont="1" applyFill="1" applyBorder="1" applyAlignment="1" applyProtection="1">
      <alignment horizontal="center" vertical="center"/>
      <protection locked="0"/>
    </xf>
    <xf numFmtId="49" fontId="140" fillId="12" borderId="4" xfId="8" applyNumberFormat="1" applyFont="1" applyBorder="1" applyAlignment="1" applyProtection="1">
      <alignment horizontal="center" vertical="center" wrapText="1"/>
      <protection locked="0"/>
    </xf>
    <xf numFmtId="0" fontId="40" fillId="12" borderId="4" xfId="8" applyNumberFormat="1" applyBorder="1" applyAlignment="1">
      <alignment horizontal="center"/>
    </xf>
    <xf numFmtId="49" fontId="12" fillId="12" borderId="4" xfId="8" applyNumberFormat="1" applyFont="1" applyBorder="1" applyAlignment="1" applyProtection="1">
      <alignment horizontal="center" vertical="center"/>
      <protection locked="0"/>
    </xf>
    <xf numFmtId="49" fontId="30" fillId="12" borderId="4" xfId="8" applyNumberFormat="1" applyFont="1" applyBorder="1" applyAlignment="1"/>
    <xf numFmtId="49" fontId="9" fillId="12" borderId="4" xfId="8" applyNumberFormat="1" applyFont="1" applyBorder="1" applyAlignment="1">
      <alignment horizontal="center"/>
    </xf>
    <xf numFmtId="0" fontId="140" fillId="12" borderId="4" xfId="8" applyNumberFormat="1" applyFont="1" applyBorder="1" applyAlignment="1">
      <alignment horizontal="center"/>
    </xf>
    <xf numFmtId="49" fontId="32" fillId="12" borderId="4" xfId="8" applyNumberFormat="1" applyFont="1" applyBorder="1" applyAlignment="1">
      <alignment horizontal="center" vertical="center"/>
    </xf>
    <xf numFmtId="49" fontId="9" fillId="12" borderId="29" xfId="8" applyNumberFormat="1" applyFont="1" applyBorder="1" applyAlignment="1" applyProtection="1">
      <alignment horizontal="center" vertical="center"/>
      <protection locked="0"/>
    </xf>
    <xf numFmtId="49" fontId="9" fillId="12" borderId="30" xfId="8" applyNumberFormat="1" applyFont="1" applyBorder="1" applyAlignment="1" applyProtection="1">
      <alignment horizontal="center" vertical="center"/>
      <protection locked="0"/>
    </xf>
    <xf numFmtId="49" fontId="9" fillId="12" borderId="30" xfId="8" applyNumberFormat="1" applyFont="1" applyBorder="1" applyAlignment="1" applyProtection="1">
      <alignment horizontal="center"/>
      <protection locked="0"/>
    </xf>
    <xf numFmtId="49" fontId="9" fillId="12" borderId="4" xfId="8" applyNumberFormat="1" applyFont="1" applyBorder="1" applyAlignment="1" applyProtection="1">
      <alignment horizontal="center"/>
      <protection locked="0"/>
    </xf>
    <xf numFmtId="49" fontId="9" fillId="12" borderId="4" xfId="8" applyNumberFormat="1" applyFont="1" applyBorder="1" applyAlignment="1" applyProtection="1">
      <alignment horizontal="center" wrapText="1"/>
      <protection locked="0"/>
    </xf>
    <xf numFmtId="0" fontId="9" fillId="12" borderId="4" xfId="8" applyNumberFormat="1" applyFont="1" applyBorder="1" applyAlignment="1">
      <alignment horizontal="center" vertical="center"/>
    </xf>
    <xf numFmtId="49" fontId="12" fillId="12" borderId="4" xfId="8" applyNumberFormat="1" applyFont="1" applyBorder="1" applyAlignment="1">
      <alignment horizontal="center" vertical="center"/>
    </xf>
    <xf numFmtId="49" fontId="16" fillId="12" borderId="4" xfId="446" applyNumberFormat="1" applyFont="1" applyBorder="1" applyAlignment="1" applyProtection="1">
      <alignment horizontal="center" vertical="center" wrapText="1"/>
      <protection locked="0"/>
    </xf>
    <xf numFmtId="49" fontId="16" fillId="12" borderId="4" xfId="446" applyNumberFormat="1" applyFont="1" applyBorder="1" applyAlignment="1" applyProtection="1">
      <alignment horizontal="left" vertical="center" wrapText="1"/>
      <protection locked="0"/>
    </xf>
    <xf numFmtId="49" fontId="16" fillId="12" borderId="4" xfId="12" applyNumberFormat="1" applyFont="1" applyBorder="1" applyAlignment="1" applyProtection="1">
      <alignment horizontal="left" vertical="center" wrapText="1"/>
      <protection locked="0"/>
    </xf>
    <xf numFmtId="49" fontId="16" fillId="12" borderId="4" xfId="641" applyNumberFormat="1" applyFont="1" applyBorder="1" applyAlignment="1" applyProtection="1">
      <alignment horizontal="center" vertical="center" wrapText="1"/>
      <protection locked="0"/>
    </xf>
    <xf numFmtId="49" fontId="16" fillId="12" borderId="4" xfId="641" applyNumberFormat="1" applyFont="1" applyBorder="1" applyAlignment="1" applyProtection="1">
      <alignment horizontal="left" vertical="center" wrapText="1"/>
      <protection locked="0"/>
    </xf>
    <xf numFmtId="49" fontId="116" fillId="12" borderId="4" xfId="8" applyNumberFormat="1" applyFont="1" applyBorder="1" applyAlignment="1" applyProtection="1">
      <alignment horizontal="center" vertical="center" wrapText="1"/>
      <protection locked="0"/>
    </xf>
    <xf numFmtId="0" fontId="116" fillId="12" borderId="4" xfId="8" applyNumberFormat="1" applyFont="1" applyBorder="1" applyAlignment="1" applyProtection="1">
      <alignment horizontal="center" vertical="center" wrapText="1"/>
      <protection locked="0"/>
    </xf>
    <xf numFmtId="49" fontId="13" fillId="12" borderId="4" xfId="8" applyNumberFormat="1" applyFont="1" applyBorder="1" applyAlignment="1" applyProtection="1">
      <alignment horizontal="left" vertical="center" wrapText="1"/>
      <protection locked="0"/>
    </xf>
    <xf numFmtId="49" fontId="13" fillId="12" borderId="4" xfId="8" applyNumberFormat="1" applyFont="1" applyBorder="1" applyAlignment="1" applyProtection="1">
      <alignment vertical="center" wrapText="1"/>
      <protection locked="0"/>
    </xf>
    <xf numFmtId="49" fontId="73" fillId="12" borderId="4" xfId="8" applyNumberFormat="1" applyFont="1" applyBorder="1" applyAlignment="1" applyProtection="1">
      <alignment horizontal="left" vertical="center" wrapText="1"/>
      <protection locked="0"/>
    </xf>
    <xf numFmtId="49" fontId="90" fillId="12" borderId="4" xfId="8" applyNumberFormat="1" applyFont="1" applyBorder="1" applyAlignment="1" applyProtection="1">
      <alignment horizontal="left" vertical="center" wrapText="1"/>
      <protection locked="0"/>
    </xf>
    <xf numFmtId="49" fontId="91" fillId="12" borderId="4" xfId="8" applyNumberFormat="1" applyFont="1" applyBorder="1" applyAlignment="1" applyProtection="1">
      <alignment horizontal="left" vertical="center" wrapText="1"/>
      <protection locked="0"/>
    </xf>
    <xf numFmtId="49" fontId="128" fillId="12" borderId="4" xfId="8" applyNumberFormat="1" applyFont="1" applyBorder="1" applyAlignment="1" applyProtection="1">
      <alignment horizontal="left" vertical="center" wrapText="1"/>
      <protection locked="0"/>
    </xf>
    <xf numFmtId="49" fontId="129" fillId="12" borderId="4" xfId="8" applyNumberFormat="1" applyFont="1" applyBorder="1" applyAlignment="1" applyProtection="1">
      <alignment horizontal="left" vertical="center" wrapText="1"/>
      <protection locked="0"/>
    </xf>
    <xf numFmtId="49" fontId="133" fillId="12" borderId="4" xfId="8" applyNumberFormat="1" applyFont="1" applyBorder="1" applyAlignment="1" applyProtection="1">
      <alignment horizontal="left" vertical="center" wrapText="1"/>
      <protection locked="0"/>
    </xf>
    <xf numFmtId="49" fontId="13" fillId="12" borderId="4" xfId="441" applyNumberFormat="1" applyFont="1" applyBorder="1" applyAlignment="1" applyProtection="1">
      <alignment horizontal="center" vertical="center" wrapText="1"/>
      <protection locked="0"/>
    </xf>
    <xf numFmtId="49" fontId="13" fillId="12" borderId="4" xfId="8" applyNumberFormat="1" applyFont="1" applyBorder="1" applyAlignment="1" applyProtection="1">
      <alignment horizontal="left" vertical="center"/>
      <protection locked="0"/>
    </xf>
    <xf numFmtId="49" fontId="13" fillId="12" borderId="4" xfId="441" applyNumberFormat="1" applyFont="1" applyBorder="1" applyAlignment="1" applyProtection="1">
      <alignment horizontal="left" vertical="center" wrapText="1"/>
      <protection locked="0"/>
    </xf>
    <xf numFmtId="49" fontId="13" fillId="12" borderId="4" xfId="447" applyNumberFormat="1" applyFont="1" applyBorder="1" applyAlignment="1" applyProtection="1">
      <alignment horizontal="center" vertical="center" wrapText="1"/>
      <protection locked="0"/>
    </xf>
    <xf numFmtId="49" fontId="73" fillId="12" borderId="4" xfId="10" applyNumberFormat="1" applyFont="1" applyBorder="1" applyAlignment="1" applyProtection="1">
      <alignment horizontal="left" vertical="center" wrapText="1"/>
      <protection locked="0"/>
    </xf>
    <xf numFmtId="49" fontId="73" fillId="12" borderId="4" xfId="10" applyNumberFormat="1" applyFont="1" applyBorder="1" applyAlignment="1" applyProtection="1">
      <alignment vertical="center" wrapText="1"/>
      <protection locked="0"/>
    </xf>
    <xf numFmtId="49" fontId="105" fillId="12" borderId="4" xfId="8" applyNumberFormat="1" applyFont="1" applyBorder="1" applyAlignment="1" applyProtection="1">
      <alignment vertical="center" wrapText="1"/>
      <protection locked="0"/>
    </xf>
    <xf numFmtId="49" fontId="90" fillId="12" borderId="4" xfId="8" applyNumberFormat="1" applyFont="1" applyBorder="1" applyAlignment="1" applyProtection="1">
      <alignment vertical="center" wrapText="1"/>
      <protection locked="0"/>
    </xf>
    <xf numFmtId="176" fontId="73" fillId="12" borderId="4" xfId="10" applyFont="1" applyBorder="1" applyAlignment="1">
      <alignment vertical="center" wrapText="1"/>
    </xf>
    <xf numFmtId="49" fontId="73" fillId="12" borderId="4" xfId="10" applyNumberFormat="1" applyFont="1" applyBorder="1" applyAlignment="1" applyProtection="1">
      <alignment horizontal="center" vertical="center" wrapText="1"/>
      <protection locked="0"/>
    </xf>
    <xf numFmtId="176" fontId="73" fillId="12" borderId="4" xfId="10" applyFont="1" applyBorder="1" applyAlignment="1">
      <alignment horizontal="left" vertical="center" wrapText="1"/>
    </xf>
    <xf numFmtId="0" fontId="40" fillId="12" borderId="4" xfId="8" applyNumberFormat="1" applyBorder="1" applyAlignment="1">
      <alignment wrapText="1"/>
    </xf>
    <xf numFmtId="49" fontId="123" fillId="12" borderId="4" xfId="8" applyNumberFormat="1" applyFont="1" applyBorder="1" applyAlignment="1" applyProtection="1">
      <alignment horizontal="left" vertical="center" wrapText="1"/>
      <protection locked="0"/>
    </xf>
    <xf numFmtId="49" fontId="118" fillId="12" borderId="4" xfId="8" applyNumberFormat="1" applyFont="1" applyBorder="1" applyAlignment="1" applyProtection="1">
      <alignment horizontal="left" vertical="center" wrapText="1"/>
      <protection locked="0"/>
    </xf>
    <xf numFmtId="49" fontId="13" fillId="12" borderId="4" xfId="441" applyNumberFormat="1" applyFont="1" applyBorder="1" applyAlignment="1" applyProtection="1">
      <alignment vertical="center" wrapText="1"/>
      <protection locked="0"/>
    </xf>
    <xf numFmtId="0" fontId="13" fillId="12" borderId="4" xfId="441" applyNumberFormat="1" applyFont="1" applyBorder="1" applyAlignment="1">
      <alignment vertical="center" wrapText="1"/>
    </xf>
    <xf numFmtId="49" fontId="13" fillId="12" borderId="4" xfId="636" applyNumberFormat="1" applyFont="1" applyBorder="1" applyAlignment="1" applyProtection="1">
      <alignment horizontal="center" vertical="center" wrapText="1"/>
      <protection locked="0"/>
    </xf>
    <xf numFmtId="0" fontId="120" fillId="12" borderId="4" xfId="441" applyNumberFormat="1" applyFont="1" applyBorder="1" applyAlignment="1">
      <alignment horizontal="left" vertical="center" wrapText="1"/>
    </xf>
    <xf numFmtId="49" fontId="13" fillId="12" borderId="4" xfId="447" applyNumberFormat="1" applyFont="1" applyBorder="1" applyAlignment="1" applyProtection="1">
      <alignment horizontal="left" vertical="center" wrapText="1"/>
      <protection locked="0"/>
    </xf>
    <xf numFmtId="49" fontId="13" fillId="12" borderId="4" xfId="447" applyNumberFormat="1" applyFont="1" applyBorder="1" applyAlignment="1" applyProtection="1">
      <alignment vertical="center" wrapText="1"/>
      <protection locked="0"/>
    </xf>
    <xf numFmtId="49" fontId="118" fillId="12" borderId="4" xfId="447" applyNumberFormat="1" applyFont="1" applyBorder="1" applyAlignment="1" applyProtection="1">
      <alignment horizontal="left" vertical="center" wrapText="1"/>
      <protection locked="0"/>
    </xf>
    <xf numFmtId="49" fontId="13" fillId="12" borderId="4" xfId="446" applyNumberFormat="1" applyFont="1" applyBorder="1" applyAlignment="1" applyProtection="1">
      <alignment horizontal="center" vertical="center" wrapText="1"/>
      <protection locked="0"/>
    </xf>
    <xf numFmtId="49" fontId="13" fillId="12" borderId="4" xfId="446" applyNumberFormat="1" applyFont="1" applyBorder="1" applyAlignment="1" applyProtection="1">
      <alignment horizontal="left" vertical="center" wrapText="1"/>
      <protection locked="0"/>
    </xf>
    <xf numFmtId="49" fontId="90" fillId="12" borderId="4" xfId="446" applyNumberFormat="1" applyFont="1" applyBorder="1" applyAlignment="1" applyProtection="1">
      <alignment horizontal="left" vertical="center" wrapText="1"/>
      <protection locked="0"/>
    </xf>
    <xf numFmtId="49" fontId="134" fillId="12" borderId="4" xfId="446" applyNumberFormat="1" applyFont="1" applyBorder="1" applyAlignment="1" applyProtection="1">
      <alignment horizontal="left" vertical="center" wrapText="1"/>
      <protection locked="0"/>
    </xf>
    <xf numFmtId="49" fontId="73" fillId="12" borderId="4" xfId="446" applyNumberFormat="1" applyFont="1" applyBorder="1" applyAlignment="1" applyProtection="1">
      <alignment horizontal="left" vertical="center" wrapText="1"/>
      <protection locked="0"/>
    </xf>
    <xf numFmtId="49" fontId="13" fillId="12" borderId="4" xfId="446" applyNumberFormat="1" applyFont="1" applyBorder="1" applyAlignment="1" applyProtection="1">
      <alignment vertical="center" wrapText="1"/>
      <protection locked="0"/>
    </xf>
    <xf numFmtId="49" fontId="13" fillId="12" borderId="4" xfId="12" applyNumberFormat="1" applyFont="1" applyBorder="1" applyAlignment="1" applyProtection="1">
      <alignment horizontal="left" vertical="center" wrapText="1"/>
      <protection locked="0"/>
    </xf>
    <xf numFmtId="49" fontId="91" fillId="12" borderId="4" xfId="12" applyNumberFormat="1" applyFont="1" applyBorder="1" applyAlignment="1" applyProtection="1">
      <alignment horizontal="left" vertical="center" wrapText="1"/>
      <protection locked="0"/>
    </xf>
    <xf numFmtId="49" fontId="118" fillId="12" borderId="4" xfId="446" applyNumberFormat="1" applyFont="1" applyBorder="1" applyAlignment="1" applyProtection="1">
      <alignment horizontal="left" vertical="center" wrapText="1"/>
      <protection locked="0"/>
    </xf>
    <xf numFmtId="49" fontId="13" fillId="12" borderId="4" xfId="638" applyNumberFormat="1" applyFont="1" applyBorder="1" applyAlignment="1" applyProtection="1">
      <alignment horizontal="left" vertical="center" wrapText="1"/>
      <protection locked="0"/>
    </xf>
    <xf numFmtId="49" fontId="13" fillId="12" borderId="4" xfId="638" applyNumberFormat="1" applyFont="1" applyBorder="1" applyAlignment="1" applyProtection="1">
      <alignment vertical="center" wrapText="1"/>
      <protection locked="0"/>
    </xf>
    <xf numFmtId="49" fontId="13" fillId="12" borderId="4" xfId="636" applyNumberFormat="1" applyFont="1" applyBorder="1" applyAlignment="1" applyProtection="1">
      <alignment horizontal="left" vertical="center" wrapText="1"/>
      <protection locked="0"/>
    </xf>
    <xf numFmtId="49" fontId="13" fillId="12" borderId="4" xfId="636" applyNumberFormat="1" applyFont="1" applyBorder="1" applyAlignment="1" applyProtection="1">
      <alignment vertical="center" wrapText="1"/>
      <protection locked="0"/>
    </xf>
    <xf numFmtId="49" fontId="13" fillId="12" borderId="4" xfId="639" applyNumberFormat="1" applyFont="1" applyBorder="1" applyAlignment="1" applyProtection="1">
      <alignment horizontal="left" vertical="center" wrapText="1"/>
      <protection locked="0"/>
    </xf>
    <xf numFmtId="49" fontId="13" fillId="12" borderId="4" xfId="639" applyNumberFormat="1" applyFont="1" applyBorder="1" applyAlignment="1" applyProtection="1">
      <alignment vertical="center" wrapText="1"/>
      <protection locked="0"/>
    </xf>
    <xf numFmtId="49" fontId="105" fillId="12" borderId="4" xfId="639" applyNumberFormat="1" applyFont="1" applyBorder="1" applyAlignment="1" applyProtection="1">
      <alignment horizontal="left" vertical="center" wrapText="1"/>
      <protection locked="0"/>
    </xf>
    <xf numFmtId="49" fontId="13" fillId="12" borderId="4" xfId="640" applyNumberFormat="1" applyFont="1" applyBorder="1" applyAlignment="1" applyProtection="1">
      <alignment horizontal="left" vertical="center" wrapText="1"/>
      <protection locked="0"/>
    </xf>
    <xf numFmtId="49" fontId="13" fillId="12" borderId="4" xfId="640" applyNumberFormat="1" applyFont="1" applyBorder="1" applyAlignment="1" applyProtection="1">
      <alignment vertical="center" wrapText="1"/>
      <protection locked="0"/>
    </xf>
    <xf numFmtId="49" fontId="105" fillId="12" borderId="4" xfId="640" applyNumberFormat="1" applyFont="1" applyBorder="1" applyAlignment="1" applyProtection="1">
      <alignment horizontal="left" vertical="center" wrapText="1"/>
      <protection locked="0"/>
    </xf>
    <xf numFmtId="49" fontId="13" fillId="12" borderId="4" xfId="637" applyNumberFormat="1" applyFont="1" applyBorder="1" applyAlignment="1" applyProtection="1">
      <alignment horizontal="left" vertical="center" wrapText="1"/>
      <protection locked="0"/>
    </xf>
    <xf numFmtId="49" fontId="13" fillId="12" borderId="4" xfId="637" applyNumberFormat="1" applyFont="1" applyBorder="1" applyAlignment="1" applyProtection="1">
      <alignment vertical="center" wrapText="1"/>
      <protection locked="0"/>
    </xf>
    <xf numFmtId="49" fontId="105" fillId="12" borderId="4" xfId="637" applyNumberFormat="1" applyFont="1" applyBorder="1" applyAlignment="1" applyProtection="1">
      <alignment horizontal="left" vertical="center" wrapText="1"/>
      <protection locked="0"/>
    </xf>
    <xf numFmtId="49" fontId="118" fillId="12" borderId="4" xfId="637" applyNumberFormat="1" applyFont="1" applyBorder="1" applyAlignment="1" applyProtection="1">
      <alignment horizontal="left" vertical="center" wrapText="1"/>
      <protection locked="0"/>
    </xf>
    <xf numFmtId="49" fontId="13" fillId="12" borderId="4" xfId="641" applyNumberFormat="1" applyFont="1" applyBorder="1" applyAlignment="1" applyProtection="1">
      <alignment horizontal="center" vertical="center" wrapText="1"/>
      <protection locked="0"/>
    </xf>
    <xf numFmtId="49" fontId="13" fillId="12" borderId="4" xfId="641" applyNumberFormat="1" applyFont="1" applyBorder="1" applyAlignment="1" applyProtection="1">
      <alignment horizontal="left" vertical="center" wrapText="1"/>
      <protection locked="0"/>
    </xf>
    <xf numFmtId="49" fontId="13" fillId="12" borderId="4" xfId="641" applyNumberFormat="1" applyFont="1" applyBorder="1" applyAlignment="1" applyProtection="1">
      <alignment vertical="center" wrapText="1"/>
      <protection locked="0"/>
    </xf>
    <xf numFmtId="49" fontId="90" fillId="12" borderId="4" xfId="12" applyNumberFormat="1" applyFont="1" applyBorder="1" applyAlignment="1" applyProtection="1">
      <alignment horizontal="left" vertical="center" wrapText="1"/>
      <protection locked="0"/>
    </xf>
    <xf numFmtId="49" fontId="73" fillId="12" borderId="4" xfId="12" applyNumberFormat="1" applyFont="1" applyBorder="1" applyAlignment="1" applyProtection="1">
      <alignment horizontal="left" vertical="center" wrapText="1"/>
      <protection locked="0"/>
    </xf>
    <xf numFmtId="49" fontId="13" fillId="12" borderId="4" xfId="12" applyNumberFormat="1" applyFont="1" applyBorder="1" applyAlignment="1" applyProtection="1">
      <alignment vertical="center" wrapText="1"/>
      <protection locked="0"/>
    </xf>
    <xf numFmtId="49" fontId="105" fillId="12" borderId="4" xfId="641" applyNumberFormat="1" applyFont="1" applyBorder="1" applyAlignment="1" applyProtection="1">
      <alignment horizontal="left" vertical="center" wrapText="1"/>
      <protection locked="0"/>
    </xf>
    <xf numFmtId="49" fontId="90" fillId="12" borderId="4" xfId="641" applyNumberFormat="1" applyFont="1" applyBorder="1" applyAlignment="1" applyProtection="1">
      <alignment horizontal="left" vertical="center" wrapText="1"/>
      <protection locked="0"/>
    </xf>
    <xf numFmtId="49" fontId="134" fillId="12" borderId="4" xfId="641" applyNumberFormat="1" applyFont="1" applyBorder="1" applyAlignment="1" applyProtection="1">
      <alignment horizontal="left" vertical="center" wrapText="1"/>
      <protection locked="0"/>
    </xf>
    <xf numFmtId="49" fontId="73" fillId="12" borderId="4" xfId="641" applyNumberFormat="1" applyFont="1" applyBorder="1" applyAlignment="1" applyProtection="1">
      <alignment horizontal="left" vertical="center" wrapText="1"/>
      <protection locked="0"/>
    </xf>
    <xf numFmtId="49" fontId="118" fillId="12" borderId="4" xfId="641" applyNumberFormat="1" applyFont="1" applyBorder="1" applyAlignment="1" applyProtection="1">
      <alignment horizontal="left" vertical="center" wrapText="1"/>
      <protection locked="0"/>
    </xf>
    <xf numFmtId="49" fontId="73" fillId="12" borderId="4" xfId="638" applyNumberFormat="1" applyFont="1" applyBorder="1" applyAlignment="1" applyProtection="1">
      <alignment horizontal="left" vertical="center" wrapText="1"/>
      <protection locked="0"/>
    </xf>
    <xf numFmtId="49" fontId="90" fillId="12" borderId="4" xfId="638" applyNumberFormat="1" applyFont="1" applyBorder="1" applyAlignment="1" applyProtection="1">
      <alignment horizontal="left" vertical="center" wrapText="1"/>
      <protection locked="0"/>
    </xf>
    <xf numFmtId="49" fontId="13" fillId="12" borderId="18" xfId="8" applyNumberFormat="1" applyFont="1" applyBorder="1" applyAlignment="1" applyProtection="1">
      <alignment vertical="center" wrapText="1"/>
      <protection locked="0"/>
    </xf>
    <xf numFmtId="49" fontId="13" fillId="12" borderId="18" xfId="441" applyNumberFormat="1" applyFont="1" applyBorder="1" applyAlignment="1" applyProtection="1">
      <alignment vertical="center" wrapText="1"/>
      <protection locked="0"/>
    </xf>
    <xf numFmtId="49" fontId="13" fillId="12" borderId="15" xfId="441" applyNumberFormat="1" applyFont="1" applyBorder="1" applyAlignment="1" applyProtection="1">
      <alignment vertical="center" wrapText="1"/>
      <protection locked="0"/>
    </xf>
    <xf numFmtId="49" fontId="73" fillId="12" borderId="4" xfId="447" applyNumberFormat="1" applyFont="1" applyBorder="1" applyAlignment="1" applyProtection="1">
      <alignment horizontal="left" vertical="center" wrapText="1"/>
      <protection locked="0"/>
    </xf>
    <xf numFmtId="49" fontId="73" fillId="12" borderId="4" xfId="441" applyNumberFormat="1" applyFont="1" applyBorder="1" applyAlignment="1" applyProtection="1">
      <alignment horizontal="left" vertical="center" wrapText="1"/>
      <protection locked="0"/>
    </xf>
    <xf numFmtId="49" fontId="13" fillId="12" borderId="4" xfId="8" applyNumberFormat="1" applyFont="1" applyBorder="1" applyProtection="1">
      <alignment vertical="center"/>
      <protection locked="0"/>
    </xf>
    <xf numFmtId="0" fontId="40" fillId="12" borderId="4" xfId="8" applyNumberFormat="1" applyBorder="1" applyAlignment="1">
      <alignment horizontal="left" vertical="center" wrapText="1"/>
    </xf>
    <xf numFmtId="49" fontId="90" fillId="12" borderId="4" xfId="447" applyNumberFormat="1" applyFont="1" applyBorder="1" applyAlignment="1" applyProtection="1">
      <alignment horizontal="left" vertical="center" wrapText="1"/>
      <protection locked="0"/>
    </xf>
    <xf numFmtId="49" fontId="90" fillId="12" borderId="4" xfId="441" applyNumberFormat="1" applyFont="1" applyBorder="1" applyAlignment="1" applyProtection="1">
      <alignment horizontal="left" vertical="center" wrapText="1"/>
      <protection locked="0"/>
    </xf>
    <xf numFmtId="49" fontId="13" fillId="12" borderId="15" xfId="639" applyNumberFormat="1" applyFont="1" applyBorder="1" applyAlignment="1" applyProtection="1">
      <alignment vertical="center" wrapText="1"/>
      <protection locked="0"/>
    </xf>
    <xf numFmtId="49" fontId="13" fillId="12" borderId="15" xfId="447" applyNumberFormat="1" applyFont="1" applyBorder="1" applyAlignment="1" applyProtection="1">
      <alignment vertical="center" wrapText="1"/>
      <protection locked="0"/>
    </xf>
    <xf numFmtId="49" fontId="13" fillId="12" borderId="15" xfId="641" applyNumberFormat="1" applyFont="1" applyBorder="1" applyAlignment="1" applyProtection="1">
      <alignment vertical="center" wrapText="1"/>
      <protection locked="0"/>
    </xf>
    <xf numFmtId="49" fontId="90" fillId="12" borderId="4" xfId="441" applyNumberFormat="1" applyFont="1" applyBorder="1" applyAlignment="1" applyProtection="1">
      <alignment horizontal="center" vertical="center" wrapText="1"/>
      <protection locked="0"/>
    </xf>
    <xf numFmtId="49" fontId="90" fillId="12" borderId="4" xfId="636" applyNumberFormat="1" applyFont="1" applyBorder="1" applyAlignment="1" applyProtection="1">
      <alignment horizontal="left" vertical="center" wrapText="1"/>
      <protection locked="0"/>
    </xf>
    <xf numFmtId="49" fontId="13" fillId="12" borderId="4" xfId="638" applyNumberFormat="1" applyFont="1" applyBorder="1" applyAlignment="1" applyProtection="1">
      <alignment horizontal="center" vertical="center" wrapText="1"/>
      <protection locked="0"/>
    </xf>
    <xf numFmtId="49" fontId="14" fillId="12" borderId="4" xfId="8" applyNumberFormat="1" applyFont="1" applyBorder="1" applyAlignment="1" applyProtection="1">
      <alignment horizontal="center" vertical="center" wrapText="1"/>
      <protection locked="0"/>
    </xf>
    <xf numFmtId="49" fontId="16" fillId="12" borderId="19" xfId="8" applyNumberFormat="1" applyFont="1" applyBorder="1" applyAlignment="1" applyProtection="1">
      <alignment horizontal="left" vertical="center" wrapText="1"/>
      <protection locked="0"/>
    </xf>
    <xf numFmtId="49" fontId="16" fillId="12" borderId="4" xfId="8" applyNumberFormat="1" applyFont="1" applyBorder="1" applyAlignment="1" applyProtection="1">
      <alignment horizontal="center" vertical="top" wrapText="1"/>
      <protection locked="0"/>
    </xf>
    <xf numFmtId="49" fontId="16" fillId="12" borderId="18" xfId="8" applyNumberFormat="1" applyFont="1" applyBorder="1" applyAlignment="1" applyProtection="1">
      <alignment horizontal="left" vertical="center" wrapText="1"/>
      <protection locked="0"/>
    </xf>
    <xf numFmtId="49" fontId="12" fillId="12" borderId="4" xfId="8" applyNumberFormat="1" applyFont="1" applyBorder="1" applyAlignment="1">
      <alignment horizontal="center" vertical="center" wrapText="1"/>
    </xf>
    <xf numFmtId="0" fontId="40" fillId="13" borderId="4" xfId="8" applyNumberFormat="1" applyFill="1" applyBorder="1" applyAlignment="1">
      <alignment horizontal="center"/>
    </xf>
    <xf numFmtId="49" fontId="32" fillId="5" borderId="4" xfId="8" applyNumberFormat="1" applyFont="1" applyFill="1" applyBorder="1" applyAlignment="1">
      <alignment horizontal="center" vertical="center"/>
    </xf>
    <xf numFmtId="49" fontId="12" fillId="13" borderId="4" xfId="8" applyNumberFormat="1" applyFont="1" applyFill="1" applyBorder="1" applyAlignment="1">
      <alignment horizontal="left" vertical="center" wrapText="1"/>
    </xf>
    <xf numFmtId="49" fontId="12" fillId="13" borderId="4" xfId="8" applyNumberFormat="1" applyFont="1" applyFill="1" applyBorder="1" applyAlignment="1" applyProtection="1">
      <alignment horizontal="center" vertical="center"/>
      <protection locked="0"/>
    </xf>
    <xf numFmtId="49" fontId="30" fillId="5" borderId="4" xfId="8" applyNumberFormat="1" applyFont="1" applyFill="1" applyBorder="1" applyAlignment="1"/>
    <xf numFmtId="49" fontId="67" fillId="12" borderId="4" xfId="8" applyNumberFormat="1" applyFont="1" applyBorder="1" applyAlignment="1">
      <alignment horizontal="center" vertical="center"/>
    </xf>
    <xf numFmtId="49" fontId="9" fillId="5" borderId="4" xfId="8" applyNumberFormat="1" applyFont="1" applyFill="1" applyBorder="1" applyAlignment="1">
      <alignment horizontal="center"/>
    </xf>
    <xf numFmtId="49" fontId="9" fillId="13" borderId="4" xfId="8" applyNumberFormat="1" applyFont="1" applyFill="1" applyBorder="1" applyAlignment="1">
      <alignment horizontal="center"/>
    </xf>
    <xf numFmtId="49" fontId="12" fillId="0" borderId="13" xfId="0" applyNumberFormat="1" applyFont="1" applyBorder="1" applyAlignment="1" applyProtection="1">
      <alignment horizontal="center" vertical="center"/>
      <protection locked="0"/>
    </xf>
    <xf numFmtId="49" fontId="9" fillId="0" borderId="21" xfId="0" applyNumberFormat="1" applyFont="1" applyBorder="1" applyAlignment="1" applyProtection="1">
      <alignment horizontal="center" vertical="center"/>
      <protection locked="0"/>
    </xf>
    <xf numFmtId="49" fontId="13" fillId="8" borderId="4" xfId="0" applyNumberFormat="1" applyFont="1" applyFill="1" applyBorder="1" applyAlignment="1" applyProtection="1">
      <alignment horizontal="center" vertical="center"/>
      <protection locked="0"/>
    </xf>
    <xf numFmtId="0" fontId="16" fillId="0" borderId="4" xfId="0" applyNumberFormat="1" applyFont="1" applyBorder="1" applyAlignment="1" applyProtection="1">
      <alignment horizontal="center" vertical="center"/>
      <protection locked="0"/>
    </xf>
    <xf numFmtId="0" fontId="16" fillId="0" borderId="4" xfId="0" applyNumberFormat="1" applyFont="1" applyBorder="1" applyAlignment="1">
      <alignment horizontal="center" vertical="center"/>
    </xf>
    <xf numFmtId="0" fontId="16" fillId="0" borderId="4" xfId="0" applyNumberFormat="1" applyFont="1" applyBorder="1" applyAlignment="1">
      <alignment horizontal="center" vertical="center" wrapText="1"/>
    </xf>
    <xf numFmtId="49" fontId="13" fillId="0" borderId="0" xfId="8" applyNumberFormat="1" applyFont="1" applyFill="1" applyAlignment="1" applyProtection="1">
      <alignment wrapText="1"/>
      <protection locked="0"/>
    </xf>
    <xf numFmtId="49" fontId="141" fillId="12" borderId="4" xfId="8" applyNumberFormat="1" applyFont="1" applyBorder="1" applyAlignment="1" applyProtection="1">
      <alignment horizontal="center" vertical="center" wrapText="1"/>
      <protection locked="0"/>
    </xf>
    <xf numFmtId="0" fontId="141" fillId="12" borderId="4" xfId="8" applyNumberFormat="1" applyFont="1" applyBorder="1" applyAlignment="1">
      <alignment horizontal="center" vertical="center" wrapText="1"/>
    </xf>
    <xf numFmtId="49" fontId="13" fillId="12" borderId="15" xfId="8" applyNumberFormat="1" applyFont="1" applyBorder="1" applyAlignment="1" applyProtection="1">
      <alignment horizontal="center" vertical="center" wrapText="1"/>
      <protection locked="0"/>
    </xf>
    <xf numFmtId="49" fontId="13" fillId="12" borderId="4" xfId="643" applyNumberFormat="1" applyFont="1" applyBorder="1" applyAlignment="1" applyProtection="1">
      <alignment horizontal="center" vertical="center" wrapText="1"/>
      <protection locked="0"/>
    </xf>
    <xf numFmtId="0" fontId="13" fillId="12" borderId="4" xfId="643" applyNumberFormat="1" applyFont="1" applyBorder="1" applyAlignment="1">
      <alignment horizontal="center" vertical="center" wrapText="1"/>
    </xf>
    <xf numFmtId="49" fontId="13" fillId="12" borderId="12" xfId="8" applyNumberFormat="1" applyFont="1" applyBorder="1" applyAlignment="1" applyProtection="1">
      <alignment horizontal="center" vertical="center" wrapText="1"/>
      <protection locked="0"/>
    </xf>
    <xf numFmtId="49" fontId="64" fillId="12" borderId="4" xfId="8" applyNumberFormat="1" applyFont="1" applyBorder="1" applyAlignment="1" applyProtection="1">
      <alignment wrapText="1"/>
      <protection locked="0"/>
    </xf>
    <xf numFmtId="49" fontId="13" fillId="12" borderId="18" xfId="8" applyNumberFormat="1" applyFont="1" applyBorder="1" applyAlignment="1" applyProtection="1">
      <alignment horizontal="center" vertical="center" wrapText="1"/>
      <protection locked="0"/>
    </xf>
    <xf numFmtId="49" fontId="13" fillId="12" borderId="18" xfId="643" applyNumberFormat="1" applyFont="1" applyBorder="1" applyAlignment="1" applyProtection="1">
      <alignment horizontal="center" vertical="center" wrapText="1"/>
      <protection locked="0"/>
    </xf>
    <xf numFmtId="49" fontId="16" fillId="0" borderId="4" xfId="8" applyNumberFormat="1" applyFont="1" applyFill="1" applyBorder="1" applyAlignment="1" applyProtection="1">
      <alignment horizontal="center"/>
      <protection locked="0"/>
    </xf>
    <xf numFmtId="49" fontId="16" fillId="0" borderId="4" xfId="8" applyNumberFormat="1" applyFont="1" applyFill="1" applyBorder="1" applyAlignment="1" applyProtection="1">
      <alignment horizontal="left"/>
      <protection locked="0"/>
    </xf>
    <xf numFmtId="0" fontId="15" fillId="11" borderId="4" xfId="0" applyNumberFormat="1" applyFont="1" applyFill="1" applyBorder="1" applyAlignment="1">
      <alignment horizontal="center" vertical="center" wrapText="1"/>
    </xf>
    <xf numFmtId="49" fontId="16" fillId="0" borderId="4" xfId="641" applyNumberFormat="1" applyFont="1" applyFill="1" applyBorder="1" applyAlignment="1" applyProtection="1">
      <alignment horizontal="left" vertical="center" wrapText="1"/>
      <protection locked="0"/>
    </xf>
    <xf numFmtId="49" fontId="16" fillId="0" borderId="18" xfId="0" applyNumberFormat="1" applyFont="1" applyBorder="1" applyAlignment="1" applyProtection="1">
      <alignment wrapText="1"/>
      <protection locked="0"/>
    </xf>
    <xf numFmtId="49" fontId="14" fillId="0" borderId="4" xfId="0" applyNumberFormat="1" applyFont="1" applyBorder="1" applyAlignment="1" applyProtection="1">
      <alignment horizontal="center" vertical="center" wrapText="1"/>
      <protection locked="0"/>
    </xf>
    <xf numFmtId="49" fontId="13" fillId="0" borderId="4" xfId="8" applyNumberFormat="1" applyFont="1" applyFill="1" applyBorder="1" applyAlignment="1" applyProtection="1">
      <alignment horizontal="center" vertical="center" wrapText="1"/>
      <protection locked="0"/>
    </xf>
    <xf numFmtId="49" fontId="13" fillId="0" borderId="4" xfId="641" applyNumberFormat="1" applyFont="1" applyFill="1" applyBorder="1" applyAlignment="1" applyProtection="1">
      <alignment horizontal="center" vertical="center" wrapText="1"/>
      <protection locked="0"/>
    </xf>
    <xf numFmtId="49" fontId="13" fillId="0" borderId="4" xfId="638" applyNumberFormat="1" applyFont="1" applyFill="1" applyBorder="1" applyAlignment="1" applyProtection="1">
      <alignment horizontal="left" vertical="center" wrapText="1"/>
      <protection locked="0"/>
    </xf>
    <xf numFmtId="49" fontId="90" fillId="0" borderId="4" xfId="638" applyNumberFormat="1" applyFont="1" applyFill="1" applyBorder="1" applyAlignment="1" applyProtection="1">
      <alignment horizontal="left" vertical="center" wrapText="1"/>
      <protection locked="0"/>
    </xf>
    <xf numFmtId="49" fontId="73" fillId="0" borderId="4" xfId="638" applyNumberFormat="1" applyFont="1" applyFill="1" applyBorder="1" applyAlignment="1" applyProtection="1">
      <alignment horizontal="left" vertical="center" wrapText="1"/>
      <protection locked="0"/>
    </xf>
    <xf numFmtId="49" fontId="13" fillId="0" borderId="4" xfId="636" applyNumberFormat="1" applyFont="1" applyFill="1" applyBorder="1" applyAlignment="1" applyProtection="1">
      <alignment horizontal="left" vertical="center" wrapText="1"/>
      <protection locked="0"/>
    </xf>
    <xf numFmtId="49" fontId="13" fillId="0" borderId="4" xfId="636" applyNumberFormat="1" applyFont="1" applyFill="1" applyBorder="1" applyAlignment="1" applyProtection="1">
      <alignment horizontal="center" vertical="center" wrapText="1"/>
      <protection locked="0"/>
    </xf>
    <xf numFmtId="49" fontId="13" fillId="0" borderId="4" xfId="8" applyNumberFormat="1" applyFont="1" applyFill="1" applyBorder="1" applyAlignment="1" applyProtection="1">
      <alignment horizontal="left" vertical="center" wrapText="1"/>
      <protection locked="0"/>
    </xf>
    <xf numFmtId="49" fontId="13" fillId="0" borderId="4" xfId="8" applyNumberFormat="1" applyFont="1" applyFill="1" applyBorder="1" applyAlignment="1" applyProtection="1">
      <alignment wrapText="1"/>
      <protection locked="0"/>
    </xf>
    <xf numFmtId="49" fontId="64" fillId="0" borderId="4" xfId="8" applyNumberFormat="1" applyFont="1" applyFill="1" applyBorder="1" applyAlignment="1" applyProtection="1">
      <alignment wrapText="1"/>
      <protection locked="0"/>
    </xf>
    <xf numFmtId="49" fontId="13" fillId="0" borderId="4" xfId="643" applyNumberFormat="1" applyFont="1" applyFill="1" applyBorder="1" applyAlignment="1" applyProtection="1">
      <alignment horizontal="center" vertical="center" wrapText="1"/>
      <protection locked="0"/>
    </xf>
    <xf numFmtId="49" fontId="140" fillId="0" borderId="4" xfId="8" applyNumberFormat="1" applyFont="1" applyFill="1" applyBorder="1" applyAlignment="1" applyProtection="1">
      <alignment horizontal="center" vertical="center" wrapText="1"/>
      <protection locked="0"/>
    </xf>
    <xf numFmtId="49" fontId="64" fillId="0" borderId="0" xfId="8" applyNumberFormat="1" applyFont="1" applyFill="1" applyAlignment="1" applyProtection="1">
      <alignment wrapText="1"/>
      <protection locked="0"/>
    </xf>
    <xf numFmtId="49" fontId="140" fillId="0" borderId="16" xfId="8" applyNumberFormat="1" applyFont="1" applyFill="1" applyBorder="1" applyAlignment="1" applyProtection="1">
      <alignment vertical="center" wrapText="1"/>
      <protection locked="0"/>
    </xf>
    <xf numFmtId="49" fontId="13" fillId="0" borderId="4" xfId="8" applyNumberFormat="1" applyFont="1" applyFill="1" applyBorder="1" applyAlignment="1" applyProtection="1">
      <alignment vertical="center" wrapText="1"/>
      <protection locked="0"/>
    </xf>
    <xf numFmtId="49" fontId="90" fillId="0" borderId="4" xfId="8" applyNumberFormat="1" applyFont="1" applyFill="1" applyBorder="1" applyAlignment="1" applyProtection="1">
      <alignment horizontal="left" vertical="center" wrapText="1"/>
      <protection locked="0"/>
    </xf>
    <xf numFmtId="49" fontId="91" fillId="0" borderId="4" xfId="8" applyNumberFormat="1" applyFont="1" applyFill="1" applyBorder="1" applyAlignment="1" applyProtection="1">
      <alignment horizontal="left" vertical="center" wrapText="1"/>
      <protection locked="0"/>
    </xf>
    <xf numFmtId="49" fontId="73" fillId="0" borderId="4" xfId="8" applyNumberFormat="1" applyFont="1" applyFill="1" applyBorder="1" applyAlignment="1" applyProtection="1">
      <alignment horizontal="left" vertical="center" wrapText="1"/>
      <protection locked="0"/>
    </xf>
    <xf numFmtId="49" fontId="13" fillId="0" borderId="4" xfId="642" applyNumberFormat="1" applyFont="1" applyFill="1" applyBorder="1" applyAlignment="1" applyProtection="1">
      <alignment horizontal="center" vertical="center" wrapText="1"/>
      <protection locked="0"/>
    </xf>
    <xf numFmtId="49" fontId="13" fillId="0" borderId="4" xfId="642" applyNumberFormat="1" applyFont="1" applyFill="1" applyBorder="1" applyAlignment="1" applyProtection="1">
      <alignment horizontal="left" vertical="center" wrapText="1"/>
      <protection locked="0"/>
    </xf>
    <xf numFmtId="49" fontId="13" fillId="0" borderId="4" xfId="642" applyNumberFormat="1" applyFont="1" applyFill="1" applyBorder="1" applyAlignment="1" applyProtection="1">
      <alignment vertical="center" wrapText="1"/>
      <protection locked="0"/>
    </xf>
    <xf numFmtId="49" fontId="90" fillId="0" borderId="4" xfId="642" applyNumberFormat="1" applyFont="1" applyFill="1" applyBorder="1" applyAlignment="1" applyProtection="1">
      <alignment horizontal="left" vertical="center" wrapText="1"/>
      <protection locked="0"/>
    </xf>
    <xf numFmtId="49" fontId="91" fillId="0" borderId="4" xfId="642" applyNumberFormat="1" applyFont="1" applyFill="1" applyBorder="1" applyAlignment="1" applyProtection="1">
      <alignment horizontal="left" vertical="center" wrapText="1"/>
      <protection locked="0"/>
    </xf>
    <xf numFmtId="49" fontId="13" fillId="0" borderId="4" xfId="642" applyNumberFormat="1" applyFont="1" applyFill="1" applyBorder="1" applyAlignment="1" applyProtection="1">
      <alignment wrapText="1"/>
      <protection locked="0"/>
    </xf>
    <xf numFmtId="49" fontId="73" fillId="0" borderId="4" xfId="10" applyNumberFormat="1" applyFont="1" applyFill="1" applyBorder="1" applyAlignment="1" applyProtection="1">
      <alignment horizontal="left" vertical="center" wrapText="1"/>
      <protection locked="0"/>
    </xf>
    <xf numFmtId="49" fontId="73" fillId="0" borderId="4" xfId="10" applyNumberFormat="1" applyFont="1" applyFill="1" applyBorder="1" applyAlignment="1" applyProtection="1">
      <alignment vertical="center" wrapText="1"/>
      <protection locked="0"/>
    </xf>
    <xf numFmtId="49" fontId="13" fillId="0" borderId="4" xfId="447" applyNumberFormat="1" applyFont="1" applyFill="1" applyBorder="1" applyAlignment="1" applyProtection="1">
      <alignment horizontal="left" vertical="center" wrapText="1"/>
      <protection locked="0"/>
    </xf>
    <xf numFmtId="49" fontId="13" fillId="0" borderId="4" xfId="447" applyNumberFormat="1" applyFont="1" applyFill="1" applyBorder="1" applyAlignment="1" applyProtection="1">
      <alignment horizontal="center" vertical="center" wrapText="1"/>
      <protection locked="0"/>
    </xf>
    <xf numFmtId="49" fontId="13" fillId="0" borderId="15" xfId="8" applyNumberFormat="1" applyFont="1" applyFill="1" applyBorder="1" applyAlignment="1" applyProtection="1">
      <alignment horizontal="center" vertical="center" wrapText="1"/>
      <protection locked="0"/>
    </xf>
    <xf numFmtId="49" fontId="13" fillId="0" borderId="16" xfId="8" applyNumberFormat="1" applyFont="1" applyFill="1" applyBorder="1" applyAlignment="1" applyProtection="1">
      <alignment wrapText="1"/>
      <protection locked="0"/>
    </xf>
    <xf numFmtId="0" fontId="13" fillId="0" borderId="4" xfId="643" applyNumberFormat="1" applyFont="1" applyFill="1" applyBorder="1" applyAlignment="1">
      <alignment horizontal="center" vertical="center" wrapText="1"/>
    </xf>
    <xf numFmtId="49" fontId="133" fillId="0" borderId="4" xfId="8" applyNumberFormat="1" applyFont="1" applyFill="1" applyBorder="1" applyAlignment="1" applyProtection="1">
      <alignment horizontal="left" vertical="center" wrapText="1"/>
      <protection locked="0"/>
    </xf>
    <xf numFmtId="49" fontId="128" fillId="0" borderId="4" xfId="8" applyNumberFormat="1" applyFont="1" applyFill="1" applyBorder="1" applyAlignment="1" applyProtection="1">
      <alignment horizontal="left" vertical="center" wrapText="1"/>
      <protection locked="0"/>
    </xf>
    <xf numFmtId="176" fontId="13" fillId="0" borderId="4" xfId="8" applyFont="1" applyFill="1" applyBorder="1" applyAlignment="1">
      <alignment horizontal="left" vertical="center" wrapText="1"/>
    </xf>
    <xf numFmtId="0" fontId="13" fillId="0" borderId="4" xfId="8" applyNumberFormat="1" applyFont="1" applyFill="1" applyBorder="1" applyAlignment="1">
      <alignment horizontal="left" vertical="center" wrapText="1"/>
    </xf>
    <xf numFmtId="49" fontId="13" fillId="0" borderId="4" xfId="441" applyNumberFormat="1" applyFont="1" applyFill="1" applyBorder="1" applyAlignment="1" applyProtection="1">
      <alignment horizontal="center" vertical="center" wrapText="1"/>
      <protection locked="0"/>
    </xf>
    <xf numFmtId="49" fontId="13" fillId="0" borderId="4" xfId="8" applyNumberFormat="1" applyFont="1" applyFill="1" applyBorder="1" applyAlignment="1" applyProtection="1">
      <alignment horizontal="left" vertical="center"/>
      <protection locked="0"/>
    </xf>
    <xf numFmtId="49" fontId="13" fillId="0" borderId="4" xfId="441" applyNumberFormat="1" applyFont="1" applyFill="1" applyBorder="1" applyAlignment="1" applyProtection="1">
      <alignment horizontal="left" vertical="center" wrapText="1"/>
      <protection locked="0"/>
    </xf>
    <xf numFmtId="49" fontId="140" fillId="0" borderId="4" xfId="8" applyNumberFormat="1" applyFont="1" applyFill="1" applyBorder="1" applyAlignment="1" applyProtection="1">
      <alignment horizontal="left" vertical="center" wrapText="1"/>
      <protection locked="0"/>
    </xf>
    <xf numFmtId="176" fontId="140" fillId="0" borderId="4" xfId="8" applyFont="1" applyFill="1" applyBorder="1" applyAlignment="1">
      <alignment vertical="center" wrapText="1"/>
    </xf>
    <xf numFmtId="49" fontId="140" fillId="0" borderId="4" xfId="8" applyNumberFormat="1" applyFont="1" applyFill="1" applyBorder="1" applyAlignment="1" applyProtection="1">
      <alignment vertical="center" wrapText="1"/>
      <protection locked="0"/>
    </xf>
    <xf numFmtId="49" fontId="140" fillId="0" borderId="0" xfId="8" applyNumberFormat="1" applyFont="1" applyFill="1" applyAlignment="1" applyProtection="1">
      <alignment vertical="center" wrapText="1"/>
      <protection locked="0"/>
    </xf>
    <xf numFmtId="49" fontId="16" fillId="0" borderId="4" xfId="8" applyNumberFormat="1" applyFont="1" applyFill="1" applyBorder="1" applyAlignment="1" applyProtection="1">
      <alignment horizontal="center" vertical="center" wrapText="1"/>
      <protection locked="0"/>
    </xf>
    <xf numFmtId="49" fontId="16" fillId="0" borderId="4" xfId="8" applyNumberFormat="1" applyFont="1" applyFill="1" applyBorder="1" applyAlignment="1" applyProtection="1">
      <alignment horizontal="center" vertical="center"/>
      <protection locked="0"/>
    </xf>
    <xf numFmtId="49" fontId="38" fillId="0" borderId="4" xfId="0" applyNumberFormat="1" applyFont="1" applyBorder="1" applyAlignment="1">
      <alignment horizontal="left" vertical="center" wrapText="1"/>
    </xf>
    <xf numFmtId="49" fontId="16" fillId="0" borderId="4" xfId="9" applyNumberFormat="1" applyFont="1" applyFill="1" applyBorder="1" applyAlignment="1" applyProtection="1">
      <alignment horizontal="left" vertical="center" wrapText="1"/>
      <protection locked="0"/>
    </xf>
    <xf numFmtId="49" fontId="16" fillId="0" borderId="4" xfId="1252" applyNumberFormat="1" applyFont="1" applyFill="1" applyBorder="1" applyAlignment="1" applyProtection="1">
      <alignment horizontal="center" vertical="center"/>
      <protection locked="0"/>
    </xf>
    <xf numFmtId="49" fontId="38" fillId="0" borderId="4" xfId="0" applyNumberFormat="1" applyFont="1" applyBorder="1" applyAlignment="1">
      <alignment horizontal="center"/>
    </xf>
    <xf numFmtId="49" fontId="38" fillId="0" borderId="4" xfId="0" applyNumberFormat="1" applyFont="1" applyBorder="1" applyAlignment="1"/>
    <xf numFmtId="49" fontId="38" fillId="0" borderId="8" xfId="0" applyNumberFormat="1" applyFont="1" applyBorder="1" applyAlignment="1">
      <alignment horizontal="center"/>
    </xf>
    <xf numFmtId="49" fontId="13" fillId="0" borderId="0" xfId="0" applyNumberFormat="1" applyFont="1" applyAlignment="1"/>
    <xf numFmtId="49" fontId="39" fillId="0" borderId="4" xfId="0" applyNumberFormat="1" applyFont="1" applyBorder="1" applyAlignment="1">
      <alignment horizontal="center"/>
    </xf>
    <xf numFmtId="49" fontId="16" fillId="0" borderId="4" xfId="15" applyNumberFormat="1" applyFont="1" applyFill="1" applyBorder="1" applyAlignment="1">
      <alignment horizontal="center"/>
    </xf>
    <xf numFmtId="49" fontId="38" fillId="0" borderId="4" xfId="0" applyNumberFormat="1" applyFont="1" applyBorder="1" applyAlignment="1">
      <alignment horizontal="left" wrapText="1"/>
    </xf>
    <xf numFmtId="49" fontId="38" fillId="0" borderId="18" xfId="0" applyNumberFormat="1" applyFont="1" applyBorder="1" applyAlignment="1">
      <alignment horizontal="center"/>
    </xf>
    <xf numFmtId="49" fontId="38" fillId="0" borderId="49" xfId="0" applyNumberFormat="1" applyFont="1" applyBorder="1" applyAlignment="1">
      <alignment horizontal="center"/>
    </xf>
    <xf numFmtId="49" fontId="38" fillId="0" borderId="50" xfId="0" applyNumberFormat="1" applyFont="1" applyBorder="1" applyAlignment="1">
      <alignment horizontal="center"/>
    </xf>
    <xf numFmtId="49" fontId="152" fillId="0" borderId="4" xfId="0" applyNumberFormat="1" applyFont="1" applyBorder="1" applyAlignment="1">
      <alignment horizontal="center"/>
    </xf>
    <xf numFmtId="49" fontId="38" fillId="0" borderId="46" xfId="0" applyNumberFormat="1" applyFont="1" applyBorder="1" applyAlignment="1">
      <alignment horizontal="center"/>
    </xf>
    <xf numFmtId="49" fontId="38" fillId="0" borderId="51" xfId="0" applyNumberFormat="1" applyFont="1" applyBorder="1" applyAlignment="1">
      <alignment horizontal="center"/>
    </xf>
    <xf numFmtId="49" fontId="38" fillId="0" borderId="17" xfId="0" applyNumberFormat="1" applyFont="1" applyBorder="1" applyAlignment="1">
      <alignment horizontal="center"/>
    </xf>
    <xf numFmtId="49" fontId="16" fillId="0" borderId="4" xfId="0" applyNumberFormat="1" applyFont="1" applyBorder="1" applyAlignment="1">
      <alignment horizontal="center"/>
    </xf>
    <xf numFmtId="49" fontId="39" fillId="0" borderId="18" xfId="0" applyNumberFormat="1" applyFont="1" applyBorder="1" applyAlignment="1">
      <alignment horizontal="center"/>
    </xf>
    <xf numFmtId="49" fontId="38" fillId="0" borderId="18" xfId="0" applyNumberFormat="1" applyFont="1" applyBorder="1" applyAlignment="1">
      <alignment horizontal="left" vertical="center" wrapText="1"/>
    </xf>
    <xf numFmtId="49" fontId="38" fillId="0" borderId="18" xfId="0" applyNumberFormat="1" applyFont="1" applyBorder="1" applyAlignment="1"/>
    <xf numFmtId="49" fontId="16" fillId="0" borderId="18" xfId="15" applyNumberFormat="1" applyFont="1" applyFill="1" applyBorder="1" applyAlignment="1">
      <alignment horizontal="center"/>
    </xf>
    <xf numFmtId="49" fontId="38" fillId="0" borderId="18" xfId="0" applyNumberFormat="1" applyFont="1" applyBorder="1" applyAlignment="1">
      <alignment horizontal="left" wrapText="1"/>
    </xf>
    <xf numFmtId="49" fontId="16" fillId="0" borderId="18" xfId="0" applyNumberFormat="1" applyFont="1" applyBorder="1" applyAlignment="1">
      <alignment horizontal="center"/>
    </xf>
    <xf numFmtId="49" fontId="38" fillId="0" borderId="54" xfId="0" applyNumberFormat="1" applyFont="1" applyBorder="1" applyAlignment="1">
      <alignment horizontal="center"/>
    </xf>
    <xf numFmtId="49" fontId="38" fillId="0" borderId="55" xfId="0" applyNumberFormat="1" applyFont="1" applyBorder="1" applyAlignment="1">
      <alignment horizontal="center"/>
    </xf>
    <xf numFmtId="49" fontId="38" fillId="0" borderId="27" xfId="0" applyNumberFormat="1" applyFont="1" applyBorder="1" applyAlignment="1">
      <alignment horizontal="center"/>
    </xf>
    <xf numFmtId="49" fontId="38" fillId="0" borderId="56" xfId="0" applyNumberFormat="1" applyFont="1" applyBorder="1" applyAlignment="1">
      <alignment horizontal="center"/>
    </xf>
    <xf numFmtId="49" fontId="38" fillId="0" borderId="57" xfId="0" applyNumberFormat="1" applyFont="1" applyBorder="1" applyAlignment="1">
      <alignment horizontal="center"/>
    </xf>
    <xf numFmtId="49" fontId="38" fillId="0" borderId="58" xfId="0" applyNumberFormat="1" applyFont="1" applyBorder="1" applyAlignment="1">
      <alignment horizontal="center"/>
    </xf>
    <xf numFmtId="176" fontId="9" fillId="0" borderId="4" xfId="0" applyFont="1" applyBorder="1" applyAlignment="1">
      <alignment horizontal="left" vertical="center" wrapText="1"/>
    </xf>
    <xf numFmtId="49" fontId="16" fillId="0" borderId="4" xfId="8" applyNumberFormat="1" applyFont="1" applyFill="1" applyBorder="1" applyAlignment="1" applyProtection="1">
      <alignment horizontal="center" wrapText="1"/>
      <protection locked="0"/>
    </xf>
    <xf numFmtId="176" fontId="9" fillId="0" borderId="4" xfId="0" applyFont="1" applyBorder="1" applyAlignment="1">
      <alignment horizontal="center" vertical="center" wrapText="1"/>
    </xf>
    <xf numFmtId="176" fontId="16" fillId="0" borderId="4" xfId="0" applyFont="1" applyBorder="1" applyAlignment="1">
      <alignment horizontal="center" vertical="center" wrapText="1"/>
    </xf>
    <xf numFmtId="49" fontId="147" fillId="0" borderId="4" xfId="0" applyNumberFormat="1" applyFont="1" applyBorder="1" applyAlignment="1" applyProtection="1">
      <alignment horizontal="center"/>
      <protection locked="0"/>
    </xf>
    <xf numFmtId="49" fontId="13" fillId="0" borderId="4" xfId="0" applyNumberFormat="1" applyFont="1" applyBorder="1" applyAlignment="1" applyProtection="1">
      <alignment horizontal="center"/>
      <protection locked="0"/>
    </xf>
    <xf numFmtId="176" fontId="148" fillId="0" borderId="4" xfId="0" applyFont="1" applyBorder="1" applyAlignment="1">
      <alignment horizontal="center" vertical="center" wrapText="1"/>
    </xf>
    <xf numFmtId="49" fontId="16" fillId="0" borderId="57" xfId="0" applyNumberFormat="1" applyFont="1" applyBorder="1" applyAlignment="1">
      <alignment horizontal="center"/>
    </xf>
    <xf numFmtId="49" fontId="16" fillId="0" borderId="58" xfId="0" applyNumberFormat="1" applyFont="1" applyBorder="1" applyAlignment="1">
      <alignment horizontal="center"/>
    </xf>
    <xf numFmtId="176" fontId="16" fillId="0" borderId="4" xfId="0" applyFont="1" applyBorder="1" applyAlignment="1">
      <alignment vertical="center" wrapText="1"/>
    </xf>
    <xf numFmtId="0" fontId="16" fillId="0" borderId="4" xfId="0" quotePrefix="1" applyNumberFormat="1" applyFont="1" applyBorder="1" applyAlignment="1" applyProtection="1">
      <alignment horizontal="center"/>
      <protection locked="0"/>
    </xf>
    <xf numFmtId="0" fontId="16" fillId="0" borderId="4" xfId="0" quotePrefix="1" applyNumberFormat="1" applyFont="1" applyBorder="1" applyAlignment="1" applyProtection="1">
      <alignment horizontal="center" wrapText="1"/>
      <protection locked="0"/>
    </xf>
    <xf numFmtId="176" fontId="16" fillId="0" borderId="4" xfId="0" applyFont="1" applyBorder="1" applyAlignment="1">
      <alignment horizontal="left" vertical="center" wrapText="1"/>
    </xf>
    <xf numFmtId="49" fontId="26" fillId="0" borderId="4" xfId="0" applyNumberFormat="1" applyFont="1" applyBorder="1" applyAlignment="1" applyProtection="1">
      <protection locked="0"/>
    </xf>
    <xf numFmtId="0" fontId="16" fillId="0" borderId="4" xfId="0" applyNumberFormat="1" applyFont="1" applyBorder="1" applyAlignment="1">
      <alignment horizontal="left" vertical="center" wrapText="1"/>
    </xf>
    <xf numFmtId="49" fontId="26" fillId="0" borderId="4" xfId="1254" applyNumberFormat="1" applyFont="1" applyFill="1" applyBorder="1" applyAlignment="1" applyProtection="1">
      <alignment horizontal="center" vertical="center"/>
      <protection locked="0"/>
    </xf>
    <xf numFmtId="49" fontId="16" fillId="0" borderId="4" xfId="1254" applyNumberFormat="1" applyFont="1" applyFill="1" applyBorder="1" applyAlignment="1" applyProtection="1">
      <alignment horizontal="left"/>
      <protection locked="0"/>
    </xf>
    <xf numFmtId="49" fontId="16" fillId="0" borderId="4" xfId="1254" applyNumberFormat="1" applyFont="1" applyFill="1" applyBorder="1" applyAlignment="1" applyProtection="1">
      <alignment horizontal="center" vertical="center"/>
      <protection locked="0"/>
    </xf>
    <xf numFmtId="49" fontId="16" fillId="0" borderId="4" xfId="1254" applyNumberFormat="1" applyFont="1" applyFill="1" applyBorder="1" applyAlignment="1" applyProtection="1">
      <alignment horizontal="center"/>
      <protection locked="0"/>
    </xf>
    <xf numFmtId="49" fontId="16" fillId="0" borderId="4" xfId="1254" applyNumberFormat="1" applyFont="1" applyFill="1" applyBorder="1" applyAlignment="1" applyProtection="1">
      <alignment horizontal="center" vertical="center" wrapText="1"/>
      <protection locked="0"/>
    </xf>
    <xf numFmtId="49" fontId="26" fillId="0" borderId="4" xfId="1254" applyNumberFormat="1" applyFont="1" applyFill="1" applyBorder="1" applyAlignment="1" applyProtection="1">
      <protection locked="0"/>
    </xf>
    <xf numFmtId="49" fontId="16" fillId="0" borderId="4" xfId="1254" applyNumberFormat="1" applyFont="1" applyFill="1" applyBorder="1" applyAlignment="1" applyProtection="1">
      <alignment horizontal="center" wrapText="1"/>
      <protection locked="0"/>
    </xf>
    <xf numFmtId="49" fontId="26" fillId="0" borderId="4" xfId="8" applyNumberFormat="1" applyFont="1" applyFill="1" applyBorder="1" applyAlignment="1" applyProtection="1">
      <alignment horizontal="center"/>
      <protection locked="0"/>
    </xf>
    <xf numFmtId="49" fontId="16" fillId="0" borderId="4" xfId="8" applyNumberFormat="1" applyFont="1" applyFill="1" applyBorder="1" applyAlignment="1" applyProtection="1">
      <alignment horizontal="left" vertical="center"/>
      <protection locked="0"/>
    </xf>
    <xf numFmtId="49" fontId="16" fillId="0" borderId="4" xfId="1254" applyNumberFormat="1" applyFont="1" applyFill="1" applyBorder="1" applyAlignment="1" applyProtection="1">
      <protection locked="0"/>
    </xf>
    <xf numFmtId="49" fontId="26" fillId="0" borderId="4" xfId="1254" applyNumberFormat="1" applyFont="1" applyFill="1" applyBorder="1" applyAlignment="1" applyProtection="1">
      <alignment horizontal="center"/>
      <protection locked="0"/>
    </xf>
    <xf numFmtId="49" fontId="16" fillId="0" borderId="4" xfId="1254" applyNumberFormat="1" applyFont="1" applyFill="1" applyBorder="1" applyAlignment="1" applyProtection="1">
      <alignment horizontal="left" vertical="center"/>
      <protection locked="0"/>
    </xf>
    <xf numFmtId="0" fontId="16" fillId="0" borderId="4" xfId="1254" applyNumberFormat="1" applyFont="1" applyFill="1" applyBorder="1" applyAlignment="1">
      <alignment horizontal="center" vertical="center"/>
    </xf>
    <xf numFmtId="0" fontId="16" fillId="0" borderId="4" xfId="1254" applyNumberFormat="1" applyFont="1" applyFill="1" applyBorder="1" applyAlignment="1">
      <alignment horizontal="left" vertical="center"/>
    </xf>
    <xf numFmtId="0" fontId="16" fillId="0" borderId="4" xfId="1254" applyNumberFormat="1" applyFont="1" applyFill="1" applyBorder="1" applyAlignment="1" applyProtection="1">
      <alignment horizontal="center" vertical="center" wrapText="1"/>
      <protection locked="0"/>
    </xf>
    <xf numFmtId="0" fontId="16" fillId="0" borderId="4" xfId="1254" applyNumberFormat="1" applyFont="1" applyFill="1" applyBorder="1" applyAlignment="1" applyProtection="1">
      <alignment horizontal="center" vertical="top" wrapText="1"/>
      <protection locked="0"/>
    </xf>
    <xf numFmtId="0" fontId="16" fillId="0" borderId="4" xfId="1254" applyNumberFormat="1" applyFont="1" applyFill="1" applyBorder="1" applyAlignment="1">
      <alignment horizontal="center" vertical="center" wrapText="1"/>
    </xf>
    <xf numFmtId="49" fontId="16" fillId="0" borderId="4" xfId="1255" applyNumberFormat="1" applyFont="1" applyFill="1" applyBorder="1" applyAlignment="1" applyProtection="1">
      <protection locked="0"/>
    </xf>
    <xf numFmtId="49" fontId="16" fillId="0" borderId="4" xfId="1255" applyNumberFormat="1" applyFont="1" applyFill="1" applyBorder="1" applyAlignment="1" applyProtection="1">
      <alignment horizontal="center" vertical="center"/>
      <protection locked="0"/>
    </xf>
    <xf numFmtId="49" fontId="16" fillId="0" borderId="4" xfId="1255" applyNumberFormat="1" applyFont="1" applyFill="1" applyBorder="1" applyAlignment="1" applyProtection="1">
      <alignment horizontal="left"/>
      <protection locked="0"/>
    </xf>
    <xf numFmtId="49" fontId="16" fillId="0" borderId="4" xfId="1255" applyNumberFormat="1" applyFont="1" applyFill="1" applyBorder="1" applyAlignment="1" applyProtection="1">
      <alignment horizontal="center"/>
      <protection locked="0"/>
    </xf>
    <xf numFmtId="49" fontId="16" fillId="0" borderId="4" xfId="1255" applyNumberFormat="1" applyFont="1" applyFill="1" applyBorder="1" applyAlignment="1" applyProtection="1">
      <alignment horizontal="center" wrapText="1"/>
      <protection locked="0"/>
    </xf>
    <xf numFmtId="0" fontId="16" fillId="0" borderId="4" xfId="0" applyNumberFormat="1" applyFont="1" applyBorder="1">
      <alignment vertical="center"/>
    </xf>
    <xf numFmtId="0" fontId="16" fillId="0" borderId="4" xfId="0" applyNumberFormat="1" applyFont="1" applyBorder="1" applyAlignment="1">
      <alignment horizontal="left" vertical="center"/>
    </xf>
    <xf numFmtId="49" fontId="26" fillId="0" borderId="4" xfId="0" applyNumberFormat="1" applyFont="1" applyBorder="1" applyProtection="1">
      <alignment vertical="center"/>
      <protection locked="0"/>
    </xf>
    <xf numFmtId="0" fontId="16" fillId="0" borderId="4" xfId="0" applyNumberFormat="1" applyFont="1" applyBorder="1" applyAlignment="1">
      <alignment horizontal="left"/>
    </xf>
    <xf numFmtId="0" fontId="16" fillId="0" borderId="4" xfId="0" applyNumberFormat="1" applyFont="1" applyBorder="1" applyAlignment="1">
      <alignment horizontal="center"/>
    </xf>
    <xf numFmtId="178" fontId="16" fillId="0" borderId="4" xfId="0" applyNumberFormat="1" applyFont="1" applyBorder="1" applyAlignment="1">
      <alignment horizontal="center"/>
    </xf>
    <xf numFmtId="49" fontId="38" fillId="8" borderId="4" xfId="0" applyNumberFormat="1" applyFont="1" applyFill="1" applyBorder="1" applyAlignment="1">
      <alignment horizontal="left" vertical="center" wrapText="1"/>
    </xf>
    <xf numFmtId="49" fontId="38" fillId="8" borderId="4" xfId="0" applyNumberFormat="1" applyFont="1" applyFill="1" applyBorder="1" applyAlignment="1">
      <alignment horizontal="center"/>
    </xf>
    <xf numFmtId="49" fontId="38" fillId="8" borderId="4" xfId="0" applyNumberFormat="1" applyFont="1" applyFill="1" applyBorder="1" applyAlignment="1"/>
    <xf numFmtId="49" fontId="38" fillId="8" borderId="4" xfId="0" applyNumberFormat="1" applyFont="1" applyFill="1" applyBorder="1" applyAlignment="1">
      <alignment horizontal="left"/>
    </xf>
    <xf numFmtId="49" fontId="16" fillId="8" borderId="4" xfId="0" applyNumberFormat="1" applyFont="1" applyFill="1" applyBorder="1" applyAlignment="1">
      <alignment horizontal="left"/>
    </xf>
    <xf numFmtId="49" fontId="38" fillId="8" borderId="45" xfId="0" applyNumberFormat="1" applyFont="1" applyFill="1" applyBorder="1" applyAlignment="1">
      <alignment horizontal="center"/>
    </xf>
    <xf numFmtId="49" fontId="38" fillId="8" borderId="46" xfId="0" applyNumberFormat="1" applyFont="1" applyFill="1" applyBorder="1" applyAlignment="1">
      <alignment horizontal="center" wrapText="1"/>
    </xf>
    <xf numFmtId="49" fontId="38" fillId="8" borderId="47" xfId="0" applyNumberFormat="1" applyFont="1" applyFill="1" applyBorder="1" applyAlignment="1">
      <alignment horizontal="center" vertical="center" wrapText="1"/>
    </xf>
    <xf numFmtId="49" fontId="38" fillId="8" borderId="4" xfId="0" applyNumberFormat="1" applyFont="1" applyFill="1" applyBorder="1" applyAlignment="1">
      <alignment horizontal="center" vertical="center" wrapText="1"/>
    </xf>
    <xf numFmtId="49" fontId="38" fillId="8" borderId="48" xfId="0" applyNumberFormat="1" applyFont="1" applyFill="1" applyBorder="1" applyAlignment="1">
      <alignment horizontal="center" vertical="center" wrapText="1"/>
    </xf>
    <xf numFmtId="49" fontId="38" fillId="8" borderId="8" xfId="0" applyNumberFormat="1" applyFont="1" applyFill="1" applyBorder="1" applyAlignment="1">
      <alignment horizontal="center"/>
    </xf>
    <xf numFmtId="49" fontId="38" fillId="8" borderId="52" xfId="0" applyNumberFormat="1" applyFont="1" applyFill="1" applyBorder="1" applyAlignment="1">
      <alignment horizontal="center"/>
    </xf>
    <xf numFmtId="49" fontId="38" fillId="8" borderId="53" xfId="0" applyNumberFormat="1" applyFont="1" applyFill="1" applyBorder="1" applyAlignment="1">
      <alignment horizontal="center" vertical="center" wrapText="1"/>
    </xf>
    <xf numFmtId="49" fontId="16" fillId="8" borderId="4" xfId="8" applyNumberFormat="1" applyFont="1" applyFill="1" applyBorder="1" applyAlignment="1" applyProtection="1">
      <alignment horizontal="center"/>
      <protection locked="0"/>
    </xf>
    <xf numFmtId="0" fontId="16" fillId="8" borderId="4" xfId="0" applyNumberFormat="1" applyFont="1" applyFill="1" applyBorder="1" applyAlignment="1">
      <alignment horizontal="center" vertical="center"/>
    </xf>
    <xf numFmtId="49" fontId="38" fillId="8" borderId="57" xfId="0" applyNumberFormat="1" applyFont="1" applyFill="1" applyBorder="1" applyAlignment="1">
      <alignment horizontal="center"/>
    </xf>
    <xf numFmtId="176" fontId="16" fillId="8" borderId="4" xfId="0" applyFont="1" applyFill="1" applyBorder="1" applyAlignment="1">
      <alignment vertical="center" wrapText="1"/>
    </xf>
    <xf numFmtId="176" fontId="16" fillId="8" borderId="4" xfId="0" applyFont="1" applyFill="1" applyBorder="1" applyAlignment="1">
      <alignment horizontal="left" vertical="center" wrapText="1"/>
    </xf>
    <xf numFmtId="49" fontId="26" fillId="8" borderId="4" xfId="1254" applyNumberFormat="1" applyFont="1" applyFill="1" applyBorder="1" applyAlignment="1" applyProtection="1">
      <alignment horizontal="center" vertical="center"/>
      <protection locked="0"/>
    </xf>
    <xf numFmtId="49" fontId="16" fillId="8" borderId="4" xfId="1254" applyNumberFormat="1" applyFont="1" applyFill="1" applyBorder="1" applyAlignment="1" applyProtection="1">
      <alignment horizontal="left"/>
      <protection locked="0"/>
    </xf>
    <xf numFmtId="49" fontId="16" fillId="8" borderId="4" xfId="1254" applyNumberFormat="1" applyFont="1" applyFill="1" applyBorder="1" applyAlignment="1" applyProtection="1">
      <alignment horizontal="center" vertical="center"/>
      <protection locked="0"/>
    </xf>
    <xf numFmtId="49" fontId="16" fillId="8" borderId="4" xfId="1254" applyNumberFormat="1" applyFont="1" applyFill="1" applyBorder="1" applyAlignment="1" applyProtection="1">
      <alignment horizontal="center"/>
      <protection locked="0"/>
    </xf>
    <xf numFmtId="49" fontId="16" fillId="8" borderId="4" xfId="1254" applyNumberFormat="1" applyFont="1" applyFill="1" applyBorder="1" applyAlignment="1" applyProtection="1">
      <alignment horizontal="center" vertical="center" wrapText="1"/>
      <protection locked="0"/>
    </xf>
    <xf numFmtId="49" fontId="16" fillId="8" borderId="4" xfId="1255" applyNumberFormat="1" applyFont="1" applyFill="1" applyBorder="1" applyAlignment="1" applyProtection="1">
      <protection locked="0"/>
    </xf>
    <xf numFmtId="49" fontId="16" fillId="8" borderId="4" xfId="1255" applyNumberFormat="1" applyFont="1" applyFill="1" applyBorder="1" applyAlignment="1" applyProtection="1">
      <alignment horizontal="center" vertical="center"/>
      <protection locked="0"/>
    </xf>
    <xf numFmtId="49" fontId="16" fillId="8" borderId="4" xfId="1255" applyNumberFormat="1" applyFont="1" applyFill="1" applyBorder="1" applyAlignment="1" applyProtection="1">
      <alignment horizontal="left"/>
      <protection locked="0"/>
    </xf>
    <xf numFmtId="49" fontId="16" fillId="8" borderId="4" xfId="1255" applyNumberFormat="1" applyFont="1" applyFill="1" applyBorder="1" applyAlignment="1" applyProtection="1">
      <alignment horizontal="center"/>
      <protection locked="0"/>
    </xf>
    <xf numFmtId="49" fontId="16" fillId="8" borderId="4" xfId="0" applyNumberFormat="1" applyFont="1" applyFill="1" applyBorder="1" applyAlignment="1" applyProtection="1">
      <alignment horizontal="center" wrapText="1"/>
      <protection locked="0"/>
    </xf>
    <xf numFmtId="0" fontId="16" fillId="8" borderId="4" xfId="0" applyNumberFormat="1" applyFont="1" applyFill="1" applyBorder="1">
      <alignment vertical="center"/>
    </xf>
    <xf numFmtId="0" fontId="16" fillId="8" borderId="4" xfId="0" applyNumberFormat="1" applyFont="1" applyFill="1" applyBorder="1" applyAlignment="1">
      <alignment horizontal="left" vertical="center"/>
    </xf>
    <xf numFmtId="49" fontId="9" fillId="0" borderId="4" xfId="91" applyNumberFormat="1" applyFont="1" applyFill="1" applyBorder="1" applyAlignment="1" applyProtection="1">
      <alignment horizontal="center" vertical="center"/>
      <protection locked="0"/>
    </xf>
    <xf numFmtId="49" fontId="9" fillId="0" borderId="4" xfId="89" applyNumberFormat="1" applyFont="1" applyFill="1" applyBorder="1" applyAlignment="1" applyProtection="1">
      <alignment horizontal="center" vertical="center"/>
      <protection locked="0"/>
    </xf>
    <xf numFmtId="49" fontId="39" fillId="0" borderId="4" xfId="0" applyNumberFormat="1" applyFont="1" applyBorder="1" applyAlignment="1" applyProtection="1">
      <alignment horizontal="left"/>
      <protection locked="0"/>
    </xf>
    <xf numFmtId="49" fontId="38" fillId="0" borderId="4" xfId="0" applyNumberFormat="1" applyFont="1" applyBorder="1" applyAlignment="1" applyProtection="1">
      <alignment horizontal="left" wrapText="1"/>
      <protection locked="0"/>
    </xf>
    <xf numFmtId="0" fontId="38" fillId="0" borderId="4" xfId="0" applyNumberFormat="1" applyFont="1" applyBorder="1" applyAlignment="1" applyProtection="1">
      <alignment horizontal="center"/>
      <protection locked="0"/>
    </xf>
    <xf numFmtId="49" fontId="26" fillId="8" borderId="4" xfId="0" applyNumberFormat="1" applyFont="1" applyFill="1" applyBorder="1" applyAlignment="1" applyProtection="1">
      <alignment horizontal="center"/>
      <protection locked="0"/>
    </xf>
    <xf numFmtId="49" fontId="16" fillId="8" borderId="4" xfId="0" applyNumberFormat="1" applyFont="1" applyFill="1" applyBorder="1" applyAlignment="1" applyProtection="1">
      <alignment horizontal="left" vertical="center" wrapText="1"/>
      <protection locked="0"/>
    </xf>
    <xf numFmtId="49" fontId="16" fillId="8" borderId="32" xfId="8" applyNumberFormat="1" applyFont="1" applyFill="1" applyBorder="1" applyAlignment="1" applyProtection="1">
      <alignment horizontal="center" vertical="center"/>
      <protection locked="0"/>
    </xf>
    <xf numFmtId="49" fontId="26" fillId="8" borderId="11" xfId="8" applyNumberFormat="1" applyFont="1" applyFill="1" applyBorder="1" applyAlignment="1" applyProtection="1">
      <alignment horizontal="center" vertical="center"/>
      <protection locked="0"/>
    </xf>
    <xf numFmtId="49" fontId="16" fillId="8" borderId="11" xfId="8" applyNumberFormat="1" applyFont="1" applyFill="1" applyBorder="1" applyAlignment="1" applyProtection="1">
      <alignment horizontal="center" vertical="center"/>
      <protection locked="0"/>
    </xf>
    <xf numFmtId="49" fontId="16" fillId="8" borderId="11" xfId="8" applyNumberFormat="1" applyFont="1" applyFill="1" applyBorder="1" applyAlignment="1" applyProtection="1">
      <alignment horizontal="left" vertical="center" wrapText="1"/>
      <protection locked="0"/>
    </xf>
    <xf numFmtId="49" fontId="16" fillId="8" borderId="4" xfId="8" applyNumberFormat="1" applyFont="1" applyFill="1" applyBorder="1" applyAlignment="1" applyProtection="1">
      <alignment horizontal="center" vertical="center" wrapText="1"/>
      <protection locked="0"/>
    </xf>
    <xf numFmtId="49" fontId="16" fillId="8" borderId="11" xfId="8" applyNumberFormat="1" applyFont="1" applyFill="1" applyBorder="1" applyAlignment="1" applyProtection="1">
      <alignment horizontal="center" vertical="center" wrapText="1"/>
      <protection locked="0"/>
    </xf>
    <xf numFmtId="49" fontId="112" fillId="21" borderId="4" xfId="8" applyNumberFormat="1" applyFont="1" applyFill="1" applyBorder="1" applyAlignment="1" applyProtection="1">
      <alignment horizontal="center"/>
      <protection locked="0"/>
    </xf>
    <xf numFmtId="49" fontId="26" fillId="21" borderId="4" xfId="8" applyNumberFormat="1" applyFont="1" applyFill="1" applyBorder="1" applyAlignment="1" applyProtection="1">
      <alignment horizontal="center"/>
      <protection locked="0"/>
    </xf>
    <xf numFmtId="49" fontId="16" fillId="21" borderId="4" xfId="8" applyNumberFormat="1" applyFont="1" applyFill="1" applyBorder="1" applyAlignment="1" applyProtection="1">
      <alignment horizontal="center"/>
      <protection locked="0"/>
    </xf>
    <xf numFmtId="49" fontId="26" fillId="21" borderId="11" xfId="8" applyNumberFormat="1" applyFont="1" applyFill="1" applyBorder="1" applyAlignment="1" applyProtection="1">
      <alignment horizontal="center" vertical="center"/>
      <protection locked="0"/>
    </xf>
    <xf numFmtId="49" fontId="38" fillId="8" borderId="4" xfId="8" applyNumberFormat="1" applyFont="1" applyFill="1" applyBorder="1" applyAlignment="1" applyProtection="1">
      <alignment horizontal="center"/>
      <protection locked="0"/>
    </xf>
    <xf numFmtId="49" fontId="16" fillId="21" borderId="4" xfId="8" applyNumberFormat="1" applyFont="1" applyFill="1" applyBorder="1" applyAlignment="1" applyProtection="1">
      <alignment horizontal="left"/>
      <protection locked="0"/>
    </xf>
    <xf numFmtId="49" fontId="16" fillId="21" borderId="4" xfId="8" applyNumberFormat="1" applyFont="1" applyFill="1" applyBorder="1" applyAlignment="1" applyProtection="1">
      <alignment horizontal="center" vertical="center"/>
      <protection locked="0"/>
    </xf>
    <xf numFmtId="49" fontId="16" fillId="21" borderId="4" xfId="8" applyNumberFormat="1" applyFont="1" applyFill="1" applyBorder="1" applyAlignment="1" applyProtection="1">
      <alignment horizontal="left" vertical="center" wrapText="1"/>
      <protection locked="0"/>
    </xf>
    <xf numFmtId="49" fontId="16" fillId="21" borderId="4" xfId="8" applyNumberFormat="1" applyFont="1" applyFill="1" applyBorder="1" applyAlignment="1" applyProtection="1">
      <alignment horizontal="center" vertical="center" wrapText="1"/>
      <protection locked="0"/>
    </xf>
    <xf numFmtId="49" fontId="16" fillId="8" borderId="4" xfId="0" applyNumberFormat="1" applyFont="1" applyFill="1" applyBorder="1" applyAlignment="1" applyProtection="1">
      <alignment horizontal="left" vertical="center"/>
      <protection locked="0"/>
    </xf>
    <xf numFmtId="49" fontId="38" fillId="8" borderId="4" xfId="0" applyNumberFormat="1" applyFont="1" applyFill="1" applyBorder="1" applyAlignment="1" applyProtection="1">
      <alignment horizontal="left" wrapText="1"/>
      <protection locked="0"/>
    </xf>
    <xf numFmtId="49" fontId="13" fillId="8" borderId="0" xfId="0" applyNumberFormat="1" applyFont="1" applyFill="1" applyAlignment="1" applyProtection="1">
      <protection locked="0"/>
    </xf>
    <xf numFmtId="49" fontId="38" fillId="8" borderId="4" xfId="0" applyNumberFormat="1" applyFont="1" applyFill="1" applyBorder="1" applyAlignment="1" applyProtection="1">
      <alignment horizontal="left" vertical="center" wrapText="1"/>
      <protection locked="0"/>
    </xf>
    <xf numFmtId="49" fontId="61" fillId="0" borderId="4" xfId="0" quotePrefix="1" applyNumberFormat="1" applyFont="1" applyBorder="1" applyAlignment="1" applyProtection="1">
      <alignment vertical="center" wrapText="1"/>
      <protection locked="0"/>
    </xf>
    <xf numFmtId="49" fontId="49" fillId="0" borderId="4" xfId="0" applyNumberFormat="1" applyFont="1" applyBorder="1" applyAlignment="1" applyProtection="1">
      <alignment vertical="center" wrapText="1"/>
      <protection locked="0"/>
    </xf>
    <xf numFmtId="49" fontId="9" fillId="0" borderId="0" xfId="0" applyNumberFormat="1" applyFont="1" applyAlignment="1" applyProtection="1">
      <alignment horizontal="center" vertical="center"/>
      <protection locked="0"/>
    </xf>
    <xf numFmtId="49" fontId="15" fillId="0" borderId="0" xfId="0" applyNumberFormat="1" applyFont="1" applyAlignment="1" applyProtection="1">
      <alignment horizontal="center" vertical="center"/>
      <protection locked="0"/>
    </xf>
    <xf numFmtId="0" fontId="16" fillId="8" borderId="4" xfId="0" applyNumberFormat="1" applyFont="1" applyFill="1" applyBorder="1" applyAlignment="1" applyProtection="1">
      <alignment horizontal="center" vertical="center"/>
      <protection locked="0"/>
    </xf>
    <xf numFmtId="0" fontId="16" fillId="6" borderId="4" xfId="0" applyNumberFormat="1" applyFont="1" applyFill="1" applyBorder="1" applyAlignment="1" applyProtection="1">
      <alignment horizontal="center" vertical="center"/>
      <protection locked="0"/>
    </xf>
    <xf numFmtId="0" fontId="38" fillId="0" borderId="4" xfId="0" applyNumberFormat="1" applyFont="1" applyBorder="1" applyAlignment="1">
      <alignment horizontal="center" vertical="center"/>
    </xf>
    <xf numFmtId="0" fontId="38" fillId="0" borderId="18" xfId="0" applyNumberFormat="1" applyFont="1" applyBorder="1" applyAlignment="1">
      <alignment horizontal="center" vertical="center"/>
    </xf>
    <xf numFmtId="0" fontId="62" fillId="12" borderId="0" xfId="4" applyFont="1" applyAlignment="1">
      <alignment horizontal="center" vertical="center"/>
      <protection locked="0"/>
    </xf>
    <xf numFmtId="49" fontId="18" fillId="0" borderId="20" xfId="0" applyNumberFormat="1" applyFont="1" applyBorder="1" applyAlignment="1" applyProtection="1">
      <alignment horizontal="center" vertical="center"/>
      <protection locked="0"/>
    </xf>
    <xf numFmtId="0" fontId="16" fillId="6" borderId="0" xfId="0" applyNumberFormat="1" applyFont="1" applyFill="1" applyAlignment="1" applyProtection="1">
      <alignment horizontal="center" vertical="center"/>
      <protection locked="0"/>
    </xf>
    <xf numFmtId="0" fontId="13" fillId="0" borderId="4" xfId="0" applyNumberFormat="1" applyFont="1" applyBorder="1" applyAlignment="1" applyProtection="1">
      <alignment horizontal="center" vertical="center"/>
      <protection locked="0"/>
    </xf>
    <xf numFmtId="0" fontId="13" fillId="0" borderId="0" xfId="0" applyNumberFormat="1" applyFont="1" applyAlignment="1" applyProtection="1">
      <alignment horizontal="center" vertical="center"/>
      <protection locked="0"/>
    </xf>
    <xf numFmtId="49" fontId="26" fillId="13" borderId="4" xfId="0" applyNumberFormat="1" applyFont="1" applyFill="1" applyBorder="1" applyAlignment="1" applyProtection="1">
      <alignment horizontal="center" vertical="center"/>
      <protection locked="0"/>
    </xf>
    <xf numFmtId="49" fontId="16" fillId="0" borderId="18" xfId="0" applyNumberFormat="1" applyFont="1" applyBorder="1" applyAlignment="1" applyProtection="1">
      <alignment horizontal="center" vertical="center"/>
      <protection locked="0"/>
    </xf>
    <xf numFmtId="0" fontId="40" fillId="0" borderId="0" xfId="0" applyNumberFormat="1" applyFont="1" applyAlignment="1"/>
    <xf numFmtId="49" fontId="111" fillId="0" borderId="4" xfId="0" applyNumberFormat="1" applyFont="1" applyBorder="1" applyAlignment="1" applyProtection="1">
      <alignment horizontal="center"/>
      <protection locked="0"/>
    </xf>
    <xf numFmtId="49" fontId="113" fillId="0" borderId="4" xfId="0" applyNumberFormat="1" applyFont="1" applyBorder="1" applyAlignment="1" applyProtection="1">
      <alignment horizontal="center" vertical="center" wrapText="1"/>
      <protection locked="0"/>
    </xf>
    <xf numFmtId="49" fontId="16" fillId="0" borderId="4" xfId="8" applyNumberFormat="1" applyFont="1" applyFill="1" applyBorder="1" applyAlignment="1" applyProtection="1">
      <alignment horizontal="left" vertical="center" wrapText="1"/>
      <protection locked="0"/>
    </xf>
    <xf numFmtId="49" fontId="16" fillId="0" borderId="4" xfId="8" applyNumberFormat="1" applyFont="1" applyFill="1" applyBorder="1" applyAlignment="1" applyProtection="1">
      <protection locked="0"/>
    </xf>
    <xf numFmtId="49" fontId="16" fillId="0" borderId="0" xfId="8" applyNumberFormat="1" applyFont="1" applyFill="1" applyAlignment="1" applyProtection="1">
      <protection locked="0"/>
    </xf>
    <xf numFmtId="0" fontId="40" fillId="0" borderId="0" xfId="8" applyNumberFormat="1" applyFill="1" applyAlignment="1"/>
    <xf numFmtId="49" fontId="16" fillId="0" borderId="4" xfId="8" applyNumberFormat="1" applyFont="1" applyFill="1" applyBorder="1" applyAlignment="1" applyProtection="1">
      <alignment horizontal="left" wrapText="1"/>
      <protection locked="0"/>
    </xf>
    <xf numFmtId="0" fontId="16" fillId="0" borderId="4" xfId="8" applyNumberFormat="1" applyFont="1" applyFill="1" applyBorder="1" applyAlignment="1">
      <alignment horizontal="center" vertical="center" wrapText="1"/>
    </xf>
    <xf numFmtId="0" fontId="16" fillId="0" borderId="17" xfId="8" applyNumberFormat="1" applyFont="1" applyFill="1" applyBorder="1" applyAlignment="1">
      <alignment wrapText="1"/>
    </xf>
    <xf numFmtId="0" fontId="16" fillId="0" borderId="17" xfId="8" applyNumberFormat="1" applyFont="1" applyFill="1" applyBorder="1" applyAlignment="1"/>
    <xf numFmtId="0" fontId="16" fillId="0" borderId="17" xfId="8" applyNumberFormat="1" applyFont="1" applyFill="1" applyBorder="1" applyAlignment="1">
      <alignment horizontal="center" vertical="center"/>
    </xf>
    <xf numFmtId="0" fontId="16" fillId="0" borderId="4" xfId="8" applyNumberFormat="1" applyFont="1" applyFill="1" applyBorder="1" applyAlignment="1">
      <alignment wrapText="1"/>
    </xf>
    <xf numFmtId="0" fontId="16" fillId="0" borderId="0" xfId="8" applyNumberFormat="1" applyFont="1" applyFill="1" applyAlignment="1"/>
    <xf numFmtId="49" fontId="38" fillId="0" borderId="0" xfId="0" applyNumberFormat="1" applyFont="1" applyAlignment="1" applyProtection="1">
      <protection locked="0"/>
    </xf>
    <xf numFmtId="0" fontId="142" fillId="0" borderId="0" xfId="0" applyNumberFormat="1" applyFont="1" applyAlignment="1"/>
    <xf numFmtId="49" fontId="16" fillId="0" borderId="4" xfId="9" applyNumberFormat="1" applyFont="1" applyFill="1" applyBorder="1" applyAlignment="1" applyProtection="1">
      <alignment horizontal="center" vertical="center" wrapText="1"/>
      <protection locked="0"/>
    </xf>
    <xf numFmtId="0" fontId="13" fillId="0" borderId="4" xfId="1253" applyNumberFormat="1" applyFont="1" applyFill="1" applyBorder="1" applyAlignment="1"/>
    <xf numFmtId="49" fontId="16" fillId="0" borderId="4" xfId="1253" applyNumberFormat="1" applyFont="1" applyFill="1" applyBorder="1" applyAlignment="1" applyProtection="1">
      <alignment horizontal="center" vertical="center"/>
      <protection locked="0"/>
    </xf>
    <xf numFmtId="49" fontId="16" fillId="0" borderId="4" xfId="1253" applyNumberFormat="1" applyFont="1" applyFill="1" applyBorder="1" applyAlignment="1" applyProtection="1">
      <alignment horizontal="center" vertical="center" wrapText="1"/>
      <protection locked="0"/>
    </xf>
    <xf numFmtId="0" fontId="40" fillId="0" borderId="4" xfId="1253" applyNumberFormat="1" applyFill="1" applyBorder="1" applyAlignment="1"/>
    <xf numFmtId="0" fontId="40" fillId="0" borderId="0" xfId="1253" applyNumberFormat="1" applyFill="1" applyAlignment="1"/>
    <xf numFmtId="49" fontId="16" fillId="0" borderId="0" xfId="1253" applyNumberFormat="1" applyFont="1" applyFill="1" applyAlignment="1" applyProtection="1">
      <protection locked="0"/>
    </xf>
    <xf numFmtId="0" fontId="16" fillId="0" borderId="0" xfId="0" applyNumberFormat="1" applyFont="1" applyAlignment="1"/>
    <xf numFmtId="0" fontId="16" fillId="0" borderId="0" xfId="0" applyNumberFormat="1" applyFont="1" applyAlignment="1">
      <alignment horizontal="center" vertical="center"/>
    </xf>
    <xf numFmtId="49" fontId="16" fillId="13" borderId="4" xfId="0" applyNumberFormat="1" applyFont="1" applyFill="1" applyBorder="1" applyAlignment="1" applyProtection="1">
      <alignment horizontal="center" vertical="center" wrapText="1"/>
      <protection locked="0"/>
    </xf>
    <xf numFmtId="49" fontId="16" fillId="18" borderId="4" xfId="9" applyNumberFormat="1" applyFont="1" applyFill="1" applyBorder="1" applyAlignment="1" applyProtection="1">
      <alignment horizontal="left" vertical="center" wrapText="1"/>
      <protection locked="0"/>
    </xf>
    <xf numFmtId="49" fontId="56" fillId="13" borderId="4" xfId="0" applyNumberFormat="1" applyFont="1" applyFill="1" applyBorder="1" applyAlignment="1" applyProtection="1">
      <alignment horizontal="center" vertical="center"/>
      <protection locked="0"/>
    </xf>
    <xf numFmtId="49" fontId="56" fillId="18" borderId="4" xfId="9" applyNumberFormat="1" applyFont="1" applyFill="1" applyBorder="1" applyAlignment="1" applyProtection="1">
      <alignment horizontal="left" vertical="center" wrapText="1"/>
      <protection locked="0"/>
    </xf>
    <xf numFmtId="0" fontId="56" fillId="13" borderId="4" xfId="0" applyNumberFormat="1" applyFont="1" applyFill="1" applyBorder="1" applyAlignment="1"/>
    <xf numFmtId="0" fontId="56" fillId="13" borderId="4" xfId="0" applyNumberFormat="1" applyFont="1" applyFill="1" applyBorder="1" applyAlignment="1">
      <alignment horizontal="center" vertical="center"/>
    </xf>
    <xf numFmtId="0" fontId="56" fillId="13" borderId="4" xfId="0" applyNumberFormat="1" applyFont="1" applyFill="1" applyBorder="1" applyAlignment="1">
      <alignment horizontal="center" vertical="center" wrapText="1"/>
    </xf>
    <xf numFmtId="49" fontId="56" fillId="13" borderId="0" xfId="0" applyNumberFormat="1" applyFont="1" applyFill="1" applyAlignment="1" applyProtection="1">
      <protection locked="0"/>
    </xf>
    <xf numFmtId="0" fontId="106" fillId="13" borderId="0" xfId="0" applyNumberFormat="1" applyFont="1" applyFill="1" applyAlignment="1"/>
    <xf numFmtId="49" fontId="56" fillId="13" borderId="4" xfId="0" applyNumberFormat="1" applyFont="1" applyFill="1" applyBorder="1" applyAlignment="1" applyProtection="1">
      <protection locked="0"/>
    </xf>
    <xf numFmtId="49" fontId="56" fillId="13" borderId="4" xfId="0" applyNumberFormat="1" applyFont="1" applyFill="1" applyBorder="1" applyAlignment="1" applyProtection="1">
      <alignment horizontal="left"/>
      <protection locked="0"/>
    </xf>
    <xf numFmtId="49" fontId="56" fillId="13" borderId="4" xfId="0" applyNumberFormat="1" applyFont="1" applyFill="1" applyBorder="1" applyAlignment="1" applyProtection="1">
      <alignment horizontal="center"/>
      <protection locked="0"/>
    </xf>
    <xf numFmtId="49" fontId="56" fillId="13" borderId="4" xfId="0" applyNumberFormat="1" applyFont="1" applyFill="1" applyBorder="1" applyAlignment="1" applyProtection="1">
      <alignment horizontal="center" wrapText="1"/>
      <protection locked="0"/>
    </xf>
    <xf numFmtId="0" fontId="16" fillId="13" borderId="4" xfId="0" applyNumberFormat="1" applyFont="1" applyFill="1" applyBorder="1" applyAlignment="1" applyProtection="1">
      <alignment horizontal="center" vertical="center"/>
      <protection locked="0"/>
    </xf>
    <xf numFmtId="176" fontId="16" fillId="13" borderId="4" xfId="0" applyFont="1" applyFill="1" applyBorder="1" applyAlignment="1">
      <alignment vertical="center" wrapText="1"/>
    </xf>
    <xf numFmtId="49" fontId="16" fillId="13" borderId="4" xfId="0" applyNumberFormat="1" applyFont="1" applyFill="1" applyBorder="1" applyAlignment="1" applyProtection="1">
      <alignment horizontal="center"/>
      <protection locked="0"/>
    </xf>
    <xf numFmtId="0" fontId="56" fillId="13" borderId="4" xfId="0" applyNumberFormat="1" applyFont="1" applyFill="1" applyBorder="1" applyAlignment="1" applyProtection="1">
      <alignment horizontal="center" vertical="center"/>
      <protection locked="0"/>
    </xf>
    <xf numFmtId="49" fontId="54" fillId="13" borderId="4" xfId="0" applyNumberFormat="1" applyFont="1" applyFill="1" applyBorder="1" applyAlignment="1" applyProtection="1">
      <alignment horizontal="center" vertical="center"/>
      <protection locked="0"/>
    </xf>
    <xf numFmtId="49" fontId="13" fillId="13" borderId="4" xfId="642" applyNumberFormat="1" applyFont="1" applyFill="1" applyBorder="1" applyAlignment="1" applyProtection="1">
      <alignment horizontal="left" vertical="center" wrapText="1"/>
      <protection locked="0"/>
    </xf>
    <xf numFmtId="49" fontId="16" fillId="22" borderId="4" xfId="0" applyNumberFormat="1" applyFont="1" applyFill="1" applyBorder="1" applyAlignment="1" applyProtection="1">
      <protection locked="0"/>
    </xf>
    <xf numFmtId="49" fontId="16" fillId="19" borderId="4" xfId="0" applyNumberFormat="1" applyFont="1" applyFill="1" applyBorder="1" applyAlignment="1" applyProtection="1">
      <protection locked="0"/>
    </xf>
    <xf numFmtId="49" fontId="16" fillId="19" borderId="4" xfId="0" applyNumberFormat="1" applyFont="1" applyFill="1" applyBorder="1" applyAlignment="1" applyProtection="1">
      <alignment wrapText="1"/>
      <protection locked="0"/>
    </xf>
    <xf numFmtId="49" fontId="16" fillId="23" borderId="4" xfId="0" applyNumberFormat="1" applyFont="1" applyFill="1" applyBorder="1" applyAlignment="1" applyProtection="1">
      <protection locked="0"/>
    </xf>
    <xf numFmtId="49" fontId="16" fillId="22" borderId="4" xfId="9" applyNumberFormat="1" applyFont="1" applyFill="1" applyBorder="1" applyAlignment="1" applyProtection="1">
      <alignment horizontal="left" vertical="center" wrapText="1"/>
      <protection locked="0"/>
    </xf>
    <xf numFmtId="49" fontId="16" fillId="22" borderId="4" xfId="0" applyNumberFormat="1" applyFont="1" applyFill="1" applyBorder="1" applyAlignment="1" applyProtection="1">
      <alignment horizontal="center" vertical="center" wrapText="1"/>
      <protection locked="0"/>
    </xf>
    <xf numFmtId="49" fontId="15" fillId="2" borderId="4" xfId="8" applyNumberFormat="1" applyFont="1" applyFill="1" applyBorder="1" applyAlignment="1" applyProtection="1">
      <alignment horizontal="center" vertical="center" wrapText="1"/>
      <protection locked="0"/>
    </xf>
    <xf numFmtId="49" fontId="16" fillId="12" borderId="4" xfId="8" applyNumberFormat="1" applyFont="1" applyBorder="1" applyAlignment="1" applyProtection="1">
      <alignment horizontal="center" vertical="center" wrapText="1"/>
      <protection locked="0"/>
    </xf>
    <xf numFmtId="49" fontId="11" fillId="12" borderId="0" xfId="8" applyNumberFormat="1" applyFont="1" applyAlignment="1" applyProtection="1">
      <alignment horizontal="left" vertical="center" wrapText="1"/>
      <protection locked="0"/>
    </xf>
    <xf numFmtId="49" fontId="11" fillId="12" borderId="0" xfId="8" applyNumberFormat="1" applyFont="1" applyAlignment="1" applyProtection="1">
      <alignment horizontal="left" wrapText="1"/>
      <protection locked="0"/>
    </xf>
    <xf numFmtId="49" fontId="9" fillId="12" borderId="0" xfId="8" applyNumberFormat="1" applyFont="1" applyAlignment="1">
      <alignment horizontal="center" vertical="center" wrapText="1"/>
    </xf>
    <xf numFmtId="49" fontId="12" fillId="10" borderId="4" xfId="8" applyNumberFormat="1" applyFont="1" applyFill="1" applyBorder="1" applyAlignment="1">
      <alignment horizontal="center" vertical="center" wrapText="1"/>
    </xf>
    <xf numFmtId="49" fontId="30" fillId="12" borderId="0" xfId="8" applyNumberFormat="1" applyFont="1" applyAlignment="1">
      <alignment horizontal="center"/>
    </xf>
    <xf numFmtId="49" fontId="11" fillId="12" borderId="4" xfId="8" applyNumberFormat="1" applyFont="1" applyBorder="1" applyAlignment="1">
      <alignment horizontal="center" vertical="center" wrapText="1"/>
    </xf>
    <xf numFmtId="49" fontId="31" fillId="6" borderId="4" xfId="8" applyNumberFormat="1" applyFont="1" applyFill="1" applyBorder="1" applyAlignment="1">
      <alignment horizontal="center" vertical="center" wrapText="1"/>
    </xf>
    <xf numFmtId="49" fontId="19" fillId="12" borderId="0" xfId="8" applyNumberFormat="1" applyFont="1" applyAlignment="1">
      <alignment horizontal="center" vertical="center" wrapText="1"/>
    </xf>
    <xf numFmtId="49" fontId="12" fillId="0" borderId="4" xfId="0" applyNumberFormat="1" applyFont="1" applyBorder="1" applyAlignment="1" applyProtection="1">
      <alignment horizontal="center" vertical="center" wrapText="1"/>
      <protection locked="0"/>
    </xf>
    <xf numFmtId="49" fontId="12" fillId="13" borderId="4" xfId="0" applyNumberFormat="1" applyFont="1" applyFill="1" applyBorder="1" applyAlignment="1" applyProtection="1">
      <alignment horizontal="center" vertical="center" wrapText="1"/>
      <protection locked="0"/>
    </xf>
    <xf numFmtId="49" fontId="60" fillId="0" borderId="4" xfId="0" applyNumberFormat="1" applyFont="1" applyBorder="1" applyAlignment="1" applyProtection="1">
      <alignment horizontal="left" vertical="center"/>
      <protection locked="0"/>
    </xf>
    <xf numFmtId="49" fontId="12" fillId="0" borderId="4" xfId="0" applyNumberFormat="1" applyFont="1" applyBorder="1" applyAlignment="1" applyProtection="1">
      <alignment horizontal="center" vertical="center"/>
      <protection locked="0"/>
    </xf>
    <xf numFmtId="49" fontId="9" fillId="0" borderId="4" xfId="0" applyNumberFormat="1" applyFont="1" applyBorder="1" applyAlignment="1" applyProtection="1">
      <protection locked="0"/>
    </xf>
    <xf numFmtId="49" fontId="61" fillId="0" borderId="4" xfId="0" applyNumberFormat="1" applyFont="1" applyBorder="1" applyAlignment="1" applyProtection="1">
      <alignment horizontal="left" vertical="center"/>
      <protection locked="0"/>
    </xf>
    <xf numFmtId="0" fontId="12" fillId="6" borderId="4" xfId="0" applyNumberFormat="1" applyFont="1" applyFill="1" applyBorder="1" applyAlignment="1" applyProtection="1">
      <alignment horizontal="center" vertical="center"/>
      <protection locked="0"/>
    </xf>
    <xf numFmtId="0" fontId="12" fillId="0" borderId="4" xfId="0" applyNumberFormat="1" applyFont="1" applyBorder="1" applyAlignment="1" applyProtection="1">
      <alignment horizontal="center" vertical="center"/>
      <protection locked="0"/>
    </xf>
    <xf numFmtId="49" fontId="139" fillId="12" borderId="4" xfId="3" applyNumberFormat="1" applyFont="1" applyBorder="1" applyAlignment="1">
      <alignment horizontal="left" vertical="center" wrapText="1"/>
    </xf>
    <xf numFmtId="49" fontId="139" fillId="12" borderId="4" xfId="3" applyNumberFormat="1" applyFont="1" applyBorder="1" applyAlignment="1">
      <alignment horizontal="left" vertical="center"/>
    </xf>
    <xf numFmtId="49" fontId="49" fillId="12" borderId="4" xfId="3" applyNumberFormat="1" applyFont="1" applyBorder="1" applyAlignment="1">
      <alignment horizontal="left" vertical="center" wrapText="1"/>
    </xf>
    <xf numFmtId="49" fontId="49" fillId="12" borderId="4" xfId="3" applyNumberFormat="1" applyFont="1" applyBorder="1" applyAlignment="1">
      <alignment horizontal="left" vertical="center"/>
    </xf>
    <xf numFmtId="176" fontId="13" fillId="12" borderId="24" xfId="3" applyFont="1" applyBorder="1" applyAlignment="1">
      <alignment horizontal="left" vertical="center"/>
    </xf>
    <xf numFmtId="176" fontId="13" fillId="12" borderId="19" xfId="3" applyFont="1" applyBorder="1" applyAlignment="1">
      <alignment horizontal="left" vertical="center"/>
    </xf>
    <xf numFmtId="176" fontId="13" fillId="12" borderId="14" xfId="3" applyFont="1" applyBorder="1" applyAlignment="1">
      <alignment horizontal="left" vertical="center"/>
    </xf>
    <xf numFmtId="176" fontId="13" fillId="12" borderId="4" xfId="3" applyFont="1" applyBorder="1" applyAlignment="1">
      <alignment horizontal="left" vertical="center"/>
    </xf>
    <xf numFmtId="49" fontId="9" fillId="12" borderId="4" xfId="3" applyNumberFormat="1" applyFont="1" applyBorder="1" applyAlignment="1">
      <alignment horizontal="left" vertical="center" wrapText="1"/>
    </xf>
    <xf numFmtId="176" fontId="14" fillId="12" borderId="4" xfId="3" applyFont="1" applyBorder="1" applyAlignment="1">
      <alignment horizontal="center" vertical="center" wrapText="1"/>
    </xf>
    <xf numFmtId="176" fontId="14" fillId="12" borderId="4" xfId="3" applyFont="1" applyBorder="1" applyAlignment="1">
      <alignment horizontal="justify" vertical="center" wrapText="1"/>
    </xf>
    <xf numFmtId="176" fontId="14" fillId="12" borderId="4" xfId="3" applyFont="1" applyBorder="1" applyAlignment="1">
      <alignment horizontal="left" vertical="center" wrapText="1"/>
    </xf>
    <xf numFmtId="49" fontId="9" fillId="12" borderId="4" xfId="3" applyNumberFormat="1" applyFont="1" applyBorder="1" applyAlignment="1">
      <alignment horizontal="left" vertical="center"/>
    </xf>
    <xf numFmtId="49" fontId="49" fillId="6" borderId="4" xfId="3" applyNumberFormat="1" applyFont="1" applyFill="1" applyBorder="1" applyAlignment="1">
      <alignment horizontal="left" vertical="center" wrapText="1"/>
    </xf>
    <xf numFmtId="49" fontId="49" fillId="6" borderId="4" xfId="3" applyNumberFormat="1" applyFont="1" applyFill="1" applyBorder="1" applyAlignment="1">
      <alignment horizontal="left" vertical="center"/>
    </xf>
    <xf numFmtId="176" fontId="13" fillId="12" borderId="4" xfId="3" applyFont="1" applyBorder="1" applyAlignment="1">
      <alignment horizontal="center"/>
    </xf>
    <xf numFmtId="49" fontId="36" fillId="2" borderId="4" xfId="3" applyNumberFormat="1" applyFont="1" applyFill="1" applyBorder="1" applyAlignment="1">
      <alignment horizontal="center" vertical="center" wrapText="1"/>
    </xf>
    <xf numFmtId="176" fontId="18" fillId="12" borderId="4" xfId="3" applyFont="1" applyBorder="1" applyAlignment="1">
      <alignment horizontal="left" vertical="center"/>
    </xf>
    <xf numFmtId="176" fontId="57" fillId="12" borderId="4" xfId="3" applyFont="1" applyBorder="1" applyAlignment="1">
      <alignment horizontal="left" vertical="center"/>
    </xf>
    <xf numFmtId="176" fontId="12" fillId="12" borderId="4" xfId="3" applyFont="1" applyBorder="1" applyAlignment="1">
      <alignment horizontal="center" vertical="center" wrapText="1"/>
    </xf>
    <xf numFmtId="49" fontId="109" fillId="0" borderId="15" xfId="0" applyNumberFormat="1" applyFont="1" applyBorder="1" applyAlignment="1" applyProtection="1">
      <alignment horizontal="left" vertical="top" wrapText="1"/>
      <protection locked="0"/>
    </xf>
    <xf numFmtId="49" fontId="109" fillId="0" borderId="16" xfId="0" applyNumberFormat="1" applyFont="1" applyBorder="1" applyAlignment="1" applyProtection="1">
      <alignment horizontal="left" vertical="top"/>
      <protection locked="0"/>
    </xf>
    <xf numFmtId="49" fontId="109" fillId="0" borderId="17" xfId="0" applyNumberFormat="1" applyFont="1" applyBorder="1" applyAlignment="1" applyProtection="1">
      <alignment horizontal="left" vertical="top"/>
      <protection locked="0"/>
    </xf>
    <xf numFmtId="49" fontId="109" fillId="13" borderId="15" xfId="0" applyNumberFormat="1" applyFont="1" applyFill="1" applyBorder="1" applyAlignment="1" applyProtection="1">
      <alignment horizontal="left" vertical="center" wrapText="1"/>
      <protection locked="0"/>
    </xf>
    <xf numFmtId="49" fontId="109" fillId="13" borderId="16" xfId="0" applyNumberFormat="1" applyFont="1" applyFill="1" applyBorder="1" applyAlignment="1" applyProtection="1">
      <alignment horizontal="left" vertical="center"/>
      <protection locked="0"/>
    </xf>
    <xf numFmtId="49" fontId="109" fillId="13" borderId="17" xfId="0" applyNumberFormat="1" applyFont="1" applyFill="1" applyBorder="1" applyAlignment="1" applyProtection="1">
      <alignment horizontal="left" vertical="center"/>
      <protection locked="0"/>
    </xf>
    <xf numFmtId="49" fontId="81" fillId="12" borderId="6" xfId="10" applyNumberFormat="1" applyFont="1" applyBorder="1" applyAlignment="1" applyProtection="1">
      <alignment horizontal="left" vertical="center" wrapText="1"/>
      <protection locked="0"/>
    </xf>
    <xf numFmtId="49" fontId="81" fillId="12" borderId="6" xfId="10" applyNumberFormat="1" applyFont="1" applyBorder="1" applyAlignment="1" applyProtection="1">
      <alignment horizontal="left" vertical="center"/>
      <protection locked="0"/>
    </xf>
    <xf numFmtId="49" fontId="81" fillId="12" borderId="9" xfId="10" applyNumberFormat="1" applyFont="1" applyBorder="1" applyAlignment="1" applyProtection="1">
      <alignment horizontal="left" vertical="center"/>
      <protection locked="0"/>
    </xf>
    <xf numFmtId="49" fontId="81" fillId="12" borderId="4" xfId="10" applyNumberFormat="1" applyFont="1" applyBorder="1" applyAlignment="1" applyProtection="1">
      <alignment horizontal="left" vertical="center" wrapText="1"/>
      <protection locked="0"/>
    </xf>
    <xf numFmtId="49" fontId="81" fillId="12" borderId="4" xfId="10" applyNumberFormat="1" applyFont="1" applyBorder="1" applyAlignment="1" applyProtection="1">
      <alignment horizontal="left" vertical="center"/>
      <protection locked="0"/>
    </xf>
    <xf numFmtId="49" fontId="81" fillId="12" borderId="11" xfId="10" applyNumberFormat="1" applyFont="1" applyBorder="1" applyAlignment="1" applyProtection="1">
      <alignment horizontal="left" vertical="center" wrapText="1"/>
      <protection locked="0"/>
    </xf>
    <xf numFmtId="49" fontId="81" fillId="12" borderId="11" xfId="10" applyNumberFormat="1" applyFont="1" applyBorder="1" applyAlignment="1" applyProtection="1">
      <alignment horizontal="left" vertical="center"/>
      <protection locked="0"/>
    </xf>
    <xf numFmtId="49" fontId="109" fillId="0" borderId="15" xfId="0" applyNumberFormat="1" applyFont="1" applyBorder="1" applyAlignment="1" applyProtection="1">
      <alignment horizontal="left" vertical="center" wrapText="1"/>
      <protection locked="0"/>
    </xf>
    <xf numFmtId="49" fontId="109" fillId="0" borderId="16" xfId="0" applyNumberFormat="1" applyFont="1" applyBorder="1" applyAlignment="1" applyProtection="1">
      <alignment horizontal="left" vertical="center"/>
      <protection locked="0"/>
    </xf>
    <xf numFmtId="49" fontId="109" fillId="0" borderId="17" xfId="0" applyNumberFormat="1" applyFont="1" applyBorder="1" applyAlignment="1" applyProtection="1">
      <alignment horizontal="left" vertical="center"/>
      <protection locked="0"/>
    </xf>
    <xf numFmtId="49" fontId="33" fillId="0" borderId="0" xfId="0" applyNumberFormat="1" applyFont="1" applyAlignment="1" applyProtection="1">
      <alignment horizontal="left" vertical="center" wrapText="1"/>
      <protection locked="0"/>
    </xf>
    <xf numFmtId="49" fontId="13" fillId="0" borderId="0" xfId="0" applyNumberFormat="1" applyFont="1" applyAlignment="1" applyProtection="1">
      <protection locked="0"/>
    </xf>
    <xf numFmtId="49" fontId="36" fillId="2" borderId="18" xfId="0" applyNumberFormat="1" applyFont="1" applyFill="1" applyBorder="1" applyAlignment="1" applyProtection="1">
      <alignment horizontal="center" vertical="center" wrapText="1"/>
      <protection locked="0"/>
    </xf>
    <xf numFmtId="49" fontId="79" fillId="0" borderId="4" xfId="0" applyNumberFormat="1" applyFont="1" applyBorder="1" applyAlignment="1" applyProtection="1">
      <alignment horizontal="left" vertical="center" wrapText="1"/>
      <protection locked="0"/>
    </xf>
    <xf numFmtId="49" fontId="9" fillId="0" borderId="4" xfId="0" applyNumberFormat="1" applyFont="1" applyBorder="1" applyAlignment="1" applyProtection="1">
      <alignment horizontal="left" vertical="center" wrapText="1"/>
      <protection locked="0"/>
    </xf>
    <xf numFmtId="49" fontId="9" fillId="0" borderId="4" xfId="0" quotePrefix="1" applyNumberFormat="1" applyFont="1" applyBorder="1" applyAlignment="1" applyProtection="1">
      <alignment horizontal="left" vertical="center"/>
      <protection locked="0"/>
    </xf>
    <xf numFmtId="49" fontId="9" fillId="0" borderId="4" xfId="0" applyNumberFormat="1" applyFont="1" applyBorder="1" applyAlignment="1" applyProtection="1">
      <alignment horizontal="left" vertical="center"/>
      <protection locked="0"/>
    </xf>
    <xf numFmtId="49" fontId="9" fillId="0" borderId="4" xfId="0" quotePrefix="1" applyNumberFormat="1" applyFont="1" applyBorder="1" applyAlignment="1" applyProtection="1">
      <alignment horizontal="left" vertical="center" wrapText="1"/>
      <protection locked="0"/>
    </xf>
    <xf numFmtId="49" fontId="79" fillId="0" borderId="4" xfId="0" quotePrefix="1" applyNumberFormat="1" applyFont="1" applyBorder="1" applyAlignment="1" applyProtection="1">
      <alignment horizontal="left" vertical="center" wrapText="1"/>
      <protection locked="0"/>
    </xf>
    <xf numFmtId="49" fontId="81" fillId="12" borderId="4" xfId="74" applyNumberFormat="1" applyFont="1" applyBorder="1" applyAlignment="1" applyProtection="1">
      <alignment horizontal="left" vertical="center" wrapText="1"/>
      <protection locked="0"/>
    </xf>
    <xf numFmtId="49" fontId="81" fillId="12" borderId="4" xfId="74" applyNumberFormat="1" applyFont="1" applyBorder="1" applyAlignment="1" applyProtection="1">
      <alignment horizontal="left" vertical="center"/>
      <protection locked="0"/>
    </xf>
    <xf numFmtId="49" fontId="81" fillId="0" borderId="4" xfId="0" applyNumberFormat="1" applyFont="1" applyBorder="1" applyAlignment="1" applyProtection="1">
      <alignment horizontal="left" vertical="center"/>
      <protection locked="0"/>
    </xf>
    <xf numFmtId="49" fontId="81" fillId="12" borderId="4" xfId="8" applyNumberFormat="1" applyFont="1" applyBorder="1" applyAlignment="1" applyProtection="1">
      <alignment horizontal="left" vertical="center"/>
      <protection locked="0"/>
    </xf>
    <xf numFmtId="49" fontId="81" fillId="12" borderId="8" xfId="10" applyNumberFormat="1" applyFont="1" applyBorder="1" applyAlignment="1" applyProtection="1">
      <alignment horizontal="left" vertical="center"/>
      <protection locked="0"/>
    </xf>
    <xf numFmtId="49" fontId="81" fillId="12" borderId="18" xfId="74" applyNumberFormat="1" applyFont="1" applyBorder="1" applyAlignment="1" applyProtection="1">
      <alignment horizontal="left" vertical="center" wrapText="1"/>
      <protection locked="0"/>
    </xf>
    <xf numFmtId="49" fontId="81" fillId="12" borderId="18" xfId="74" applyNumberFormat="1" applyFont="1" applyBorder="1" applyAlignment="1" applyProtection="1">
      <alignment horizontal="left" vertical="center"/>
      <protection locked="0"/>
    </xf>
    <xf numFmtId="49" fontId="81" fillId="12" borderId="6" xfId="74" applyNumberFormat="1" applyFont="1" applyBorder="1" applyAlignment="1" applyProtection="1">
      <alignment horizontal="left" vertical="center" wrapText="1"/>
      <protection locked="0"/>
    </xf>
    <xf numFmtId="49" fontId="81" fillId="12" borderId="6" xfId="74" applyNumberFormat="1" applyFont="1" applyBorder="1" applyAlignment="1" applyProtection="1">
      <alignment horizontal="left" vertical="center"/>
      <protection locked="0"/>
    </xf>
    <xf numFmtId="49" fontId="81" fillId="12" borderId="9" xfId="74" applyNumberFormat="1" applyFont="1" applyBorder="1" applyAlignment="1" applyProtection="1">
      <alignment horizontal="left" vertical="center"/>
      <protection locked="0"/>
    </xf>
    <xf numFmtId="49" fontId="81" fillId="12" borderId="22" xfId="74" applyNumberFormat="1" applyFont="1" applyBorder="1" applyAlignment="1" applyProtection="1">
      <alignment horizontal="left" vertical="center" wrapText="1"/>
      <protection locked="0"/>
    </xf>
    <xf numFmtId="49" fontId="81" fillId="12" borderId="22" xfId="74" applyNumberFormat="1" applyFont="1" applyBorder="1" applyAlignment="1" applyProtection="1">
      <alignment horizontal="left" vertical="center"/>
      <protection locked="0"/>
    </xf>
    <xf numFmtId="49" fontId="81" fillId="12" borderId="44" xfId="74" applyNumberFormat="1" applyFont="1" applyBorder="1" applyAlignment="1" applyProtection="1">
      <alignment horizontal="left" vertical="center"/>
      <protection locked="0"/>
    </xf>
    <xf numFmtId="49" fontId="26" fillId="11" borderId="4" xfId="0" applyNumberFormat="1" applyFont="1" applyFill="1" applyBorder="1" applyAlignment="1" applyProtection="1">
      <alignment horizontal="center" vertical="center" wrapText="1"/>
      <protection locked="0"/>
    </xf>
    <xf numFmtId="49" fontId="26" fillId="11" borderId="4" xfId="0" applyNumberFormat="1" applyFont="1" applyFill="1" applyBorder="1" applyAlignment="1" applyProtection="1">
      <alignment horizontal="center" vertical="center"/>
      <protection locked="0"/>
    </xf>
    <xf numFmtId="49" fontId="11" fillId="0" borderId="0" xfId="0" applyNumberFormat="1" applyFont="1" applyAlignment="1" applyProtection="1">
      <alignment horizontal="left" wrapText="1"/>
      <protection locked="0"/>
    </xf>
    <xf numFmtId="49" fontId="11" fillId="0" borderId="0" xfId="0" applyNumberFormat="1" applyFont="1" applyAlignment="1" applyProtection="1">
      <alignment horizontal="left" vertical="center" wrapText="1"/>
      <protection locked="0"/>
    </xf>
    <xf numFmtId="49" fontId="15" fillId="2" borderId="4" xfId="0" applyNumberFormat="1" applyFont="1" applyFill="1" applyBorder="1" applyAlignment="1" applyProtection="1">
      <alignment horizontal="center" vertical="center" wrapText="1"/>
      <protection locked="0"/>
    </xf>
    <xf numFmtId="49" fontId="13" fillId="0" borderId="0" xfId="0" applyNumberFormat="1" applyFont="1" applyAlignment="1" applyProtection="1">
      <alignment horizontal="left"/>
      <protection locked="0"/>
    </xf>
    <xf numFmtId="49" fontId="16" fillId="0" borderId="4" xfId="0" applyNumberFormat="1" applyFont="1" applyBorder="1" applyAlignment="1" applyProtection="1">
      <alignment horizontal="center" vertical="center" wrapText="1"/>
      <protection locked="0"/>
    </xf>
    <xf numFmtId="49" fontId="16" fillId="0" borderId="4" xfId="0" applyNumberFormat="1" applyFont="1" applyBorder="1" applyAlignment="1" applyProtection="1">
      <alignment horizontal="left" vertical="center" wrapText="1"/>
      <protection locked="0"/>
    </xf>
    <xf numFmtId="49" fontId="16" fillId="0" borderId="4" xfId="0" applyNumberFormat="1" applyFont="1" applyBorder="1" applyAlignment="1" applyProtection="1">
      <alignment horizontal="center" vertical="center"/>
      <protection locked="0"/>
    </xf>
    <xf numFmtId="49" fontId="48" fillId="0" borderId="4" xfId="1" applyNumberFormat="1" applyFont="1" applyBorder="1" applyAlignment="1">
      <alignment horizontal="center" vertical="center" wrapText="1"/>
      <protection locked="0"/>
    </xf>
    <xf numFmtId="49" fontId="16" fillId="0" borderId="4" xfId="0" applyNumberFormat="1" applyFont="1" applyBorder="1" applyAlignment="1" applyProtection="1">
      <alignment horizontal="left" vertical="center"/>
      <protection locked="0"/>
    </xf>
    <xf numFmtId="49" fontId="15" fillId="5" borderId="4" xfId="0" applyNumberFormat="1" applyFont="1" applyFill="1" applyBorder="1" applyAlignment="1" applyProtection="1">
      <alignment horizontal="center" vertical="center" wrapText="1"/>
      <protection locked="0"/>
    </xf>
    <xf numFmtId="49" fontId="48" fillId="2" borderId="4" xfId="1" applyNumberFormat="1" applyFont="1" applyFill="1" applyBorder="1" applyAlignment="1">
      <alignment horizontal="center" vertical="center" wrapText="1"/>
      <protection locked="0"/>
    </xf>
    <xf numFmtId="49" fontId="16" fillId="0" borderId="4" xfId="0" applyNumberFormat="1" applyFont="1" applyBorder="1" applyAlignment="1" applyProtection="1">
      <alignment horizontal="center"/>
      <protection locked="0"/>
    </xf>
    <xf numFmtId="49" fontId="9" fillId="0" borderId="1" xfId="0" applyNumberFormat="1" applyFont="1" applyBorder="1" applyAlignment="1" applyProtection="1">
      <alignment horizontal="center" vertical="center"/>
      <protection locked="0"/>
    </xf>
    <xf numFmtId="49" fontId="9" fillId="0" borderId="10" xfId="0" applyNumberFormat="1" applyFont="1" applyBorder="1" applyAlignment="1" applyProtection="1">
      <alignment horizontal="center" vertical="center"/>
      <protection locked="0"/>
    </xf>
    <xf numFmtId="49" fontId="16" fillId="0" borderId="18" xfId="0" applyNumberFormat="1" applyFont="1" applyBorder="1" applyAlignment="1" applyProtection="1">
      <alignment horizontal="left" vertical="center" wrapText="1"/>
      <protection locked="0"/>
    </xf>
    <xf numFmtId="49" fontId="15" fillId="2" borderId="0" xfId="0" applyNumberFormat="1" applyFont="1" applyFill="1" applyAlignment="1" applyProtection="1">
      <alignment horizontal="center" vertical="center" wrapText="1"/>
      <protection locked="0"/>
    </xf>
    <xf numFmtId="49" fontId="15" fillId="2" borderId="28" xfId="0" applyNumberFormat="1" applyFont="1" applyFill="1" applyBorder="1" applyAlignment="1" applyProtection="1">
      <alignment horizontal="center" vertical="center" wrapText="1"/>
      <protection locked="0"/>
    </xf>
    <xf numFmtId="49" fontId="15" fillId="2" borderId="21" xfId="0" applyNumberFormat="1" applyFont="1" applyFill="1" applyBorder="1" applyAlignment="1" applyProtection="1">
      <alignment horizontal="center" vertical="center" wrapText="1"/>
      <protection locked="0"/>
    </xf>
    <xf numFmtId="49" fontId="15" fillId="2" borderId="24" xfId="0" applyNumberFormat="1" applyFont="1" applyFill="1" applyBorder="1" applyAlignment="1" applyProtection="1">
      <alignment horizontal="center" vertical="center" wrapText="1"/>
      <protection locked="0"/>
    </xf>
    <xf numFmtId="49" fontId="15" fillId="2" borderId="23" xfId="0" applyNumberFormat="1" applyFont="1" applyFill="1" applyBorder="1" applyAlignment="1" applyProtection="1">
      <alignment horizontal="center" vertical="center" wrapText="1"/>
      <protection locked="0"/>
    </xf>
    <xf numFmtId="49" fontId="9" fillId="0" borderId="4" xfId="0" applyNumberFormat="1" applyFont="1" applyBorder="1" applyAlignment="1" applyProtection="1">
      <alignment horizontal="center" vertical="center"/>
      <protection locked="0"/>
    </xf>
    <xf numFmtId="49" fontId="15" fillId="2" borderId="18" xfId="8" applyNumberFormat="1" applyFont="1" applyFill="1" applyBorder="1" applyAlignment="1" applyProtection="1">
      <alignment horizontal="center" vertical="center" wrapText="1"/>
      <protection locked="0"/>
    </xf>
    <xf numFmtId="49" fontId="15" fillId="2" borderId="11" xfId="8" applyNumberFormat="1" applyFont="1" applyFill="1" applyBorder="1" applyAlignment="1" applyProtection="1">
      <alignment horizontal="center" vertical="center" wrapText="1"/>
      <protection locked="0"/>
    </xf>
    <xf numFmtId="49" fontId="16" fillId="12" borderId="18" xfId="8" applyNumberFormat="1" applyFont="1" applyBorder="1" applyAlignment="1" applyProtection="1">
      <alignment horizontal="center" vertical="center" wrapText="1"/>
      <protection locked="0"/>
    </xf>
    <xf numFmtId="49" fontId="16" fillId="12" borderId="19" xfId="8" applyNumberFormat="1" applyFont="1" applyBorder="1" applyAlignment="1" applyProtection="1">
      <alignment horizontal="center" vertical="center" wrapText="1"/>
      <protection locked="0"/>
    </xf>
    <xf numFmtId="49" fontId="16" fillId="12" borderId="11" xfId="8" applyNumberFormat="1" applyFont="1" applyBorder="1" applyAlignment="1" applyProtection="1">
      <alignment horizontal="center" vertical="center" wrapText="1"/>
      <protection locked="0"/>
    </xf>
    <xf numFmtId="49" fontId="26" fillId="12" borderId="0" xfId="8" applyNumberFormat="1" applyFont="1" applyAlignment="1" applyProtection="1">
      <alignment horizontal="left" vertical="center" wrapText="1"/>
      <protection locked="0"/>
    </xf>
    <xf numFmtId="49" fontId="15" fillId="2" borderId="18" xfId="0" applyNumberFormat="1" applyFont="1" applyFill="1" applyBorder="1" applyAlignment="1" applyProtection="1">
      <alignment horizontal="center" vertical="center" wrapText="1"/>
      <protection locked="0"/>
    </xf>
    <xf numFmtId="49" fontId="15" fillId="2" borderId="19" xfId="0" applyNumberFormat="1" applyFont="1" applyFill="1" applyBorder="1" applyAlignment="1" applyProtection="1">
      <alignment horizontal="center" vertical="center" wrapText="1"/>
      <protection locked="0"/>
    </xf>
    <xf numFmtId="49" fontId="15" fillId="11" borderId="4" xfId="0" applyNumberFormat="1" applyFont="1" applyFill="1" applyBorder="1" applyAlignment="1" applyProtection="1">
      <alignment horizontal="center" vertical="center" wrapText="1"/>
      <protection locked="0"/>
    </xf>
    <xf numFmtId="49" fontId="15" fillId="11" borderId="18" xfId="0" applyNumberFormat="1" applyFont="1" applyFill="1" applyBorder="1" applyAlignment="1" applyProtection="1">
      <alignment horizontal="center" vertical="center" wrapText="1"/>
      <protection locked="0"/>
    </xf>
    <xf numFmtId="49" fontId="140" fillId="12" borderId="4" xfId="8" applyNumberFormat="1" applyFont="1" applyBorder="1" applyAlignment="1" applyProtection="1">
      <alignment horizontal="center" vertical="center" wrapText="1"/>
      <protection locked="0"/>
    </xf>
    <xf numFmtId="49" fontId="116" fillId="12" borderId="4" xfId="8" applyNumberFormat="1" applyFont="1" applyBorder="1" applyAlignment="1" applyProtection="1">
      <alignment horizontal="center" vertical="center" wrapText="1"/>
      <protection locked="0"/>
    </xf>
    <xf numFmtId="49" fontId="145" fillId="12" borderId="4" xfId="8" applyNumberFormat="1" applyFont="1" applyBorder="1" applyAlignment="1" applyProtection="1">
      <alignment horizontal="center" vertical="center" wrapText="1"/>
      <protection locked="0"/>
    </xf>
    <xf numFmtId="49" fontId="11" fillId="0" borderId="14" xfId="0" applyNumberFormat="1" applyFont="1" applyBorder="1" applyAlignment="1" applyProtection="1">
      <alignment horizontal="left"/>
      <protection locked="0"/>
    </xf>
    <xf numFmtId="49" fontId="11" fillId="0" borderId="0" xfId="0" applyNumberFormat="1" applyFont="1" applyAlignment="1" applyProtection="1">
      <alignment horizontal="left"/>
      <protection locked="0"/>
    </xf>
    <xf numFmtId="49" fontId="11" fillId="0" borderId="14" xfId="0" applyNumberFormat="1" applyFont="1" applyBorder="1" applyAlignment="1" applyProtection="1">
      <alignment horizontal="left" wrapText="1"/>
      <protection locked="0"/>
    </xf>
    <xf numFmtId="49" fontId="9" fillId="0" borderId="15" xfId="0" applyNumberFormat="1" applyFont="1" applyBorder="1" applyAlignment="1" applyProtection="1">
      <alignment horizontal="left" vertical="center" wrapText="1"/>
      <protection locked="0"/>
    </xf>
    <xf numFmtId="49" fontId="12" fillId="0" borderId="16" xfId="0" applyNumberFormat="1" applyFont="1" applyBorder="1" applyAlignment="1" applyProtection="1">
      <alignment horizontal="left" vertical="center" wrapText="1"/>
      <protection locked="0"/>
    </xf>
    <xf numFmtId="49" fontId="9" fillId="0" borderId="16" xfId="0" applyNumberFormat="1" applyFont="1" applyBorder="1" applyAlignment="1" applyProtection="1">
      <alignment horizontal="left" vertical="center" wrapText="1"/>
      <protection locked="0"/>
    </xf>
    <xf numFmtId="49" fontId="9" fillId="0" borderId="17" xfId="0" applyNumberFormat="1" applyFont="1" applyBorder="1" applyAlignment="1" applyProtection="1">
      <alignment horizontal="left" vertical="center" wrapText="1"/>
      <protection locked="0"/>
    </xf>
    <xf numFmtId="49" fontId="20" fillId="0" borderId="12" xfId="0" applyNumberFormat="1" applyFont="1" applyBorder="1" applyAlignment="1" applyProtection="1">
      <alignment horizontal="left" wrapText="1"/>
      <protection locked="0"/>
    </xf>
    <xf numFmtId="49" fontId="20" fillId="0" borderId="13" xfId="0" applyNumberFormat="1" applyFont="1" applyBorder="1" applyAlignment="1" applyProtection="1">
      <alignment horizontal="left"/>
      <protection locked="0"/>
    </xf>
    <xf numFmtId="49" fontId="52" fillId="2" borderId="4" xfId="0" applyNumberFormat="1" applyFont="1" applyFill="1" applyBorder="1" applyAlignment="1" applyProtection="1">
      <alignment horizontal="center" vertical="center" wrapText="1"/>
      <protection locked="0"/>
    </xf>
    <xf numFmtId="49" fontId="15" fillId="2" borderId="4" xfId="0" applyNumberFormat="1" applyFont="1" applyFill="1" applyBorder="1" applyAlignment="1" applyProtection="1">
      <alignment horizontal="center" vertical="center"/>
      <protection locked="0"/>
    </xf>
    <xf numFmtId="49" fontId="15" fillId="11" borderId="4" xfId="8" applyNumberFormat="1" applyFont="1" applyFill="1" applyBorder="1" applyAlignment="1" applyProtection="1">
      <alignment horizontal="center" vertical="center" wrapText="1"/>
      <protection locked="0"/>
    </xf>
    <xf numFmtId="49" fontId="15" fillId="0" borderId="4" xfId="0" applyNumberFormat="1" applyFont="1" applyBorder="1" applyAlignment="1" applyProtection="1">
      <alignment horizontal="center" vertical="center" wrapText="1"/>
      <protection locked="0"/>
    </xf>
    <xf numFmtId="49" fontId="15" fillId="2" borderId="15" xfId="0" applyNumberFormat="1" applyFont="1" applyFill="1" applyBorder="1" applyAlignment="1" applyProtection="1">
      <alignment horizontal="center" vertical="center" wrapText="1"/>
      <protection locked="0"/>
    </xf>
    <xf numFmtId="49" fontId="15" fillId="11" borderId="12" xfId="0" applyNumberFormat="1" applyFont="1" applyFill="1" applyBorder="1" applyAlignment="1" applyProtection="1">
      <alignment horizontal="center" vertical="center" wrapText="1"/>
      <protection locked="0"/>
    </xf>
    <xf numFmtId="49" fontId="15" fillId="11" borderId="13" xfId="0" applyNumberFormat="1" applyFont="1" applyFill="1" applyBorder="1" applyAlignment="1" applyProtection="1">
      <alignment horizontal="center" vertical="center" wrapText="1"/>
      <protection locked="0"/>
    </xf>
    <xf numFmtId="49" fontId="15" fillId="11" borderId="27" xfId="0" applyNumberFormat="1" applyFont="1" applyFill="1" applyBorder="1" applyAlignment="1" applyProtection="1">
      <alignment horizontal="center" vertical="center" wrapText="1"/>
      <protection locked="0"/>
    </xf>
    <xf numFmtId="49" fontId="26" fillId="0" borderId="4" xfId="0" applyNumberFormat="1" applyFont="1" applyBorder="1" applyAlignment="1" applyProtection="1">
      <alignment horizontal="center" vertical="center" wrapText="1"/>
      <protection locked="0"/>
    </xf>
    <xf numFmtId="49" fontId="26" fillId="0" borderId="4" xfId="0" applyNumberFormat="1" applyFont="1" applyBorder="1" applyAlignment="1" applyProtection="1">
      <alignment horizontal="center" vertical="center"/>
      <protection locked="0"/>
    </xf>
    <xf numFmtId="49" fontId="16" fillId="0" borderId="18" xfId="0" applyNumberFormat="1" applyFont="1" applyBorder="1" applyAlignment="1" applyProtection="1">
      <alignment horizontal="center"/>
      <protection locked="0"/>
    </xf>
    <xf numFmtId="49" fontId="16" fillId="0" borderId="11" xfId="0" applyNumberFormat="1" applyFont="1" applyBorder="1" applyAlignment="1" applyProtection="1">
      <alignment horizontal="center"/>
      <protection locked="0"/>
    </xf>
    <xf numFmtId="49" fontId="146" fillId="12" borderId="18" xfId="8" applyNumberFormat="1" applyFont="1" applyBorder="1" applyAlignment="1" applyProtection="1">
      <alignment horizontal="left" wrapText="1"/>
      <protection locked="0"/>
    </xf>
    <xf numFmtId="49" fontId="146" fillId="12" borderId="11" xfId="8" applyNumberFormat="1" applyFont="1" applyBorder="1" applyAlignment="1" applyProtection="1">
      <alignment horizontal="left" wrapText="1"/>
      <protection locked="0"/>
    </xf>
    <xf numFmtId="49" fontId="16" fillId="0" borderId="18" xfId="0" applyNumberFormat="1" applyFont="1" applyBorder="1" applyAlignment="1" applyProtection="1">
      <alignment horizontal="center" vertical="center"/>
      <protection locked="0"/>
    </xf>
    <xf numFmtId="49" fontId="16" fillId="0" borderId="11" xfId="0" applyNumberFormat="1" applyFont="1" applyBorder="1" applyAlignment="1" applyProtection="1">
      <alignment horizontal="center" vertical="center"/>
      <protection locked="0"/>
    </xf>
    <xf numFmtId="49" fontId="16" fillId="0" borderId="18" xfId="0" applyNumberFormat="1" applyFont="1" applyBorder="1" applyAlignment="1" applyProtection="1">
      <alignment horizontal="left" wrapText="1"/>
      <protection locked="0"/>
    </xf>
    <xf numFmtId="49" fontId="16" fillId="0" borderId="11" xfId="0" applyNumberFormat="1" applyFont="1" applyBorder="1" applyAlignment="1" applyProtection="1">
      <alignment horizontal="left" wrapText="1"/>
      <protection locked="0"/>
    </xf>
    <xf numFmtId="0" fontId="16" fillId="0" borderId="18" xfId="0" applyNumberFormat="1" applyFont="1" applyBorder="1" applyAlignment="1" applyProtection="1">
      <alignment horizontal="center" vertical="center"/>
      <protection locked="0"/>
    </xf>
    <xf numFmtId="0" fontId="16" fillId="0" borderId="11" xfId="0" applyNumberFormat="1" applyFont="1" applyBorder="1" applyAlignment="1" applyProtection="1">
      <alignment horizontal="center" vertical="center"/>
      <protection locked="0"/>
    </xf>
    <xf numFmtId="49" fontId="26" fillId="0" borderId="18" xfId="0" applyNumberFormat="1" applyFont="1" applyBorder="1" applyAlignment="1" applyProtection="1">
      <alignment horizontal="center" vertical="center"/>
      <protection locked="0"/>
    </xf>
    <xf numFmtId="49" fontId="26" fillId="0" borderId="11" xfId="0" applyNumberFormat="1" applyFont="1" applyBorder="1" applyAlignment="1" applyProtection="1">
      <alignment horizontal="center" vertical="center"/>
      <protection locked="0"/>
    </xf>
    <xf numFmtId="49" fontId="16" fillId="0" borderId="16" xfId="0" applyNumberFormat="1" applyFont="1" applyBorder="1" applyAlignment="1" applyProtection="1">
      <alignment horizontal="left" vertical="center" wrapText="1"/>
      <protection locked="0"/>
    </xf>
    <xf numFmtId="49" fontId="16" fillId="0" borderId="15" xfId="0" applyNumberFormat="1" applyFont="1" applyBorder="1" applyAlignment="1" applyProtection="1">
      <alignment horizontal="left" vertical="center" wrapText="1"/>
      <protection locked="0"/>
    </xf>
    <xf numFmtId="49" fontId="16" fillId="0" borderId="17" xfId="0" applyNumberFormat="1" applyFont="1" applyBorder="1" applyAlignment="1" applyProtection="1">
      <alignment horizontal="left" vertical="center" wrapText="1"/>
      <protection locked="0"/>
    </xf>
    <xf numFmtId="49" fontId="20" fillId="0" borderId="0" xfId="0" applyNumberFormat="1" applyFont="1" applyAlignment="1" applyProtection="1">
      <alignment horizontal="left"/>
      <protection locked="0"/>
    </xf>
    <xf numFmtId="49" fontId="16" fillId="0" borderId="0" xfId="0" applyNumberFormat="1" applyFont="1" applyAlignment="1" applyProtection="1">
      <protection locked="0"/>
    </xf>
    <xf numFmtId="49" fontId="16" fillId="0" borderId="16" xfId="0" applyNumberFormat="1" applyFont="1" applyBorder="1" applyAlignment="1" applyProtection="1">
      <alignment horizontal="left" wrapText="1"/>
      <protection locked="0"/>
    </xf>
    <xf numFmtId="176" fontId="64" fillId="12" borderId="0" xfId="2" applyFont="1" applyFill="1" applyAlignment="1" applyProtection="1">
      <alignment horizontal="left" vertical="top" wrapText="1"/>
      <protection locked="0"/>
    </xf>
    <xf numFmtId="176" fontId="64" fillId="12" borderId="0" xfId="2" applyFont="1" applyFill="1" applyAlignment="1" applyProtection="1">
      <alignment horizontal="left" vertical="top"/>
      <protection locked="0"/>
    </xf>
    <xf numFmtId="49" fontId="101" fillId="13" borderId="18" xfId="0" applyNumberFormat="1" applyFont="1" applyFill="1" applyBorder="1" applyAlignment="1" applyProtection="1">
      <alignment horizontal="left" vertical="center" wrapText="1"/>
      <protection locked="0"/>
    </xf>
    <xf numFmtId="49" fontId="101" fillId="13" borderId="19" xfId="0" applyNumberFormat="1" applyFont="1" applyFill="1" applyBorder="1" applyAlignment="1" applyProtection="1">
      <alignment horizontal="left" vertical="center" wrapText="1"/>
      <protection locked="0"/>
    </xf>
    <xf numFmtId="49" fontId="101" fillId="13" borderId="11" xfId="0" applyNumberFormat="1" applyFont="1" applyFill="1" applyBorder="1" applyAlignment="1" applyProtection="1">
      <alignment horizontal="left" vertical="center" wrapText="1"/>
      <protection locked="0"/>
    </xf>
    <xf numFmtId="49" fontId="13" fillId="13" borderId="18" xfId="0" applyNumberFormat="1" applyFont="1" applyFill="1" applyBorder="1" applyAlignment="1" applyProtection="1">
      <alignment horizontal="center" vertical="center"/>
      <protection locked="0"/>
    </xf>
    <xf numFmtId="49" fontId="13" fillId="13" borderId="19" xfId="0" applyNumberFormat="1" applyFont="1" applyFill="1" applyBorder="1" applyAlignment="1" applyProtection="1">
      <alignment horizontal="center" vertical="center"/>
      <protection locked="0"/>
    </xf>
    <xf numFmtId="49" fontId="13" fillId="13" borderId="11" xfId="0" applyNumberFormat="1" applyFont="1" applyFill="1" applyBorder="1" applyAlignment="1" applyProtection="1">
      <alignment horizontal="center" vertical="center"/>
      <protection locked="0"/>
    </xf>
    <xf numFmtId="49" fontId="11" fillId="13" borderId="4" xfId="0" applyNumberFormat="1" applyFont="1" applyFill="1" applyBorder="1" applyAlignment="1" applyProtection="1">
      <alignment horizontal="center" vertical="center"/>
      <protection locked="0"/>
    </xf>
    <xf numFmtId="0" fontId="13" fillId="18" borderId="4" xfId="9" applyNumberFormat="1" applyFont="1" applyFill="1" applyBorder="1" applyAlignment="1" applyProtection="1">
      <alignment horizontal="center" vertical="center"/>
      <protection locked="0"/>
    </xf>
    <xf numFmtId="0" fontId="13" fillId="18" borderId="4" xfId="9" applyNumberFormat="1" applyFont="1" applyFill="1" applyBorder="1" applyAlignment="1" applyProtection="1">
      <alignment horizontal="left" vertical="center" wrapText="1"/>
      <protection locked="0"/>
    </xf>
    <xf numFmtId="0" fontId="13" fillId="18" borderId="4" xfId="9" applyNumberFormat="1" applyFont="1" applyFill="1" applyBorder="1" applyAlignment="1" applyProtection="1">
      <alignment horizontal="left" vertical="center"/>
      <protection locked="0"/>
    </xf>
    <xf numFmtId="49" fontId="13" fillId="0" borderId="18" xfId="0" applyNumberFormat="1" applyFont="1" applyBorder="1" applyAlignment="1" applyProtection="1">
      <alignment horizontal="center" vertical="center"/>
      <protection locked="0"/>
    </xf>
    <xf numFmtId="49" fontId="13" fillId="0" borderId="11" xfId="0" applyNumberFormat="1" applyFont="1" applyBorder="1" applyAlignment="1" applyProtection="1">
      <alignment horizontal="center" vertical="center"/>
      <protection locked="0"/>
    </xf>
    <xf numFmtId="0" fontId="13" fillId="12" borderId="18" xfId="9" applyNumberFormat="1" applyFont="1" applyBorder="1" applyAlignment="1" applyProtection="1">
      <alignment horizontal="center" vertical="center"/>
      <protection locked="0"/>
    </xf>
    <xf numFmtId="0" fontId="13" fillId="12" borderId="11" xfId="9" applyNumberFormat="1" applyFont="1" applyBorder="1" applyAlignment="1" applyProtection="1">
      <alignment horizontal="center" vertical="center"/>
      <protection locked="0"/>
    </xf>
    <xf numFmtId="49" fontId="94" fillId="0" borderId="4" xfId="0" applyNumberFormat="1" applyFont="1" applyBorder="1" applyAlignment="1" applyProtection="1">
      <alignment horizontal="left" vertical="center" wrapText="1"/>
      <protection locked="0"/>
    </xf>
    <xf numFmtId="49" fontId="11" fillId="0" borderId="4" xfId="0" applyNumberFormat="1" applyFont="1" applyBorder="1" applyAlignment="1" applyProtection="1">
      <alignment horizontal="center" vertical="center"/>
      <protection locked="0"/>
    </xf>
    <xf numFmtId="49" fontId="107" fillId="0" borderId="4" xfId="0" applyNumberFormat="1" applyFont="1" applyBorder="1" applyAlignment="1" applyProtection="1">
      <alignment horizontal="center" vertical="center" wrapText="1"/>
      <protection locked="0"/>
    </xf>
    <xf numFmtId="49" fontId="107" fillId="0" borderId="4" xfId="0" applyNumberFormat="1" applyFont="1" applyBorder="1" applyAlignment="1" applyProtection="1">
      <alignment horizontal="center" vertical="center"/>
      <protection locked="0"/>
    </xf>
    <xf numFmtId="49" fontId="77" fillId="13" borderId="4" xfId="0" applyNumberFormat="1" applyFont="1" applyFill="1" applyBorder="1" applyAlignment="1" applyProtection="1">
      <alignment horizontal="left" vertical="center" wrapText="1"/>
      <protection locked="0"/>
    </xf>
    <xf numFmtId="49" fontId="77" fillId="0" borderId="4" xfId="0" applyNumberFormat="1" applyFont="1" applyBorder="1" applyAlignment="1" applyProtection="1">
      <alignment horizontal="left" vertical="center" wrapText="1"/>
      <protection locked="0"/>
    </xf>
    <xf numFmtId="49" fontId="77" fillId="12" borderId="4" xfId="8" applyNumberFormat="1" applyFont="1" applyBorder="1" applyAlignment="1" applyProtection="1">
      <alignment horizontal="left" vertical="center" wrapText="1"/>
      <protection locked="0"/>
    </xf>
    <xf numFmtId="49" fontId="89" fillId="0" borderId="15" xfId="0" applyNumberFormat="1" applyFont="1" applyBorder="1" applyAlignment="1" applyProtection="1">
      <alignment horizontal="center" vertical="center" wrapText="1"/>
      <protection locked="0"/>
    </xf>
    <xf numFmtId="49" fontId="89" fillId="0" borderId="16" xfId="0" applyNumberFormat="1" applyFont="1" applyBorder="1" applyAlignment="1" applyProtection="1">
      <alignment horizontal="center" vertical="center" wrapText="1"/>
      <protection locked="0"/>
    </xf>
    <xf numFmtId="49" fontId="89" fillId="0" borderId="17" xfId="0" applyNumberFormat="1" applyFont="1" applyBorder="1" applyAlignment="1" applyProtection="1">
      <alignment horizontal="center" vertical="center" wrapText="1"/>
      <protection locked="0"/>
    </xf>
    <xf numFmtId="49" fontId="89" fillId="0" borderId="4" xfId="0" applyNumberFormat="1" applyFont="1" applyBorder="1" applyAlignment="1" applyProtection="1">
      <alignment horizontal="center" vertical="center"/>
      <protection locked="0"/>
    </xf>
    <xf numFmtId="49" fontId="89" fillId="0" borderId="4" xfId="0" applyNumberFormat="1" applyFont="1" applyBorder="1" applyAlignment="1" applyProtection="1">
      <alignment horizontal="center" vertical="center" wrapText="1"/>
      <protection locked="0"/>
    </xf>
    <xf numFmtId="49" fontId="77" fillId="0" borderId="18" xfId="0" applyNumberFormat="1" applyFont="1" applyBorder="1" applyAlignment="1" applyProtection="1">
      <alignment horizontal="left" vertical="center" wrapText="1"/>
      <protection locked="0"/>
    </xf>
    <xf numFmtId="49" fontId="77" fillId="0" borderId="11" xfId="0" applyNumberFormat="1" applyFont="1" applyBorder="1" applyAlignment="1" applyProtection="1">
      <alignment horizontal="left" vertical="center" wrapText="1"/>
      <protection locked="0"/>
    </xf>
    <xf numFmtId="0" fontId="13" fillId="12" borderId="4" xfId="9" applyNumberFormat="1" applyFont="1" applyBorder="1" applyAlignment="1" applyProtection="1">
      <alignment horizontal="center" vertical="center"/>
      <protection locked="0"/>
    </xf>
    <xf numFmtId="0" fontId="13" fillId="12" borderId="4" xfId="9" applyNumberFormat="1" applyFont="1" applyBorder="1" applyAlignment="1" applyProtection="1">
      <alignment horizontal="center" vertical="center" wrapText="1"/>
      <protection locked="0"/>
    </xf>
    <xf numFmtId="49" fontId="13" fillId="0" borderId="4" xfId="0" applyNumberFormat="1" applyFont="1" applyBorder="1" applyAlignment="1" applyProtection="1">
      <alignment horizontal="center" vertical="center"/>
      <protection locked="0"/>
    </xf>
    <xf numFmtId="49" fontId="13" fillId="0" borderId="4" xfId="0" applyNumberFormat="1" applyFont="1" applyBorder="1" applyAlignment="1" applyProtection="1">
      <alignment horizontal="center" vertical="center" wrapText="1"/>
      <protection locked="0"/>
    </xf>
    <xf numFmtId="176" fontId="74" fillId="0" borderId="18" xfId="0" applyFont="1" applyBorder="1" applyAlignment="1">
      <alignment horizontal="center" vertical="center" wrapText="1" readingOrder="1"/>
    </xf>
    <xf numFmtId="176" fontId="0" fillId="0" borderId="11" xfId="0" applyBorder="1" applyAlignment="1">
      <alignment horizontal="center" vertical="center" wrapText="1" readingOrder="1"/>
    </xf>
    <xf numFmtId="176" fontId="83" fillId="0" borderId="4" xfId="0" applyFont="1" applyBorder="1" applyAlignment="1">
      <alignment horizontal="left" vertical="center"/>
    </xf>
    <xf numFmtId="176" fontId="83" fillId="0" borderId="18" xfId="0" applyFont="1" applyBorder="1" applyAlignment="1">
      <alignment horizontal="left" vertical="center"/>
    </xf>
    <xf numFmtId="176" fontId="83" fillId="0" borderId="11" xfId="0" applyFont="1" applyBorder="1" applyAlignment="1">
      <alignment horizontal="left" vertical="center"/>
    </xf>
    <xf numFmtId="176" fontId="83" fillId="0" borderId="4" xfId="0" applyFont="1" applyBorder="1" applyAlignment="1">
      <alignment horizontal="center" vertical="center"/>
    </xf>
    <xf numFmtId="177" fontId="83" fillId="0" borderId="4" xfId="0" applyNumberFormat="1" applyFont="1" applyBorder="1" applyAlignment="1">
      <alignment horizontal="center" vertical="center"/>
    </xf>
    <xf numFmtId="176" fontId="83" fillId="0" borderId="19" xfId="0" applyFont="1" applyBorder="1" applyAlignment="1">
      <alignment horizontal="left" vertical="center"/>
    </xf>
    <xf numFmtId="0" fontId="40" fillId="12" borderId="21" xfId="9" applyNumberFormat="1" applyBorder="1" applyAlignment="1" applyProtection="1">
      <alignment horizontal="center"/>
      <protection locked="0"/>
    </xf>
    <xf numFmtId="176" fontId="83" fillId="0" borderId="15" xfId="0" applyFont="1" applyBorder="1" applyAlignment="1">
      <alignment horizontal="left" vertical="center"/>
    </xf>
    <xf numFmtId="176" fontId="83" fillId="0" borderId="16" xfId="0" applyFont="1" applyBorder="1" applyAlignment="1">
      <alignment horizontal="left" vertical="center"/>
    </xf>
    <xf numFmtId="176" fontId="83" fillId="0" borderId="17" xfId="0" applyFont="1" applyBorder="1" applyAlignment="1">
      <alignment horizontal="left" vertical="center"/>
    </xf>
    <xf numFmtId="49" fontId="76" fillId="0" borderId="35" xfId="0" applyNumberFormat="1" applyFont="1" applyBorder="1" applyAlignment="1" applyProtection="1">
      <alignment horizontal="center" vertical="center"/>
      <protection locked="0"/>
    </xf>
    <xf numFmtId="49" fontId="76" fillId="0" borderId="21" xfId="0" applyNumberFormat="1" applyFont="1" applyBorder="1" applyAlignment="1" applyProtection="1">
      <alignment horizontal="center" vertical="center"/>
      <protection locked="0"/>
    </xf>
    <xf numFmtId="49" fontId="76" fillId="0" borderId="15" xfId="0" applyNumberFormat="1" applyFont="1" applyBorder="1" applyAlignment="1" applyProtection="1">
      <alignment horizontal="center" vertical="center"/>
      <protection locked="0"/>
    </xf>
    <xf numFmtId="49" fontId="76" fillId="0" borderId="16" xfId="0" applyNumberFormat="1" applyFont="1" applyBorder="1" applyAlignment="1" applyProtection="1">
      <alignment horizontal="center" vertical="center"/>
      <protection locked="0"/>
    </xf>
    <xf numFmtId="49" fontId="76" fillId="0" borderId="17" xfId="0" applyNumberFormat="1" applyFont="1" applyBorder="1" applyAlignment="1" applyProtection="1">
      <alignment horizontal="center" vertical="center"/>
      <protection locked="0"/>
    </xf>
    <xf numFmtId="49" fontId="75" fillId="0" borderId="15" xfId="0" applyNumberFormat="1" applyFont="1" applyBorder="1" applyAlignment="1" applyProtection="1">
      <alignment horizontal="center" vertical="center" wrapText="1"/>
      <protection locked="0"/>
    </xf>
    <xf numFmtId="49" fontId="75" fillId="0" borderId="16" xfId="0" applyNumberFormat="1" applyFont="1" applyBorder="1" applyAlignment="1" applyProtection="1">
      <alignment horizontal="center" vertical="center" wrapText="1"/>
      <protection locked="0"/>
    </xf>
    <xf numFmtId="49" fontId="75" fillId="0" borderId="17" xfId="0" applyNumberFormat="1" applyFont="1" applyBorder="1" applyAlignment="1" applyProtection="1">
      <alignment horizontal="center" vertical="center" wrapText="1"/>
      <protection locked="0"/>
    </xf>
    <xf numFmtId="49" fontId="75" fillId="0" borderId="26" xfId="0" applyNumberFormat="1" applyFont="1" applyBorder="1" applyAlignment="1" applyProtection="1">
      <alignment horizontal="center" vertical="center"/>
      <protection locked="0"/>
    </xf>
    <xf numFmtId="49" fontId="75" fillId="0" borderId="32" xfId="0" applyNumberFormat="1" applyFont="1" applyBorder="1" applyAlignment="1" applyProtection="1">
      <alignment horizontal="center" vertical="center"/>
      <protection locked="0"/>
    </xf>
    <xf numFmtId="0" fontId="40" fillId="12" borderId="19" xfId="9" applyNumberFormat="1" applyBorder="1" applyAlignment="1" applyProtection="1">
      <alignment horizontal="left" vertical="center"/>
      <protection locked="0"/>
    </xf>
    <xf numFmtId="49" fontId="75" fillId="0" borderId="18" xfId="0" applyNumberFormat="1" applyFont="1" applyBorder="1" applyAlignment="1" applyProtection="1">
      <alignment horizontal="left" vertical="center" wrapText="1"/>
      <protection locked="0"/>
    </xf>
    <xf numFmtId="49" fontId="75" fillId="0" borderId="19" xfId="0" applyNumberFormat="1" applyFont="1" applyBorder="1" applyAlignment="1" applyProtection="1">
      <alignment horizontal="left" vertical="center" wrapText="1"/>
      <protection locked="0"/>
    </xf>
    <xf numFmtId="49" fontId="75" fillId="0" borderId="11" xfId="0" applyNumberFormat="1" applyFont="1" applyBorder="1" applyAlignment="1" applyProtection="1">
      <alignment horizontal="left" vertical="center" wrapText="1"/>
      <protection locked="0"/>
    </xf>
    <xf numFmtId="49" fontId="75" fillId="0" borderId="36" xfId="0" applyNumberFormat="1" applyFont="1" applyBorder="1" applyAlignment="1" applyProtection="1">
      <alignment horizontal="left" vertical="center"/>
      <protection locked="0"/>
    </xf>
    <xf numFmtId="49" fontId="75" fillId="0" borderId="31" xfId="0" applyNumberFormat="1" applyFont="1" applyBorder="1" applyAlignment="1" applyProtection="1">
      <alignment horizontal="left" vertical="center"/>
      <protection locked="0"/>
    </xf>
    <xf numFmtId="176" fontId="64" fillId="7" borderId="0" xfId="2" applyFont="1" applyAlignment="1" applyProtection="1">
      <alignment horizontal="left" vertical="top" wrapText="1"/>
      <protection locked="0"/>
    </xf>
    <xf numFmtId="49" fontId="13" fillId="0" borderId="4" xfId="0" applyNumberFormat="1" applyFont="1" applyBorder="1" applyAlignment="1" applyProtection="1">
      <alignment horizontal="left" vertical="center" wrapText="1"/>
      <protection locked="0"/>
    </xf>
    <xf numFmtId="49" fontId="75" fillId="0" borderId="33" xfId="0" applyNumberFormat="1" applyFont="1" applyBorder="1" applyAlignment="1" applyProtection="1">
      <alignment horizontal="center" vertical="center" wrapText="1"/>
      <protection locked="0"/>
    </xf>
    <xf numFmtId="49" fontId="75" fillId="0" borderId="34" xfId="0" applyNumberFormat="1" applyFont="1" applyBorder="1" applyAlignment="1" applyProtection="1">
      <alignment horizontal="center" vertical="center" wrapText="1"/>
      <protection locked="0"/>
    </xf>
    <xf numFmtId="49" fontId="75" fillId="0" borderId="40" xfId="0" applyNumberFormat="1" applyFont="1" applyBorder="1" applyAlignment="1" applyProtection="1">
      <alignment horizontal="center" vertical="center" wrapText="1"/>
      <protection locked="0"/>
    </xf>
    <xf numFmtId="0" fontId="94" fillId="16" borderId="18" xfId="0" applyNumberFormat="1" applyFont="1" applyFill="1" applyBorder="1" applyAlignment="1">
      <alignment horizontal="left" vertical="center" wrapText="1"/>
    </xf>
    <xf numFmtId="0" fontId="94" fillId="16" borderId="11" xfId="0" applyNumberFormat="1" applyFont="1" applyFill="1" applyBorder="1" applyAlignment="1">
      <alignment horizontal="left" vertical="center" wrapText="1"/>
    </xf>
    <xf numFmtId="0" fontId="94" fillId="16" borderId="19" xfId="0" applyNumberFormat="1" applyFont="1" applyFill="1" applyBorder="1" applyAlignment="1">
      <alignment horizontal="left" vertical="center" wrapText="1"/>
    </xf>
    <xf numFmtId="0" fontId="94" fillId="16" borderId="18" xfId="0" applyNumberFormat="1" applyFont="1" applyFill="1" applyBorder="1" applyAlignment="1">
      <alignment horizontal="left" vertical="center"/>
    </xf>
    <xf numFmtId="0" fontId="94" fillId="16" borderId="19" xfId="0" applyNumberFormat="1" applyFont="1" applyFill="1" applyBorder="1" applyAlignment="1">
      <alignment horizontal="left" vertical="center"/>
    </xf>
    <xf numFmtId="0" fontId="94" fillId="16" borderId="11" xfId="0" applyNumberFormat="1" applyFont="1" applyFill="1" applyBorder="1" applyAlignment="1">
      <alignment horizontal="left" vertical="center"/>
    </xf>
    <xf numFmtId="0" fontId="107" fillId="16" borderId="18" xfId="0" applyNumberFormat="1" applyFont="1" applyFill="1" applyBorder="1" applyAlignment="1">
      <alignment horizontal="center" vertical="center"/>
    </xf>
    <xf numFmtId="0" fontId="107" fillId="16" borderId="19" xfId="0" applyNumberFormat="1" applyFont="1" applyFill="1" applyBorder="1" applyAlignment="1">
      <alignment horizontal="center" vertical="center"/>
    </xf>
    <xf numFmtId="0" fontId="107" fillId="16" borderId="11" xfId="0" applyNumberFormat="1" applyFont="1" applyFill="1" applyBorder="1" applyAlignment="1">
      <alignment horizontal="center" vertical="center"/>
    </xf>
    <xf numFmtId="0" fontId="107" fillId="16" borderId="15" xfId="0" applyNumberFormat="1" applyFont="1" applyFill="1" applyBorder="1" applyAlignment="1">
      <alignment horizontal="center" vertical="center" wrapText="1"/>
    </xf>
    <xf numFmtId="0" fontId="107" fillId="16" borderId="16" xfId="0" applyNumberFormat="1" applyFont="1" applyFill="1" applyBorder="1" applyAlignment="1">
      <alignment horizontal="center" vertical="center" wrapText="1"/>
    </xf>
    <xf numFmtId="0" fontId="107" fillId="16" borderId="17" xfId="0" applyNumberFormat="1" applyFont="1" applyFill="1" applyBorder="1" applyAlignment="1">
      <alignment horizontal="center" vertical="center" wrapText="1"/>
    </xf>
    <xf numFmtId="0" fontId="107" fillId="16" borderId="15" xfId="0" applyNumberFormat="1" applyFont="1" applyFill="1" applyBorder="1" applyAlignment="1">
      <alignment horizontal="center" vertical="center"/>
    </xf>
    <xf numFmtId="0" fontId="107" fillId="16" borderId="17" xfId="0" applyNumberFormat="1" applyFont="1" applyFill="1" applyBorder="1" applyAlignment="1">
      <alignment horizontal="center" vertical="center"/>
    </xf>
    <xf numFmtId="49" fontId="76" fillId="0" borderId="41" xfId="0" applyNumberFormat="1" applyFont="1" applyBorder="1" applyAlignment="1" applyProtection="1">
      <alignment horizontal="center" vertical="center"/>
      <protection locked="0"/>
    </xf>
    <xf numFmtId="49" fontId="76" fillId="0" borderId="42" xfId="0" applyNumberFormat="1" applyFont="1" applyBorder="1" applyAlignment="1" applyProtection="1">
      <alignment horizontal="center" vertical="center"/>
      <protection locked="0"/>
    </xf>
    <xf numFmtId="49" fontId="76" fillId="0" borderId="43" xfId="0" applyNumberFormat="1" applyFont="1" applyBorder="1" applyAlignment="1" applyProtection="1">
      <alignment horizontal="center" vertical="center"/>
      <protection locked="0"/>
    </xf>
    <xf numFmtId="0" fontId="40" fillId="12" borderId="19" xfId="9" applyNumberFormat="1" applyBorder="1" applyAlignment="1" applyProtection="1">
      <alignment horizontal="left" vertical="center" wrapText="1"/>
      <protection locked="0"/>
    </xf>
    <xf numFmtId="176" fontId="83" fillId="0" borderId="36" xfId="0" applyFont="1" applyBorder="1" applyAlignment="1">
      <alignment horizontal="left" vertical="center"/>
    </xf>
    <xf numFmtId="176" fontId="83" fillId="0" borderId="31" xfId="0" applyFont="1" applyBorder="1" applyAlignment="1">
      <alignment horizontal="left" vertical="center"/>
    </xf>
    <xf numFmtId="49" fontId="14" fillId="11" borderId="4" xfId="3" applyNumberFormat="1" applyFont="1" applyFill="1" applyBorder="1" applyAlignment="1" applyProtection="1">
      <alignment horizontal="center" vertical="center"/>
      <protection locked="0"/>
    </xf>
    <xf numFmtId="49" fontId="14" fillId="11" borderId="4" xfId="3" applyNumberFormat="1" applyFont="1" applyFill="1" applyBorder="1" applyAlignment="1" applyProtection="1">
      <alignment horizontal="center" vertical="top"/>
      <protection locked="0"/>
    </xf>
    <xf numFmtId="49" fontId="14" fillId="4" borderId="4" xfId="3" applyNumberFormat="1" applyFont="1" applyFill="1" applyBorder="1" applyAlignment="1" applyProtection="1">
      <alignment horizontal="center" vertical="center"/>
      <protection locked="0"/>
    </xf>
    <xf numFmtId="49" fontId="14" fillId="14" borderId="4" xfId="3" applyNumberFormat="1" applyFont="1" applyFill="1" applyBorder="1" applyAlignment="1" applyProtection="1">
      <alignment horizontal="left" vertical="center"/>
      <protection locked="0"/>
    </xf>
    <xf numFmtId="49" fontId="14" fillId="6" borderId="4" xfId="3" applyNumberFormat="1" applyFont="1" applyFill="1" applyBorder="1" applyAlignment="1" applyProtection="1">
      <alignment horizontal="left" vertical="center"/>
      <protection locked="0"/>
    </xf>
    <xf numFmtId="49" fontId="15" fillId="2" borderId="4" xfId="3" applyNumberFormat="1" applyFont="1" applyFill="1" applyBorder="1" applyAlignment="1" applyProtection="1">
      <alignment horizontal="center" vertical="center" wrapText="1"/>
      <protection locked="0"/>
    </xf>
    <xf numFmtId="49" fontId="11" fillId="12" borderId="0" xfId="3" applyNumberFormat="1" applyFont="1" applyAlignment="1" applyProtection="1">
      <alignment horizontal="left"/>
      <protection locked="0"/>
    </xf>
    <xf numFmtId="49" fontId="11" fillId="0" borderId="0" xfId="0" applyNumberFormat="1" applyFont="1" applyAlignment="1">
      <alignment horizontal="left" vertical="top" wrapText="1"/>
    </xf>
  </cellXfs>
  <cellStyles count="1256">
    <cellStyle name="一般" xfId="0" builtinId="0"/>
    <cellStyle name="一般 10" xfId="8" xr:uid="{3B0069F4-60FD-4A46-9CDE-F72AC728724F}"/>
    <cellStyle name="一般 11" xfId="17" xr:uid="{B7C3E585-B15A-429F-BEE8-B4436D1DC001}"/>
    <cellStyle name="一般 12" xfId="18" xr:uid="{A054830F-E51D-48C1-A33E-3CAEBA2BE0FC}"/>
    <cellStyle name="一般 13" xfId="19" xr:uid="{52EAD40B-8000-4A40-9D65-F3D545B4485D}"/>
    <cellStyle name="一般 14" xfId="10" xr:uid="{5C6A3EAE-13AE-4E10-A0F9-1D10CBEE9122}"/>
    <cellStyle name="一般 14 2" xfId="74" xr:uid="{B7068E1B-46A3-4209-A278-B9BADD0D65E9}"/>
    <cellStyle name="一般 15" xfId="11" xr:uid="{280217F9-B527-4925-A545-6686C3E5E41F}"/>
    <cellStyle name="一般 16" xfId="12" xr:uid="{826320C6-9EC0-414F-BFE4-FF0223585C6F}"/>
    <cellStyle name="一般 17" xfId="20" xr:uid="{D5E30FB3-1279-49C6-A0D4-75936275C676}"/>
    <cellStyle name="一般 17 10" xfId="249" xr:uid="{F5B91821-CE0C-497F-9995-97A000EA333F}"/>
    <cellStyle name="一般 17 10 2" xfId="836" xr:uid="{629350C5-434A-46BB-974A-2198FBDF6B9D}"/>
    <cellStyle name="一般 17 11" xfId="442" xr:uid="{58CC2868-ED7D-41A6-9F3B-1E4D92BD344B}"/>
    <cellStyle name="一般 17 11 2" xfId="1028" xr:uid="{6F207D16-EF4E-4D18-AE2C-642FD2277588}"/>
    <cellStyle name="一般 17 12" xfId="644" xr:uid="{FAE03041-AC37-49BE-A480-F5F38803F40F}"/>
    <cellStyle name="一般 17 13" xfId="1220" xr:uid="{4B0EE213-CAC0-479C-AF00-6490F389C574}"/>
    <cellStyle name="一般 17 2" xfId="22" xr:uid="{F8F106E2-35BB-4CF0-AD87-6D3AEFC9D73F}"/>
    <cellStyle name="一般 17 2 10" xfId="444" xr:uid="{24656B31-02C0-4910-ACA7-64A893D4AFA5}"/>
    <cellStyle name="一般 17 2 10 2" xfId="1030" xr:uid="{4343E8B0-1416-4D0D-BA8D-4DF14EF192AA}"/>
    <cellStyle name="一般 17 2 11" xfId="646" xr:uid="{0A81B1ED-4A16-4B7D-8394-50FA5E76B0CE}"/>
    <cellStyle name="一般 17 2 12" xfId="1222" xr:uid="{CF1B862F-7942-4F05-847E-6F5A40B8D26E}"/>
    <cellStyle name="一般 17 2 2" xfId="44" xr:uid="{7AC1DFB1-6270-44B2-87C4-6A8626AB06B2}"/>
    <cellStyle name="一般 17 2 2 2" xfId="60" xr:uid="{165DB470-8D47-406C-A38A-0DFCE11AD2F9}"/>
    <cellStyle name="一般 17 2 2 2 2" xfId="111" xr:uid="{76994E5D-7276-48C8-8342-1DAFB425E463}"/>
    <cellStyle name="一般 17 2 2 2 2 2" xfId="207" xr:uid="{F7D9B059-B8A9-4560-A25E-6959BAB6DE08}"/>
    <cellStyle name="一般 17 2 2 2 2 2 2" xfId="399" xr:uid="{BDF60D70-0D03-4FFC-A044-7F3299AAEE83}"/>
    <cellStyle name="一般 17 2 2 2 2 2 2 2" xfId="986" xr:uid="{8EC01B2A-CD96-49BF-AE7A-AAED4250BBC6}"/>
    <cellStyle name="一般 17 2 2 2 2 2 3" xfId="594" xr:uid="{D74120E8-0130-4B45-BDAB-ABB343B36B10}"/>
    <cellStyle name="一般 17 2 2 2 2 2 3 2" xfId="1178" xr:uid="{F47EB6E0-AAD1-4E97-97DF-C24F30383FDB}"/>
    <cellStyle name="一般 17 2 2 2 2 2 4" xfId="794" xr:uid="{C52614B9-AFC0-40C7-8EFE-5A293DDE6904}"/>
    <cellStyle name="一般 17 2 2 2 2 3" xfId="303" xr:uid="{E1EDE170-5601-419A-B9A8-DAAFE27B480C}"/>
    <cellStyle name="一般 17 2 2 2 2 3 2" xfId="890" xr:uid="{9E554F0B-943A-453F-9143-26167FD4A0C3}"/>
    <cellStyle name="一般 17 2 2 2 2 4" xfId="498" xr:uid="{6C53E84B-1454-460C-AF44-F43E2719A35D}"/>
    <cellStyle name="一般 17 2 2 2 2 4 2" xfId="1082" xr:uid="{001BFC1F-377A-444A-98A2-EBC7C56A9EE8}"/>
    <cellStyle name="一般 17 2 2 2 2 5" xfId="698" xr:uid="{79BC65C6-0CA9-487C-8235-35E17DA27A16}"/>
    <cellStyle name="一般 17 2 2 2 3" xfId="143" xr:uid="{C09B16BB-6B9C-463C-954D-2DD5D58BED4A}"/>
    <cellStyle name="一般 17 2 2 2 3 2" xfId="239" xr:uid="{AA2122D0-3AAA-48DC-8B19-948E0B9FEE67}"/>
    <cellStyle name="一般 17 2 2 2 3 2 2" xfId="431" xr:uid="{5B889CD0-1640-45AB-BB37-A5A5D66854F3}"/>
    <cellStyle name="一般 17 2 2 2 3 2 2 2" xfId="1018" xr:uid="{F9072ED1-83CD-4DF5-8549-AEB81117576D}"/>
    <cellStyle name="一般 17 2 2 2 3 2 3" xfId="626" xr:uid="{BB81D271-F6C4-4980-B9BA-C9C14D6C45C0}"/>
    <cellStyle name="一般 17 2 2 2 3 2 3 2" xfId="1210" xr:uid="{E815B134-EE40-4FC6-BB42-BBA187E36BE7}"/>
    <cellStyle name="一般 17 2 2 2 3 2 4" xfId="826" xr:uid="{31469663-A2B4-4E99-96CF-A5BC7EAD3390}"/>
    <cellStyle name="一般 17 2 2 2 3 3" xfId="335" xr:uid="{5FA71670-E8AB-45E4-BCC5-364EF07AB0FC}"/>
    <cellStyle name="一般 17 2 2 2 3 3 2" xfId="922" xr:uid="{E0C22D8B-998E-40B0-BE09-E4F4B1C5AEA2}"/>
    <cellStyle name="一般 17 2 2 2 3 4" xfId="530" xr:uid="{F3CC0ADA-147C-464C-B401-7DB9E0AF8A68}"/>
    <cellStyle name="一般 17 2 2 2 3 4 2" xfId="1114" xr:uid="{0D459316-BECD-481A-B77B-FCA67951E3EE}"/>
    <cellStyle name="一般 17 2 2 2 3 5" xfId="730" xr:uid="{7875183C-7305-4679-A126-4545974BE2B7}"/>
    <cellStyle name="一般 17 2 2 2 4" xfId="175" xr:uid="{1FE7CB68-52C0-4322-915E-6DF171FA90FA}"/>
    <cellStyle name="一般 17 2 2 2 4 2" xfId="367" xr:uid="{11D84918-8348-4A99-B5B2-26A956C9700D}"/>
    <cellStyle name="一般 17 2 2 2 4 2 2" xfId="954" xr:uid="{8B93DB1F-7182-4863-B4A1-645A6BD76BCC}"/>
    <cellStyle name="一般 17 2 2 2 4 3" xfId="562" xr:uid="{6F9056C7-4F06-479A-B0EC-82260A5C1276}"/>
    <cellStyle name="一般 17 2 2 2 4 3 2" xfId="1146" xr:uid="{797E2B06-78BA-4F5D-96DE-7DADEDCE7A8D}"/>
    <cellStyle name="一般 17 2 2 2 4 4" xfId="762" xr:uid="{C5CEAB9B-8A2E-4C42-B840-F447F43B9FD7}"/>
    <cellStyle name="一般 17 2 2 2 5" xfId="271" xr:uid="{195BF022-D53B-48DD-AEAE-C9D8E274BA86}"/>
    <cellStyle name="一般 17 2 2 2 5 2" xfId="858" xr:uid="{39C98B41-09C4-48C2-B53F-38F1AD173921}"/>
    <cellStyle name="一般 17 2 2 2 6" xfId="466" xr:uid="{B24F9A0F-E7E4-4BB4-BE2B-CBB4D039D587}"/>
    <cellStyle name="一般 17 2 2 2 6 2" xfId="1050" xr:uid="{2D1DB05C-7BE4-4C5C-A4E2-CC82AE97F578}"/>
    <cellStyle name="一般 17 2 2 2 7" xfId="666" xr:uid="{C4BD6748-D6CC-455A-9D71-64E0E724519B}"/>
    <cellStyle name="一般 17 2 2 2 8" xfId="1242" xr:uid="{9308DE60-DE02-43FE-924E-29AF00226CFE}"/>
    <cellStyle name="一般 17 2 2 3" xfId="95" xr:uid="{9DDD02FE-8FE7-4F25-8890-F9A3E7AFA39D}"/>
    <cellStyle name="一般 17 2 2 3 2" xfId="191" xr:uid="{5BCAAF26-CD90-49C2-85FF-089EFEACDF32}"/>
    <cellStyle name="一般 17 2 2 3 2 2" xfId="383" xr:uid="{5D67B10D-5F28-482F-A850-8D69D21BF1D1}"/>
    <cellStyle name="一般 17 2 2 3 2 2 2" xfId="970" xr:uid="{3B7AD2F9-2678-4446-8E23-356806DFFDCE}"/>
    <cellStyle name="一般 17 2 2 3 2 3" xfId="578" xr:uid="{49F5FB10-FBAE-4BA1-BF2D-B952EC3B7D9D}"/>
    <cellStyle name="一般 17 2 2 3 2 3 2" xfId="1162" xr:uid="{119F96A6-A797-46D6-8B90-5556B4B65890}"/>
    <cellStyle name="一般 17 2 2 3 2 4" xfId="778" xr:uid="{4974557C-8AC5-4F67-818A-1FCCC6C16DEC}"/>
    <cellStyle name="一般 17 2 2 3 3" xfId="287" xr:uid="{77DBDA27-873C-4232-B5EB-79442D4F72CE}"/>
    <cellStyle name="一般 17 2 2 3 3 2" xfId="874" xr:uid="{32358E30-7F27-438F-86F5-6CF660E96804}"/>
    <cellStyle name="一般 17 2 2 3 4" xfId="482" xr:uid="{587DFD24-6E11-4259-9075-741789FFE563}"/>
    <cellStyle name="一般 17 2 2 3 4 2" xfId="1066" xr:uid="{54E150AD-B10B-4571-9CFF-36CBDD6F951C}"/>
    <cellStyle name="一般 17 2 2 3 5" xfId="682" xr:uid="{E0BC32D4-1FAB-46BB-97EE-ED9873889851}"/>
    <cellStyle name="一般 17 2 2 4" xfId="127" xr:uid="{6E238142-5D01-4219-9F35-61DDAC0EF148}"/>
    <cellStyle name="一般 17 2 2 4 2" xfId="223" xr:uid="{58FAC782-D2EB-4DEB-8554-27BBE6E79191}"/>
    <cellStyle name="一般 17 2 2 4 2 2" xfId="415" xr:uid="{5B7C9450-F35E-423A-8093-360BF8DEAF0B}"/>
    <cellStyle name="一般 17 2 2 4 2 2 2" xfId="1002" xr:uid="{421B05AC-37E9-4DCA-A3C9-0082B4BB2D0E}"/>
    <cellStyle name="一般 17 2 2 4 2 3" xfId="610" xr:uid="{B8911402-FCE4-4803-A728-127A82ED4097}"/>
    <cellStyle name="一般 17 2 2 4 2 3 2" xfId="1194" xr:uid="{1ADA4B1A-92F8-45F2-92B9-3C1662DEB80E}"/>
    <cellStyle name="一般 17 2 2 4 2 4" xfId="810" xr:uid="{1B78A71B-AA0B-4AA6-BF46-BB3C76FD723F}"/>
    <cellStyle name="一般 17 2 2 4 3" xfId="319" xr:uid="{85A831F5-FAF9-40F2-BA59-DDA49BD5A68B}"/>
    <cellStyle name="一般 17 2 2 4 3 2" xfId="906" xr:uid="{4260EC2B-ABF3-4FE9-8E51-31DD229EFFDD}"/>
    <cellStyle name="一般 17 2 2 4 4" xfId="514" xr:uid="{63A028EA-BA82-467D-8783-DD4D1C3EE711}"/>
    <cellStyle name="一般 17 2 2 4 4 2" xfId="1098" xr:uid="{462C3319-6A45-477A-8668-F71FBF11C591}"/>
    <cellStyle name="一般 17 2 2 4 5" xfId="714" xr:uid="{21B6B86F-1096-4F62-AD82-E281AB724336}"/>
    <cellStyle name="一般 17 2 2 5" xfId="159" xr:uid="{A4D577A9-0FB6-4386-B05A-D9FA4C484A6F}"/>
    <cellStyle name="一般 17 2 2 5 2" xfId="351" xr:uid="{92ED126E-3E57-4497-8FF6-B2561AC70161}"/>
    <cellStyle name="一般 17 2 2 5 2 2" xfId="938" xr:uid="{A64011BE-CC73-4640-BFFB-0B19342E5BAB}"/>
    <cellStyle name="一般 17 2 2 5 3" xfId="546" xr:uid="{D1370CEB-3F2E-4864-8561-9ABBF157FF2C}"/>
    <cellStyle name="一般 17 2 2 5 3 2" xfId="1130" xr:uid="{4EE06E8F-EEC5-45EA-9B9E-B27BA8C3B0B2}"/>
    <cellStyle name="一般 17 2 2 5 4" xfId="746" xr:uid="{5EF94A0C-B078-45A2-BC53-598B2BDBA261}"/>
    <cellStyle name="一般 17 2 2 6" xfId="255" xr:uid="{80B4E3E2-21E8-46D6-B5B0-280E2B286D1A}"/>
    <cellStyle name="一般 17 2 2 6 2" xfId="842" xr:uid="{1F0B44CA-56C1-4D8B-BE58-1B0D6E6CAE3F}"/>
    <cellStyle name="一般 17 2 2 7" xfId="450" xr:uid="{4AA1F2B5-5D91-40FB-87B1-C3DA8A7BDBA7}"/>
    <cellStyle name="一般 17 2 2 7 2" xfId="1034" xr:uid="{34EA2B78-ADE8-4DAB-A55C-2082ED2BED68}"/>
    <cellStyle name="一般 17 2 2 8" xfId="650" xr:uid="{69E9E549-6B11-4665-AAC1-A4F5F8F90509}"/>
    <cellStyle name="一般 17 2 2 9" xfId="1226" xr:uid="{68F08BAF-9867-4138-BFD6-F2F86865A4B2}"/>
    <cellStyle name="一般 17 2 3" xfId="48" xr:uid="{12C30507-F923-4B74-9315-7A9D868C1F69}"/>
    <cellStyle name="一般 17 2 3 2" xfId="64" xr:uid="{013EA19B-2AEC-49FD-AE73-5E6116F661AC}"/>
    <cellStyle name="一般 17 2 3 2 2" xfId="115" xr:uid="{97226AC4-AB9C-40C5-A773-37FD022A8D45}"/>
    <cellStyle name="一般 17 2 3 2 2 2" xfId="211" xr:uid="{F23F2E48-2C5C-4366-9123-54B1880F4FAA}"/>
    <cellStyle name="一般 17 2 3 2 2 2 2" xfId="403" xr:uid="{08DF858F-B887-4894-9743-27C7BEAD1A47}"/>
    <cellStyle name="一般 17 2 3 2 2 2 2 2" xfId="990" xr:uid="{6AC60D77-F781-4D83-ACE5-0360358233CF}"/>
    <cellStyle name="一般 17 2 3 2 2 2 3" xfId="598" xr:uid="{CDB45DF6-3805-41FF-BEE8-128B2643C6B4}"/>
    <cellStyle name="一般 17 2 3 2 2 2 3 2" xfId="1182" xr:uid="{19B22CD9-898C-4B8A-8417-5C69A202562D}"/>
    <cellStyle name="一般 17 2 3 2 2 2 4" xfId="798" xr:uid="{B178D529-4C46-4DE1-A349-ADF7DDE693DF}"/>
    <cellStyle name="一般 17 2 3 2 2 3" xfId="307" xr:uid="{613F4B1C-5EAA-4850-A858-2A7DA22344D8}"/>
    <cellStyle name="一般 17 2 3 2 2 3 2" xfId="894" xr:uid="{1894DE89-2D8A-47A5-92A3-DCD3593862EB}"/>
    <cellStyle name="一般 17 2 3 2 2 4" xfId="502" xr:uid="{A614DC19-8FD8-43F9-9C2D-1BD5FBAB6853}"/>
    <cellStyle name="一般 17 2 3 2 2 4 2" xfId="1086" xr:uid="{803947F4-EB54-4D6D-878A-B3E88B6A7F9D}"/>
    <cellStyle name="一般 17 2 3 2 2 5" xfId="702" xr:uid="{CE3902A9-C59E-4D28-BC7F-46B7389C99B9}"/>
    <cellStyle name="一般 17 2 3 2 3" xfId="147" xr:uid="{E2550FCE-F481-4C6B-AE6B-31FBAF3BE6CB}"/>
    <cellStyle name="一般 17 2 3 2 3 2" xfId="243" xr:uid="{81810464-AC5F-4A0B-9613-328698328577}"/>
    <cellStyle name="一般 17 2 3 2 3 2 2" xfId="435" xr:uid="{B93115F8-4493-464F-ACF2-048DB7272AB7}"/>
    <cellStyle name="一般 17 2 3 2 3 2 2 2" xfId="1022" xr:uid="{10D7BDF4-63D5-47E7-A219-AEFA392DB0E1}"/>
    <cellStyle name="一般 17 2 3 2 3 2 3" xfId="630" xr:uid="{501E846D-B478-4D02-BB9E-AEEED471BDD6}"/>
    <cellStyle name="一般 17 2 3 2 3 2 3 2" xfId="1214" xr:uid="{2E1DD594-D0B7-4F6A-A817-4297374DD79D}"/>
    <cellStyle name="一般 17 2 3 2 3 2 4" xfId="830" xr:uid="{BDD6AE73-0FC1-4E53-85D2-E07CADDB2C4D}"/>
    <cellStyle name="一般 17 2 3 2 3 3" xfId="339" xr:uid="{C4C0750A-9CE1-4C3B-A0F4-78EDF79AD49A}"/>
    <cellStyle name="一般 17 2 3 2 3 3 2" xfId="926" xr:uid="{E09B782B-2267-404A-B46B-1FDC3268C80A}"/>
    <cellStyle name="一般 17 2 3 2 3 4" xfId="534" xr:uid="{15C07DC4-53F1-4BEC-9646-2E555349798B}"/>
    <cellStyle name="一般 17 2 3 2 3 4 2" xfId="1118" xr:uid="{83407A4B-8194-42FD-B905-C4B0BF861332}"/>
    <cellStyle name="一般 17 2 3 2 3 5" xfId="734" xr:uid="{FB3B4B53-47B8-46E5-8F36-F45EA1D09111}"/>
    <cellStyle name="一般 17 2 3 2 4" xfId="179" xr:uid="{9D5837F1-DC7B-4F34-8D0A-07CA2C6616F5}"/>
    <cellStyle name="一般 17 2 3 2 4 2" xfId="371" xr:uid="{28BBF6F0-AD20-4B82-AA12-CD7ADEE4570F}"/>
    <cellStyle name="一般 17 2 3 2 4 2 2" xfId="958" xr:uid="{64277F96-9EF4-404E-B831-57072F51D7B6}"/>
    <cellStyle name="一般 17 2 3 2 4 3" xfId="566" xr:uid="{3FD9C744-A1B0-4C3C-B214-E7A0F94682B4}"/>
    <cellStyle name="一般 17 2 3 2 4 3 2" xfId="1150" xr:uid="{699DF607-D22D-47D2-B32C-554E12A11B03}"/>
    <cellStyle name="一般 17 2 3 2 4 4" xfId="766" xr:uid="{CFCFE6AD-0AD5-43A6-B1E5-13562D051037}"/>
    <cellStyle name="一般 17 2 3 2 5" xfId="275" xr:uid="{8561A7F1-50A6-47AD-96A4-974087702AD7}"/>
    <cellStyle name="一般 17 2 3 2 5 2" xfId="862" xr:uid="{3B15B764-2DFD-484E-89EE-A16DA369F2E0}"/>
    <cellStyle name="一般 17 2 3 2 6" xfId="470" xr:uid="{DBACC95F-111C-49F5-BB07-E6C5CBD0F458}"/>
    <cellStyle name="一般 17 2 3 2 6 2" xfId="1054" xr:uid="{5BD5CC8A-9744-4CBD-AFD8-E37BEEC95719}"/>
    <cellStyle name="一般 17 2 3 2 7" xfId="670" xr:uid="{22B67F90-9F44-4E06-8AD6-B392E47B4A51}"/>
    <cellStyle name="一般 17 2 3 2 8" xfId="1246" xr:uid="{59D32BBE-7C37-4A3C-91FF-7860034DE21F}"/>
    <cellStyle name="一般 17 2 3 3" xfId="99" xr:uid="{27D8C421-6FEF-4867-9FC3-5F2523780730}"/>
    <cellStyle name="一般 17 2 3 3 2" xfId="195" xr:uid="{9810E81B-68E6-49D6-8F9B-EA109DF17D2F}"/>
    <cellStyle name="一般 17 2 3 3 2 2" xfId="387" xr:uid="{B5769DA0-C2A5-406F-81EC-7FA7B729CF80}"/>
    <cellStyle name="一般 17 2 3 3 2 2 2" xfId="974" xr:uid="{07157AEB-8D29-466C-8050-01529BA114A9}"/>
    <cellStyle name="一般 17 2 3 3 2 3" xfId="582" xr:uid="{F0E3561B-D786-4932-B2EC-A4EC9576D1D3}"/>
    <cellStyle name="一般 17 2 3 3 2 3 2" xfId="1166" xr:uid="{88C0DCC0-5F7F-467A-9040-24DEC47CDE85}"/>
    <cellStyle name="一般 17 2 3 3 2 4" xfId="782" xr:uid="{C41BB16F-BF0F-4100-9496-3F86689F2570}"/>
    <cellStyle name="一般 17 2 3 3 3" xfId="291" xr:uid="{397FC861-B865-47DB-8445-787E9F6AFA61}"/>
    <cellStyle name="一般 17 2 3 3 3 2" xfId="878" xr:uid="{16B916E7-BA46-482B-AEE7-4E41BF81B51F}"/>
    <cellStyle name="一般 17 2 3 3 4" xfId="486" xr:uid="{60B2F18F-F14B-4952-AE21-DD10E52D11E8}"/>
    <cellStyle name="一般 17 2 3 3 4 2" xfId="1070" xr:uid="{2050CDCF-39B4-43AA-B779-D5EAFA8A264E}"/>
    <cellStyle name="一般 17 2 3 3 5" xfId="686" xr:uid="{CAE0A12B-757B-47CC-B9D7-BCF478F53802}"/>
    <cellStyle name="一般 17 2 3 4" xfId="131" xr:uid="{FB5A1E67-9090-4C7E-B165-11DCAB03F569}"/>
    <cellStyle name="一般 17 2 3 4 2" xfId="227" xr:uid="{BC6A6AC3-F1C2-4432-9E63-A4840BF2909D}"/>
    <cellStyle name="一般 17 2 3 4 2 2" xfId="419" xr:uid="{6BC7FEB9-2F79-4B9B-B463-320AC49A017F}"/>
    <cellStyle name="一般 17 2 3 4 2 2 2" xfId="1006" xr:uid="{118A17F8-D0D8-4CB5-87B3-B53E15C1D256}"/>
    <cellStyle name="一般 17 2 3 4 2 3" xfId="614" xr:uid="{7976608D-264A-46E2-A026-2C7E6F8CC801}"/>
    <cellStyle name="一般 17 2 3 4 2 3 2" xfId="1198" xr:uid="{373AFD5F-2DAA-40AC-A22D-2797C6B255B6}"/>
    <cellStyle name="一般 17 2 3 4 2 4" xfId="814" xr:uid="{393BB280-4617-45FD-8E7B-8957D6EB8BC8}"/>
    <cellStyle name="一般 17 2 3 4 3" xfId="323" xr:uid="{91D5D930-A639-4DFD-8FF1-14E54B57289F}"/>
    <cellStyle name="一般 17 2 3 4 3 2" xfId="910" xr:uid="{62D9C8B1-F775-48C3-88A7-F41D1B36525D}"/>
    <cellStyle name="一般 17 2 3 4 4" xfId="518" xr:uid="{AD648983-22E8-42F5-A221-44A8F6DADA92}"/>
    <cellStyle name="一般 17 2 3 4 4 2" xfId="1102" xr:uid="{FA80E018-6D33-4212-88CD-80EF71FE0C1D}"/>
    <cellStyle name="一般 17 2 3 4 5" xfId="718" xr:uid="{2B6C83D2-97CE-4F7A-95F5-C68A61680FDA}"/>
    <cellStyle name="一般 17 2 3 5" xfId="163" xr:uid="{B27DAEEA-D570-421B-B042-A14F70C6B6F0}"/>
    <cellStyle name="一般 17 2 3 5 2" xfId="355" xr:uid="{867CFC4C-D00B-452C-B2CF-ED3569BD07F7}"/>
    <cellStyle name="一般 17 2 3 5 2 2" xfId="942" xr:uid="{BDAC47B3-B058-498F-A9B0-E8CC46D4BE73}"/>
    <cellStyle name="一般 17 2 3 5 3" xfId="550" xr:uid="{627152F2-F76D-446C-BC31-4726C752AB37}"/>
    <cellStyle name="一般 17 2 3 5 3 2" xfId="1134" xr:uid="{0078655B-E00B-4C38-9867-EC7E9A0BF183}"/>
    <cellStyle name="一般 17 2 3 5 4" xfId="750" xr:uid="{1B15A5FF-4217-4F75-80A4-4853866DDA56}"/>
    <cellStyle name="一般 17 2 3 6" xfId="259" xr:uid="{4A1261B1-D200-4C6F-A713-21CB112D02A7}"/>
    <cellStyle name="一般 17 2 3 6 2" xfId="846" xr:uid="{8846BAD3-7CCF-4B86-9EA9-0ACF9C13252A}"/>
    <cellStyle name="一般 17 2 3 7" xfId="454" xr:uid="{45ED4CC7-503B-471B-B2D5-FC9B77E3E4B4}"/>
    <cellStyle name="一般 17 2 3 7 2" xfId="1038" xr:uid="{6373A09B-61E5-46C1-B5D1-0656586BDC1B}"/>
    <cellStyle name="一般 17 2 3 8" xfId="654" xr:uid="{4ED3A34F-9CD8-459D-B46B-D36E2A517A3D}"/>
    <cellStyle name="一般 17 2 3 9" xfId="1230" xr:uid="{05F8E8CF-9902-4790-934C-896F519EC45E}"/>
    <cellStyle name="一般 17 2 4" xfId="52" xr:uid="{B06E3773-6690-4A72-9889-06B18FCA1DB9}"/>
    <cellStyle name="一般 17 2 4 2" xfId="68" xr:uid="{4D1BE86C-1846-4855-B9D5-01C6676CE682}"/>
    <cellStyle name="一般 17 2 4 2 2" xfId="119" xr:uid="{19BF062B-9CFB-4D61-96D6-92F5A02498E0}"/>
    <cellStyle name="一般 17 2 4 2 2 2" xfId="215" xr:uid="{88568F5C-F591-4AEC-8326-F64726181806}"/>
    <cellStyle name="一般 17 2 4 2 2 2 2" xfId="407" xr:uid="{06FAB626-404F-4095-93CD-288A271CF668}"/>
    <cellStyle name="一般 17 2 4 2 2 2 2 2" xfId="994" xr:uid="{84C953A0-804A-4546-99A6-C678AD7FD3E6}"/>
    <cellStyle name="一般 17 2 4 2 2 2 3" xfId="602" xr:uid="{9A00E9AA-A8C8-48B6-BC17-7B0BE1CE7D9C}"/>
    <cellStyle name="一般 17 2 4 2 2 2 3 2" xfId="1186" xr:uid="{FAB4D43B-211B-464E-98CB-E034D55E69E7}"/>
    <cellStyle name="一般 17 2 4 2 2 2 4" xfId="802" xr:uid="{A690DC6E-24BB-40BD-891C-6A85B78501D3}"/>
    <cellStyle name="一般 17 2 4 2 2 3" xfId="311" xr:uid="{6B379637-68E2-4629-8886-991F9AD5A8BC}"/>
    <cellStyle name="一般 17 2 4 2 2 3 2" xfId="898" xr:uid="{15D887B0-5DE7-48EA-96BD-08C21F70965B}"/>
    <cellStyle name="一般 17 2 4 2 2 4" xfId="506" xr:uid="{01BBDB7D-2ACF-4768-A52C-54A9D4448562}"/>
    <cellStyle name="一般 17 2 4 2 2 4 2" xfId="1090" xr:uid="{2C31DA33-5294-4B55-A155-BA85BA20C315}"/>
    <cellStyle name="一般 17 2 4 2 2 5" xfId="706" xr:uid="{921445B2-8DD4-4DC3-8CF5-B6E9815B6999}"/>
    <cellStyle name="一般 17 2 4 2 3" xfId="151" xr:uid="{8BCFBEFD-02E7-4683-9738-5B04C1915EA2}"/>
    <cellStyle name="一般 17 2 4 2 3 2" xfId="247" xr:uid="{C6D7F4E4-6B80-4771-B4AD-61436639F459}"/>
    <cellStyle name="一般 17 2 4 2 3 2 2" xfId="439" xr:uid="{FA9938EF-57C5-4A5E-8268-B593BC943CB2}"/>
    <cellStyle name="一般 17 2 4 2 3 2 2 2" xfId="1026" xr:uid="{BB822B05-FF00-4F10-B4CF-8CDEEF0A7FE4}"/>
    <cellStyle name="一般 17 2 4 2 3 2 3" xfId="634" xr:uid="{ACD8D978-F0D5-49EE-9118-F3DF70CE9F6D}"/>
    <cellStyle name="一般 17 2 4 2 3 2 3 2" xfId="1218" xr:uid="{7A982F99-8613-4363-8519-FCA8B002F493}"/>
    <cellStyle name="一般 17 2 4 2 3 2 4" xfId="834" xr:uid="{9A69544D-7B2F-4D95-98FD-25F0AFEED176}"/>
    <cellStyle name="一般 17 2 4 2 3 3" xfId="343" xr:uid="{0D5913C9-620A-4339-B232-0B83C1EAF74A}"/>
    <cellStyle name="一般 17 2 4 2 3 3 2" xfId="930" xr:uid="{AB40C156-B714-4C4F-A187-BE2A6DBCE02D}"/>
    <cellStyle name="一般 17 2 4 2 3 4" xfId="538" xr:uid="{4CE1CCAC-B3B6-48C2-8893-2ADE703AC5B0}"/>
    <cellStyle name="一般 17 2 4 2 3 4 2" xfId="1122" xr:uid="{5A55AE82-AE54-4F91-8F03-C4C74D127A70}"/>
    <cellStyle name="一般 17 2 4 2 3 5" xfId="738" xr:uid="{427F06F1-F5F1-4906-86D6-5BF444D6251C}"/>
    <cellStyle name="一般 17 2 4 2 4" xfId="183" xr:uid="{65379729-ED3C-4D59-8C34-1F72953E0199}"/>
    <cellStyle name="一般 17 2 4 2 4 2" xfId="375" xr:uid="{40D369D7-0508-4FD6-81D9-77D781256C5B}"/>
    <cellStyle name="一般 17 2 4 2 4 2 2" xfId="962" xr:uid="{335DDE33-FA00-4361-9C17-ACF12899C2B2}"/>
    <cellStyle name="一般 17 2 4 2 4 3" xfId="570" xr:uid="{64F46C8B-CD18-467B-982F-91A3ABCE9BBF}"/>
    <cellStyle name="一般 17 2 4 2 4 3 2" xfId="1154" xr:uid="{337A892C-3F49-49A4-AEEC-55B04A90A364}"/>
    <cellStyle name="一般 17 2 4 2 4 4" xfId="770" xr:uid="{3310E467-B192-422E-BB81-9AFBD1241585}"/>
    <cellStyle name="一般 17 2 4 2 5" xfId="279" xr:uid="{9628075F-E346-4539-9C9D-3CF746353FE1}"/>
    <cellStyle name="一般 17 2 4 2 5 2" xfId="866" xr:uid="{4B9CF4DE-AC15-458D-8CB7-78395572ECE4}"/>
    <cellStyle name="一般 17 2 4 2 6" xfId="474" xr:uid="{71C6C63A-8C13-435A-97A5-0CC5E4DE54EF}"/>
    <cellStyle name="一般 17 2 4 2 6 2" xfId="1058" xr:uid="{7CE6A019-1CAC-44C3-8689-E718DD37C670}"/>
    <cellStyle name="一般 17 2 4 2 7" xfId="674" xr:uid="{BB6A93FA-33B7-470A-A306-ABA87F8C7F2F}"/>
    <cellStyle name="一般 17 2 4 2 8" xfId="1250" xr:uid="{D4EEB22D-962B-43A7-A3E9-DDFE96BE07B1}"/>
    <cellStyle name="一般 17 2 4 3" xfId="103" xr:uid="{B09E398A-87C8-4C5C-8763-AC98D1CF6125}"/>
    <cellStyle name="一般 17 2 4 3 2" xfId="199" xr:uid="{9F42E557-A59A-4A47-97BF-081EFD14CB8A}"/>
    <cellStyle name="一般 17 2 4 3 2 2" xfId="391" xr:uid="{4963249E-B548-4371-8DEB-11FA8A4BFAF8}"/>
    <cellStyle name="一般 17 2 4 3 2 2 2" xfId="978" xr:uid="{B1AD380F-B675-4DE9-86C9-D37AA355D5A5}"/>
    <cellStyle name="一般 17 2 4 3 2 3" xfId="586" xr:uid="{A83A8EFE-8773-4907-8D0C-8FE423CDDC0B}"/>
    <cellStyle name="一般 17 2 4 3 2 3 2" xfId="1170" xr:uid="{FF09756A-756D-4E08-AD6A-6EDB76308730}"/>
    <cellStyle name="一般 17 2 4 3 2 4" xfId="786" xr:uid="{363EB67A-7CA3-46E8-8A43-4B7E6D629AC0}"/>
    <cellStyle name="一般 17 2 4 3 3" xfId="295" xr:uid="{9F0E4721-6F72-40FE-B6A1-09F15AF35D16}"/>
    <cellStyle name="一般 17 2 4 3 3 2" xfId="882" xr:uid="{F5F8D167-A34D-4F1D-AB0F-CC147CB1D03B}"/>
    <cellStyle name="一般 17 2 4 3 4" xfId="490" xr:uid="{AD98F79C-486F-4411-A00E-84768D8CBFF0}"/>
    <cellStyle name="一般 17 2 4 3 4 2" xfId="1074" xr:uid="{89F72EE3-CFD0-4812-870C-42BDC53A53AA}"/>
    <cellStyle name="一般 17 2 4 3 5" xfId="690" xr:uid="{5AB3BC89-DDB1-4854-AAB5-9979816348B3}"/>
    <cellStyle name="一般 17 2 4 4" xfId="135" xr:uid="{8B51974E-C3D7-4440-8F0A-EA0CA8BEB48A}"/>
    <cellStyle name="一般 17 2 4 4 2" xfId="231" xr:uid="{E9C4E865-85CE-4871-A541-3D6BAF92EBD1}"/>
    <cellStyle name="一般 17 2 4 4 2 2" xfId="423" xr:uid="{C1A64E9E-3B44-4EDF-A509-37F731F26D23}"/>
    <cellStyle name="一般 17 2 4 4 2 2 2" xfId="1010" xr:uid="{0DE59A0C-4C51-4F5D-A9F5-3F77110E773D}"/>
    <cellStyle name="一般 17 2 4 4 2 3" xfId="618" xr:uid="{FED40331-63F3-4F54-8ACC-E4EEC80350FA}"/>
    <cellStyle name="一般 17 2 4 4 2 3 2" xfId="1202" xr:uid="{CFD39D0A-C218-4495-BB6B-F0D1E37FEA32}"/>
    <cellStyle name="一般 17 2 4 4 2 4" xfId="818" xr:uid="{DC7BFF03-B2AF-4F2E-A7BF-3458AF010F17}"/>
    <cellStyle name="一般 17 2 4 4 3" xfId="327" xr:uid="{87047201-2275-4260-BB1D-856AE89DE9C8}"/>
    <cellStyle name="一般 17 2 4 4 3 2" xfId="914" xr:uid="{4E8143FA-B1B4-4F86-808D-D5E164AE36CC}"/>
    <cellStyle name="一般 17 2 4 4 4" xfId="522" xr:uid="{64842BC6-E904-46AC-9C48-22FFB365D2BE}"/>
    <cellStyle name="一般 17 2 4 4 4 2" xfId="1106" xr:uid="{5D75ED33-ACB9-43E6-8252-D851FFB96F4E}"/>
    <cellStyle name="一般 17 2 4 4 5" xfId="722" xr:uid="{C0D60C09-77D2-4A9A-B3A7-887EF2FD2BA4}"/>
    <cellStyle name="一般 17 2 4 5" xfId="167" xr:uid="{ACD922B6-B7CB-4103-827B-7918EA20C2A1}"/>
    <cellStyle name="一般 17 2 4 5 2" xfId="359" xr:uid="{F5F66CDC-6D0C-4948-A967-7C843848906A}"/>
    <cellStyle name="一般 17 2 4 5 2 2" xfId="946" xr:uid="{D1E7BF43-40AD-4F98-A6BF-33C0FFC7558F}"/>
    <cellStyle name="一般 17 2 4 5 3" xfId="554" xr:uid="{26D1DAF3-6657-4817-910A-EECE4D007DA5}"/>
    <cellStyle name="一般 17 2 4 5 3 2" xfId="1138" xr:uid="{E61370D9-3D10-4B93-9C3C-6F1A4E09AFBE}"/>
    <cellStyle name="一般 17 2 4 5 4" xfId="754" xr:uid="{7F508317-D83D-4A92-B5B9-C0DB87A9121E}"/>
    <cellStyle name="一般 17 2 4 6" xfId="263" xr:uid="{DFE00AD3-F9DA-45D5-A5AF-FABC609D6D1F}"/>
    <cellStyle name="一般 17 2 4 6 2" xfId="850" xr:uid="{E00E33E6-59DB-4C82-A112-E0940972987A}"/>
    <cellStyle name="一般 17 2 4 7" xfId="458" xr:uid="{75406028-4268-4277-8D1D-A588CA656BD5}"/>
    <cellStyle name="一般 17 2 4 7 2" xfId="1042" xr:uid="{8D8ADE27-9334-4B6F-B8DF-31B0F7729713}"/>
    <cellStyle name="一般 17 2 4 8" xfId="658" xr:uid="{C920E65C-5925-4BE8-BED2-858334858962}"/>
    <cellStyle name="一般 17 2 4 9" xfId="1234" xr:uid="{493E12EE-C355-4647-8B15-F1E59A08FADE}"/>
    <cellStyle name="一般 17 2 5" xfId="56" xr:uid="{4EB5FA94-17DE-4FFC-A6C6-718150032282}"/>
    <cellStyle name="一般 17 2 5 2" xfId="107" xr:uid="{CB23F864-7C8C-4461-BBE4-25643C1CC801}"/>
    <cellStyle name="一般 17 2 5 2 2" xfId="203" xr:uid="{BB1E195D-5919-460D-9870-91653137C681}"/>
    <cellStyle name="一般 17 2 5 2 2 2" xfId="395" xr:uid="{1B64C2B5-15DB-44BE-B799-E7EC59B894CB}"/>
    <cellStyle name="一般 17 2 5 2 2 2 2" xfId="982" xr:uid="{202B483E-72B3-4E5B-98F9-101429C908AE}"/>
    <cellStyle name="一般 17 2 5 2 2 3" xfId="590" xr:uid="{B3E3667D-7F6F-449D-8C4F-C145553E656F}"/>
    <cellStyle name="一般 17 2 5 2 2 3 2" xfId="1174" xr:uid="{3ECC39D2-60C9-4223-8F3D-A7F6E02827C3}"/>
    <cellStyle name="一般 17 2 5 2 2 4" xfId="790" xr:uid="{254FBB53-5D84-41B3-A167-700F89668DEF}"/>
    <cellStyle name="一般 17 2 5 2 3" xfId="299" xr:uid="{A7B70EC9-75BA-4905-98EC-A075C5DD3B39}"/>
    <cellStyle name="一般 17 2 5 2 3 2" xfId="886" xr:uid="{7C1D6FC5-20F0-4C39-84BD-EB6AC3619DED}"/>
    <cellStyle name="一般 17 2 5 2 4" xfId="494" xr:uid="{394A4D7D-C00A-4B55-B1E9-0209CF008C66}"/>
    <cellStyle name="一般 17 2 5 2 4 2" xfId="1078" xr:uid="{46496787-0BED-466D-871E-FCD60A558572}"/>
    <cellStyle name="一般 17 2 5 2 5" xfId="694" xr:uid="{67A09A19-26ED-40E5-85E3-DE438EE748AA}"/>
    <cellStyle name="一般 17 2 5 3" xfId="139" xr:uid="{E0D51DE8-6925-495B-B551-3D615988C541}"/>
    <cellStyle name="一般 17 2 5 3 2" xfId="235" xr:uid="{51B10A72-8E53-4182-B742-65228CFDCACB}"/>
    <cellStyle name="一般 17 2 5 3 2 2" xfId="427" xr:uid="{483FC3D3-4465-4CB2-91A6-81727518480B}"/>
    <cellStyle name="一般 17 2 5 3 2 2 2" xfId="1014" xr:uid="{EAAFAFDC-A8DE-40C6-8668-A705C7E31D83}"/>
    <cellStyle name="一般 17 2 5 3 2 3" xfId="622" xr:uid="{53C6BEBF-30C3-4592-A2E7-4D402923B179}"/>
    <cellStyle name="一般 17 2 5 3 2 3 2" xfId="1206" xr:uid="{9F0E8188-BAA7-4610-908B-EEF323050596}"/>
    <cellStyle name="一般 17 2 5 3 2 4" xfId="822" xr:uid="{D0B75264-07E6-4B86-8C03-70292C217AF4}"/>
    <cellStyle name="一般 17 2 5 3 3" xfId="331" xr:uid="{420C2A4E-F163-4797-9EA9-2B21D58564C9}"/>
    <cellStyle name="一般 17 2 5 3 3 2" xfId="918" xr:uid="{E62639B4-2458-4889-8EA1-7154B02B7664}"/>
    <cellStyle name="一般 17 2 5 3 4" xfId="526" xr:uid="{32949682-F1AD-445E-851A-D5CFE96BA6CA}"/>
    <cellStyle name="一般 17 2 5 3 4 2" xfId="1110" xr:uid="{31369E73-266C-4377-847D-3B1A4D1AD9AE}"/>
    <cellStyle name="一般 17 2 5 3 5" xfId="726" xr:uid="{F0A756D0-CA1B-4FDF-B306-A193521B4E68}"/>
    <cellStyle name="一般 17 2 5 4" xfId="171" xr:uid="{5DD85D9F-A4B5-44D2-82BD-9F33D363EF8B}"/>
    <cellStyle name="一般 17 2 5 4 2" xfId="363" xr:uid="{735024FF-52C4-4599-A773-D85328D03F77}"/>
    <cellStyle name="一般 17 2 5 4 2 2" xfId="950" xr:uid="{867CA739-1156-4412-B43D-6FFA48C01E3E}"/>
    <cellStyle name="一般 17 2 5 4 3" xfId="558" xr:uid="{28530A2C-0685-4A4F-ADB8-CB15B79B73CD}"/>
    <cellStyle name="一般 17 2 5 4 3 2" xfId="1142" xr:uid="{EB472688-46CE-498B-8C1A-D7CAA098488D}"/>
    <cellStyle name="一般 17 2 5 4 4" xfId="758" xr:uid="{594A7C15-400B-4002-B287-A46835EA8568}"/>
    <cellStyle name="一般 17 2 5 5" xfId="267" xr:uid="{62628F80-1AD6-4E8A-956A-0774D6108E15}"/>
    <cellStyle name="一般 17 2 5 5 2" xfId="854" xr:uid="{39E40802-3847-493B-9B87-097B4933B392}"/>
    <cellStyle name="一般 17 2 5 6" xfId="462" xr:uid="{A3083296-3739-4441-8CFB-2C2F0644FF34}"/>
    <cellStyle name="一般 17 2 5 6 2" xfId="1046" xr:uid="{AEB7C2B9-522B-43D3-ADB8-E8F4353AEB0E}"/>
    <cellStyle name="一般 17 2 5 7" xfId="662" xr:uid="{F859CEF8-E491-402D-855D-8169EE4FDC49}"/>
    <cellStyle name="一般 17 2 5 8" xfId="1238" xr:uid="{5EFA6AC6-075F-4BA5-8F91-BE94A783A9CF}"/>
    <cellStyle name="一般 17 2 6" xfId="91" xr:uid="{64E60569-FCA3-4271-8C97-3594C1BB34C0}"/>
    <cellStyle name="一般 17 2 6 2" xfId="187" xr:uid="{7A5A4CCA-1FEB-4C0B-A4BA-9C7D02803B74}"/>
    <cellStyle name="一般 17 2 6 2 2" xfId="379" xr:uid="{6BA8F8FF-1EF3-452D-A8A3-A5F4078A3E29}"/>
    <cellStyle name="一般 17 2 6 2 2 2" xfId="966" xr:uid="{012B1724-8B23-43B6-B364-E5DE9FA01B77}"/>
    <cellStyle name="一般 17 2 6 2 3" xfId="574" xr:uid="{84C7F372-C605-4439-AA1C-A373F533B2A1}"/>
    <cellStyle name="一般 17 2 6 2 3 2" xfId="1158" xr:uid="{8E3AF53A-5E27-4BFD-8169-FB7808764049}"/>
    <cellStyle name="一般 17 2 6 2 4" xfId="774" xr:uid="{87F407A7-4A3C-4C3F-AEE3-FEC467AC0579}"/>
    <cellStyle name="一般 17 2 6 3" xfId="283" xr:uid="{32514CDD-2BE0-43C6-9DCB-9F27A7B3CAE7}"/>
    <cellStyle name="一般 17 2 6 3 2" xfId="870" xr:uid="{FBA12DE8-6DED-4167-8B37-D1E256CE5209}"/>
    <cellStyle name="一般 17 2 6 4" xfId="478" xr:uid="{209EB90B-7BB3-4F06-8418-D4A06B18D068}"/>
    <cellStyle name="一般 17 2 6 4 2" xfId="1062" xr:uid="{48100C45-124D-4AEC-8C59-304EDE321D21}"/>
    <cellStyle name="一般 17 2 6 5" xfId="678" xr:uid="{6BF74595-B58C-4748-BD5D-A7B8B067783B}"/>
    <cellStyle name="一般 17 2 7" xfId="123" xr:uid="{854C397E-3162-4994-A425-9F7A3A4B3005}"/>
    <cellStyle name="一般 17 2 7 2" xfId="219" xr:uid="{708E5295-DBEB-4960-B4FE-C5DDF58E5F27}"/>
    <cellStyle name="一般 17 2 7 2 2" xfId="411" xr:uid="{AD2AFBB9-F390-4507-A669-40E440A87251}"/>
    <cellStyle name="一般 17 2 7 2 2 2" xfId="998" xr:uid="{AFA4F664-047C-47F0-8B22-CAAF81446EAC}"/>
    <cellStyle name="一般 17 2 7 2 3" xfId="606" xr:uid="{8027E15A-B9C4-4B66-86A8-51436CC41BB3}"/>
    <cellStyle name="一般 17 2 7 2 3 2" xfId="1190" xr:uid="{9918FD18-E0E0-401D-B2A4-B919D093FD98}"/>
    <cellStyle name="一般 17 2 7 2 4" xfId="806" xr:uid="{EB1AC97C-79DD-4408-B903-E9491A0BF724}"/>
    <cellStyle name="一般 17 2 7 3" xfId="315" xr:uid="{88BCA091-C47E-4D89-A6D6-9C8D207FF1F9}"/>
    <cellStyle name="一般 17 2 7 3 2" xfId="902" xr:uid="{33F8FF13-9B6D-4E9A-8EF3-F4D3E9DD6E86}"/>
    <cellStyle name="一般 17 2 7 4" xfId="510" xr:uid="{950BA4FD-23C9-4BFF-A740-CE4C0B52A106}"/>
    <cellStyle name="一般 17 2 7 4 2" xfId="1094" xr:uid="{58E44C06-3BC0-442E-9B69-53D037931E0C}"/>
    <cellStyle name="一般 17 2 7 5" xfId="710" xr:uid="{8D44F22A-773E-47E4-9B73-96FBFD87BA7B}"/>
    <cellStyle name="一般 17 2 8" xfId="155" xr:uid="{4B987CB9-AA7B-43AE-91F8-9737A7EC0570}"/>
    <cellStyle name="一般 17 2 8 2" xfId="347" xr:uid="{444534B8-BFDF-4A24-AD79-B1F899F10BB4}"/>
    <cellStyle name="一般 17 2 8 2 2" xfId="934" xr:uid="{33D95D99-3424-4A79-8F84-5DB0575D06F0}"/>
    <cellStyle name="一般 17 2 8 3" xfId="542" xr:uid="{4F13D85D-8313-449A-9BC1-25AF08765F4F}"/>
    <cellStyle name="一般 17 2 8 3 2" xfId="1126" xr:uid="{219D1C5D-116B-4138-AADD-32B18A85E09B}"/>
    <cellStyle name="一般 17 2 8 4" xfId="742" xr:uid="{EA780EFD-4A11-4AE0-B0E1-5ACB6A8BFA81}"/>
    <cellStyle name="一般 17 2 9" xfId="251" xr:uid="{100307C9-08E8-49E1-A20C-8212AE761647}"/>
    <cellStyle name="一般 17 2 9 2" xfId="838" xr:uid="{993CA00D-C586-4991-A065-D1B1B335CD54}"/>
    <cellStyle name="一般 17 3" xfId="42" xr:uid="{F0CE4608-430C-430D-8289-D70A155F51AB}"/>
    <cellStyle name="一般 17 3 2" xfId="58" xr:uid="{C11D037D-F875-4DD0-B540-07B79B129F9B}"/>
    <cellStyle name="一般 17 3 2 2" xfId="109" xr:uid="{2148A55A-286F-4A56-8DED-3381BEA2A1A7}"/>
    <cellStyle name="一般 17 3 2 2 2" xfId="205" xr:uid="{78E53555-753C-4615-B614-AEDE0E14699F}"/>
    <cellStyle name="一般 17 3 2 2 2 2" xfId="397" xr:uid="{20A1BC8B-4B74-48F8-B141-3C688BB449F7}"/>
    <cellStyle name="一般 17 3 2 2 2 2 2" xfId="984" xr:uid="{7DCB2B2B-AD42-45D2-85C3-841F47E36E9A}"/>
    <cellStyle name="一般 17 3 2 2 2 3" xfId="592" xr:uid="{975C24CE-630C-4E8C-BD7E-BF2A36296E1E}"/>
    <cellStyle name="一般 17 3 2 2 2 3 2" xfId="1176" xr:uid="{775B6E81-5F3D-419C-A0BA-65E48B67CF2C}"/>
    <cellStyle name="一般 17 3 2 2 2 4" xfId="792" xr:uid="{32BDCA47-7634-4C24-96E4-0F1A59D884E2}"/>
    <cellStyle name="一般 17 3 2 2 3" xfId="301" xr:uid="{9D84177A-558A-4F00-872D-C6A3B0B36D72}"/>
    <cellStyle name="一般 17 3 2 2 3 2" xfId="888" xr:uid="{B803B897-8AD6-4456-BA5D-989AB9D46875}"/>
    <cellStyle name="一般 17 3 2 2 4" xfId="496" xr:uid="{A5CC35A7-6ABE-4776-850A-F75FE5B87A80}"/>
    <cellStyle name="一般 17 3 2 2 4 2" xfId="1080" xr:uid="{2BF12515-7D08-4969-BAA8-190C73FEC3B0}"/>
    <cellStyle name="一般 17 3 2 2 5" xfId="696" xr:uid="{B37F0204-5C90-4765-A003-5B1CF867EB8F}"/>
    <cellStyle name="一般 17 3 2 3" xfId="141" xr:uid="{318040E4-CD87-498D-A502-F4F45E93F926}"/>
    <cellStyle name="一般 17 3 2 3 2" xfId="237" xr:uid="{2EB7E6E9-B2DD-4530-BD0F-CD35E84041BE}"/>
    <cellStyle name="一般 17 3 2 3 2 2" xfId="429" xr:uid="{11EE4297-37C0-47CD-A930-268B81BBE75D}"/>
    <cellStyle name="一般 17 3 2 3 2 2 2" xfId="1016" xr:uid="{BDB97E34-C943-4C2E-A92E-F3490E367343}"/>
    <cellStyle name="一般 17 3 2 3 2 3" xfId="624" xr:uid="{17DBBDB5-392B-4262-8913-0B1CEFDD86E7}"/>
    <cellStyle name="一般 17 3 2 3 2 3 2" xfId="1208" xr:uid="{945EE4B9-7F9E-45EB-A817-401B650974B4}"/>
    <cellStyle name="一般 17 3 2 3 2 4" xfId="824" xr:uid="{698A7AFA-3EE3-4ED4-9675-A9F0BEA58990}"/>
    <cellStyle name="一般 17 3 2 3 3" xfId="333" xr:uid="{14D8B189-8A27-4775-A462-BAA6C859FD0E}"/>
    <cellStyle name="一般 17 3 2 3 3 2" xfId="920" xr:uid="{BCCC2F6E-2ABB-4F5C-B6BB-5E3B9A0F7825}"/>
    <cellStyle name="一般 17 3 2 3 4" xfId="528" xr:uid="{C3511C16-946F-4ACD-A876-BE47D1A6503C}"/>
    <cellStyle name="一般 17 3 2 3 4 2" xfId="1112" xr:uid="{E54B4E19-5804-45AE-AFDD-3318DF48A096}"/>
    <cellStyle name="一般 17 3 2 3 5" xfId="728" xr:uid="{F027D1A5-3799-4F9C-B328-ABDB5D2A3675}"/>
    <cellStyle name="一般 17 3 2 4" xfId="173" xr:uid="{E97CDBAD-095D-4D79-A413-D27B315D6FD3}"/>
    <cellStyle name="一般 17 3 2 4 2" xfId="365" xr:uid="{F86FCF49-26A9-4E79-8BDA-AABC8C76648C}"/>
    <cellStyle name="一般 17 3 2 4 2 2" xfId="952" xr:uid="{5017A696-5B32-44E7-AB25-346999E514E7}"/>
    <cellStyle name="一般 17 3 2 4 3" xfId="560" xr:uid="{04BC086F-D8A2-4369-ADE0-150204C57050}"/>
    <cellStyle name="一般 17 3 2 4 3 2" xfId="1144" xr:uid="{3C674EBC-28F7-45A6-A809-A466594DA605}"/>
    <cellStyle name="一般 17 3 2 4 4" xfId="760" xr:uid="{BB7268A1-4DC1-4CBC-9D24-95458CA4D291}"/>
    <cellStyle name="一般 17 3 2 5" xfId="269" xr:uid="{5C832300-B429-4F41-AA30-52E3EA97C23A}"/>
    <cellStyle name="一般 17 3 2 5 2" xfId="856" xr:uid="{672CB250-5868-4105-A569-85E38FD6AC50}"/>
    <cellStyle name="一般 17 3 2 6" xfId="464" xr:uid="{99737AC1-3B45-4BDC-A579-AE119994544C}"/>
    <cellStyle name="一般 17 3 2 6 2" xfId="1048" xr:uid="{31A5679B-011B-497E-8E62-2A5027C5D5BB}"/>
    <cellStyle name="一般 17 3 2 7" xfId="664" xr:uid="{29DBAC26-C14C-4354-87A9-B10CC4E2D7DA}"/>
    <cellStyle name="一般 17 3 2 8" xfId="1240" xr:uid="{E564DB5A-72AA-4624-AB50-1253CB9C5702}"/>
    <cellStyle name="一般 17 3 3" xfId="93" xr:uid="{48D7362A-26E1-460D-9D32-7A21A75C591C}"/>
    <cellStyle name="一般 17 3 3 2" xfId="189" xr:uid="{7888E84D-8AEB-4D5C-9FE1-9DBCFCF875E5}"/>
    <cellStyle name="一般 17 3 3 2 2" xfId="381" xr:uid="{4BA80AA9-DEF1-4850-A26C-4D6778340102}"/>
    <cellStyle name="一般 17 3 3 2 2 2" xfId="968" xr:uid="{BA750EA7-883E-4E40-92DC-FB83E35F0A3D}"/>
    <cellStyle name="一般 17 3 3 2 3" xfId="576" xr:uid="{D176FB52-AED9-4208-A4B7-7C46DE5215F7}"/>
    <cellStyle name="一般 17 3 3 2 3 2" xfId="1160" xr:uid="{0C389CDB-2FDE-451F-82BB-2CDE410369F0}"/>
    <cellStyle name="一般 17 3 3 2 4" xfId="776" xr:uid="{FCC18F95-3700-4830-A91E-C93980965FA2}"/>
    <cellStyle name="一般 17 3 3 3" xfId="285" xr:uid="{2AAE86B0-E047-4A52-939A-2D4535164C7D}"/>
    <cellStyle name="一般 17 3 3 3 2" xfId="872" xr:uid="{EC2CC1E3-1602-4E2B-BAEB-5F3B263A92ED}"/>
    <cellStyle name="一般 17 3 3 4" xfId="480" xr:uid="{1278F2A5-B759-421C-B3DF-18360414A1F0}"/>
    <cellStyle name="一般 17 3 3 4 2" xfId="1064" xr:uid="{E9FB0272-77E5-454D-AD2A-3E31D43CA124}"/>
    <cellStyle name="一般 17 3 3 5" xfId="680" xr:uid="{C4F4FE32-2A61-445E-94A7-857158940B89}"/>
    <cellStyle name="一般 17 3 4" xfId="125" xr:uid="{AE6641B2-36AB-4ED5-BEF4-9B620A9A9B89}"/>
    <cellStyle name="一般 17 3 4 2" xfId="221" xr:uid="{10251F24-DACB-461C-BC19-A981D37AF4F4}"/>
    <cellStyle name="一般 17 3 4 2 2" xfId="413" xr:uid="{FD1B8741-42C3-4021-8317-1CBDA1BCDCDB}"/>
    <cellStyle name="一般 17 3 4 2 2 2" xfId="1000" xr:uid="{0DC631E0-AF8E-4825-AA48-C6336CBF5579}"/>
    <cellStyle name="一般 17 3 4 2 3" xfId="608" xr:uid="{659A4BF1-AAE4-4623-9BB0-2AC9089662DB}"/>
    <cellStyle name="一般 17 3 4 2 3 2" xfId="1192" xr:uid="{A37164AF-BB73-4D38-8FB0-91AE207D1B81}"/>
    <cellStyle name="一般 17 3 4 2 4" xfId="808" xr:uid="{46A66068-6104-48C1-82FD-2888DCBABD2F}"/>
    <cellStyle name="一般 17 3 4 3" xfId="317" xr:uid="{82852FE1-945F-4423-AA38-4036B4FA377D}"/>
    <cellStyle name="一般 17 3 4 3 2" xfId="904" xr:uid="{275E1B40-9F6F-4EF7-926F-D1FE18F1E3C2}"/>
    <cellStyle name="一般 17 3 4 4" xfId="512" xr:uid="{A26A7E42-0644-4AEF-8E6C-BA74972EB56C}"/>
    <cellStyle name="一般 17 3 4 4 2" xfId="1096" xr:uid="{8D4062AC-ABA8-42B6-A92E-3E536BB2FC52}"/>
    <cellStyle name="一般 17 3 4 5" xfId="712" xr:uid="{F9E75675-84EE-433A-A430-7AEB18E7ACC3}"/>
    <cellStyle name="一般 17 3 5" xfId="157" xr:uid="{C6B7E782-4EEE-4219-9FAE-6BDEB53355FA}"/>
    <cellStyle name="一般 17 3 5 2" xfId="349" xr:uid="{1523B565-D8B0-4B33-A2CE-39E56D8931D5}"/>
    <cellStyle name="一般 17 3 5 2 2" xfId="936" xr:uid="{1D4D2D61-0379-413C-B046-A3704B62F402}"/>
    <cellStyle name="一般 17 3 5 3" xfId="544" xr:uid="{C4524588-0EBB-4D77-8409-AE038F4C08D8}"/>
    <cellStyle name="一般 17 3 5 3 2" xfId="1128" xr:uid="{93213577-5FAF-4D89-9FC3-3C6374A7D430}"/>
    <cellStyle name="一般 17 3 5 4" xfId="744" xr:uid="{08036285-DD8E-44AC-81B9-139210059335}"/>
    <cellStyle name="一般 17 3 6" xfId="253" xr:uid="{989413E2-3340-4B19-BC8A-0EC908E35B36}"/>
    <cellStyle name="一般 17 3 6 2" xfId="840" xr:uid="{B3C563F7-D8C9-4B1E-BF9C-8545F19E55FA}"/>
    <cellStyle name="一般 17 3 7" xfId="448" xr:uid="{CE12BAB3-636E-42D0-94C0-434304791A2C}"/>
    <cellStyle name="一般 17 3 7 2" xfId="1032" xr:uid="{E0F35817-3459-47B9-A768-3912D791A4A9}"/>
    <cellStyle name="一般 17 3 8" xfId="648" xr:uid="{89B2957B-1369-4646-A839-E2F30ADF6CE1}"/>
    <cellStyle name="一般 17 3 9" xfId="1224" xr:uid="{A259A259-5F35-4658-AECF-E60D3E6DC515}"/>
    <cellStyle name="一般 17 4" xfId="46" xr:uid="{D81DEC52-5549-4B34-8DE7-9B9906DBEE2C}"/>
    <cellStyle name="一般 17 4 2" xfId="62" xr:uid="{65B53C9D-D286-47D7-9692-C674152D1454}"/>
    <cellStyle name="一般 17 4 2 2" xfId="113" xr:uid="{71C60232-FBC0-443E-BD94-3BC4ED32484A}"/>
    <cellStyle name="一般 17 4 2 2 2" xfId="209" xr:uid="{603DCFE4-8D17-4428-BB46-B2F988AE36FE}"/>
    <cellStyle name="一般 17 4 2 2 2 2" xfId="401" xr:uid="{77CD6992-59C5-48BD-9144-C2ED6DE961C3}"/>
    <cellStyle name="一般 17 4 2 2 2 2 2" xfId="988" xr:uid="{B3E81410-653B-436A-B1EA-12DA86C21D0A}"/>
    <cellStyle name="一般 17 4 2 2 2 3" xfId="596" xr:uid="{9CDD9995-74BF-48B5-AB5A-C35766D6B7CB}"/>
    <cellStyle name="一般 17 4 2 2 2 3 2" xfId="1180" xr:uid="{AD4F6D56-7C1B-4E7F-BAC1-1F9E2C7ED148}"/>
    <cellStyle name="一般 17 4 2 2 2 4" xfId="796" xr:uid="{0598E42E-8FE4-4186-AC40-7E383BED5DDB}"/>
    <cellStyle name="一般 17 4 2 2 3" xfId="305" xr:uid="{4AB9CA89-6CE9-4867-AC4A-9D1218C24D1F}"/>
    <cellStyle name="一般 17 4 2 2 3 2" xfId="892" xr:uid="{2C60ECFD-4DC6-4EC3-8104-54A926E9B042}"/>
    <cellStyle name="一般 17 4 2 2 4" xfId="500" xr:uid="{091D8537-162D-430E-8E94-8540F3693F90}"/>
    <cellStyle name="一般 17 4 2 2 4 2" xfId="1084" xr:uid="{1B7B0934-BFB0-4AEB-8FFD-AAEA333B2D44}"/>
    <cellStyle name="一般 17 4 2 2 5" xfId="700" xr:uid="{11C35705-663F-4507-9DA9-846E78F1852A}"/>
    <cellStyle name="一般 17 4 2 3" xfId="145" xr:uid="{41CBB1B1-DA4D-4ECF-9EA3-7A50856825BD}"/>
    <cellStyle name="一般 17 4 2 3 2" xfId="241" xr:uid="{2CF9347E-C76D-4D90-BF76-166086170F79}"/>
    <cellStyle name="一般 17 4 2 3 2 2" xfId="433" xr:uid="{4E3C55D7-7D5E-4074-B619-205A32495A62}"/>
    <cellStyle name="一般 17 4 2 3 2 2 2" xfId="1020" xr:uid="{6C97A7A7-7009-4336-AF7D-BED0A75E4F44}"/>
    <cellStyle name="一般 17 4 2 3 2 3" xfId="628" xr:uid="{BB4944E8-85C0-4756-A666-7E0B05D2DB53}"/>
    <cellStyle name="一般 17 4 2 3 2 3 2" xfId="1212" xr:uid="{B0436466-20FF-4B08-80C2-76364AB2E0FD}"/>
    <cellStyle name="一般 17 4 2 3 2 4" xfId="828" xr:uid="{A649138E-DA54-49AA-B5B1-C595F8B22ADA}"/>
    <cellStyle name="一般 17 4 2 3 3" xfId="337" xr:uid="{79106042-9830-473D-90F4-56210F006632}"/>
    <cellStyle name="一般 17 4 2 3 3 2" xfId="924" xr:uid="{DF956E56-777C-413F-8E59-2FD28A5F657D}"/>
    <cellStyle name="一般 17 4 2 3 4" xfId="532" xr:uid="{FAF46A5E-5190-4490-B28C-9C5F898E7BD6}"/>
    <cellStyle name="一般 17 4 2 3 4 2" xfId="1116" xr:uid="{441A0DD5-A4E2-412C-B254-8DF932EC2843}"/>
    <cellStyle name="一般 17 4 2 3 5" xfId="732" xr:uid="{7561EB04-551C-40B9-AC40-DA02A5CE2940}"/>
    <cellStyle name="一般 17 4 2 4" xfId="177" xr:uid="{9E0DC4D2-D6A9-49FA-9F22-C637F4D41A29}"/>
    <cellStyle name="一般 17 4 2 4 2" xfId="369" xr:uid="{128A109F-6DA9-4090-A365-F62010B44A36}"/>
    <cellStyle name="一般 17 4 2 4 2 2" xfId="956" xr:uid="{E2169BB8-7D17-4BF1-8FC7-082BAA8EA4E2}"/>
    <cellStyle name="一般 17 4 2 4 3" xfId="564" xr:uid="{E58AD0BC-D1AA-4FE8-944F-A96A56D8AF46}"/>
    <cellStyle name="一般 17 4 2 4 3 2" xfId="1148" xr:uid="{AACA43FD-56BF-4CBB-A712-7E48745BF5FB}"/>
    <cellStyle name="一般 17 4 2 4 4" xfId="764" xr:uid="{38E48100-2E16-462E-9CE3-C2C196C9C99C}"/>
    <cellStyle name="一般 17 4 2 5" xfId="273" xr:uid="{97B82A1D-F95C-4D37-8C9F-3B1134F0F5BA}"/>
    <cellStyle name="一般 17 4 2 5 2" xfId="860" xr:uid="{30C241CD-7F91-4F5A-B96B-08A4B4F83972}"/>
    <cellStyle name="一般 17 4 2 6" xfId="468" xr:uid="{1A664036-00ED-4F21-8C07-5A33357A1B85}"/>
    <cellStyle name="一般 17 4 2 6 2" xfId="1052" xr:uid="{C98DA5E7-46F7-4573-857B-712E3A016DE7}"/>
    <cellStyle name="一般 17 4 2 7" xfId="668" xr:uid="{33CFF444-B6E1-421D-8360-402071803808}"/>
    <cellStyle name="一般 17 4 2 8" xfId="1244" xr:uid="{884F6113-404B-4B4E-AE08-2066D8C03D58}"/>
    <cellStyle name="一般 17 4 3" xfId="97" xr:uid="{0006020A-3DA3-4FB0-B0DE-DFE9D318D479}"/>
    <cellStyle name="一般 17 4 3 2" xfId="193" xr:uid="{12274514-F629-46A8-8A8A-B4734E8F8C7D}"/>
    <cellStyle name="一般 17 4 3 2 2" xfId="385" xr:uid="{D7331D0A-8CC0-4FDB-B7E1-E557EBD93654}"/>
    <cellStyle name="一般 17 4 3 2 2 2" xfId="972" xr:uid="{D0BAEE5D-C111-47D4-930A-48936974770B}"/>
    <cellStyle name="一般 17 4 3 2 3" xfId="580" xr:uid="{6F6A9252-29BB-4DCB-9FCF-36993156EDE2}"/>
    <cellStyle name="一般 17 4 3 2 3 2" xfId="1164" xr:uid="{1A210E35-36EF-407A-BA80-B95DAB412799}"/>
    <cellStyle name="一般 17 4 3 2 4" xfId="780" xr:uid="{64994BA1-D244-4165-A2C7-B8C8BE1D549E}"/>
    <cellStyle name="一般 17 4 3 3" xfId="289" xr:uid="{54B50BC4-84C8-4192-9B0E-FA9665781B38}"/>
    <cellStyle name="一般 17 4 3 3 2" xfId="876" xr:uid="{45FC043E-6394-457E-8947-791DDB0F63B5}"/>
    <cellStyle name="一般 17 4 3 4" xfId="484" xr:uid="{11FAC347-E801-4425-AC99-850A98B6C762}"/>
    <cellStyle name="一般 17 4 3 4 2" xfId="1068" xr:uid="{5DD8F613-2FE8-451B-8DD9-B94621C26322}"/>
    <cellStyle name="一般 17 4 3 5" xfId="684" xr:uid="{3F03756C-F68C-440A-BDE8-E33AAECAD32D}"/>
    <cellStyle name="一般 17 4 4" xfId="129" xr:uid="{8244CBF7-7FD4-4BB6-9698-26F83CE20387}"/>
    <cellStyle name="一般 17 4 4 2" xfId="225" xr:uid="{E07B734A-F6B6-46EF-BCE5-B0C31851DE97}"/>
    <cellStyle name="一般 17 4 4 2 2" xfId="417" xr:uid="{FA663B59-5406-4F7E-A865-F37A1696E9D3}"/>
    <cellStyle name="一般 17 4 4 2 2 2" xfId="1004" xr:uid="{4A0BBF01-603B-40DA-A9E9-40B0A378414F}"/>
    <cellStyle name="一般 17 4 4 2 3" xfId="612" xr:uid="{9AAECF92-01AF-45DD-8A83-BEA90213B54D}"/>
    <cellStyle name="一般 17 4 4 2 3 2" xfId="1196" xr:uid="{08D96F6A-9B78-4A37-9687-CDAAC0F14064}"/>
    <cellStyle name="一般 17 4 4 2 4" xfId="812" xr:uid="{7329A17B-37BA-4E33-BDE0-88025D6F3B66}"/>
    <cellStyle name="一般 17 4 4 3" xfId="321" xr:uid="{30D9857A-24EB-4F49-BBE9-ECDEBAF9BF81}"/>
    <cellStyle name="一般 17 4 4 3 2" xfId="908" xr:uid="{0C7416BB-27DA-466A-8515-C0BC23BC4B3A}"/>
    <cellStyle name="一般 17 4 4 4" xfId="516" xr:uid="{7251CB73-8A5D-4874-BA02-33551791DE97}"/>
    <cellStyle name="一般 17 4 4 4 2" xfId="1100" xr:uid="{81E4C5A1-F2BF-4BD1-B110-F7C2A63369D6}"/>
    <cellStyle name="一般 17 4 4 5" xfId="716" xr:uid="{DED2A264-B16F-40C8-B8C8-45F7B666A837}"/>
    <cellStyle name="一般 17 4 5" xfId="161" xr:uid="{00DE1032-5472-4E9E-91F8-65904507FDDF}"/>
    <cellStyle name="一般 17 4 5 2" xfId="353" xr:uid="{421ABDD0-F4F7-4973-8157-14E97F9B4912}"/>
    <cellStyle name="一般 17 4 5 2 2" xfId="940" xr:uid="{9374835D-3DE8-40E8-AF58-71A08EA7CA9A}"/>
    <cellStyle name="一般 17 4 5 3" xfId="548" xr:uid="{74112DB2-62B4-4F95-845A-EB87AA7585BE}"/>
    <cellStyle name="一般 17 4 5 3 2" xfId="1132" xr:uid="{B0E53DE7-AE3A-4389-A817-8D1CA35DE171}"/>
    <cellStyle name="一般 17 4 5 4" xfId="748" xr:uid="{0ED2D0B9-EE2E-459F-AEB8-81D7B99F5699}"/>
    <cellStyle name="一般 17 4 6" xfId="257" xr:uid="{4A272E82-1FB8-4FBC-8C1A-3FCDF39F8415}"/>
    <cellStyle name="一般 17 4 6 2" xfId="844" xr:uid="{26A4CD33-72B4-4498-B949-F38256E7F4DD}"/>
    <cellStyle name="一般 17 4 7" xfId="452" xr:uid="{843BA978-7FC9-4944-970C-02D1B910ADBC}"/>
    <cellStyle name="一般 17 4 7 2" xfId="1036" xr:uid="{7DC6D0A7-C886-4302-9FA3-8BE14B307460}"/>
    <cellStyle name="一般 17 4 8" xfId="652" xr:uid="{FB47BDE7-6551-497F-81EB-C562CD1A4BBE}"/>
    <cellStyle name="一般 17 4 9" xfId="1228" xr:uid="{362A97CE-4F01-41AA-8219-14E817F84554}"/>
    <cellStyle name="一般 17 5" xfId="50" xr:uid="{0212808A-DA91-4196-B0D8-74F7B4FE208B}"/>
    <cellStyle name="一般 17 5 2" xfId="66" xr:uid="{512DA75F-2134-44C8-8967-4C28118DAF40}"/>
    <cellStyle name="一般 17 5 2 2" xfId="117" xr:uid="{E9DB0B8B-5ECE-4946-B8CE-66F079353E44}"/>
    <cellStyle name="一般 17 5 2 2 2" xfId="213" xr:uid="{170AEDA1-A40D-44CD-8A2B-0850E2A7A8EE}"/>
    <cellStyle name="一般 17 5 2 2 2 2" xfId="405" xr:uid="{8DA9D3CF-6E4F-4E27-AA69-66F3AD27010D}"/>
    <cellStyle name="一般 17 5 2 2 2 2 2" xfId="992" xr:uid="{C350D27C-EB6A-4C95-A372-AD7D2B4FE6C7}"/>
    <cellStyle name="一般 17 5 2 2 2 3" xfId="600" xr:uid="{CF649D4A-016A-44FE-A0E1-C799BF80704A}"/>
    <cellStyle name="一般 17 5 2 2 2 3 2" xfId="1184" xr:uid="{03AFE1BD-40C2-43CC-8FA9-E348E29DE292}"/>
    <cellStyle name="一般 17 5 2 2 2 4" xfId="800" xr:uid="{500CC094-D067-4791-B83B-6AF671F4FA95}"/>
    <cellStyle name="一般 17 5 2 2 3" xfId="309" xr:uid="{E6650334-4668-4BCD-97CF-712A90D428EB}"/>
    <cellStyle name="一般 17 5 2 2 3 2" xfId="896" xr:uid="{58C6A941-D75A-417D-9906-3F1ACB0FCEB9}"/>
    <cellStyle name="一般 17 5 2 2 4" xfId="504" xr:uid="{72DE35CE-4D26-4D46-93D7-E7622F7FA9CB}"/>
    <cellStyle name="一般 17 5 2 2 4 2" xfId="1088" xr:uid="{D58D2ADB-9632-41DD-8085-649124FD1FF5}"/>
    <cellStyle name="一般 17 5 2 2 5" xfId="704" xr:uid="{CFB51147-93F7-4B34-A754-1888B83AC111}"/>
    <cellStyle name="一般 17 5 2 3" xfId="149" xr:uid="{0471E29D-68B4-43F4-A328-8545BA1ED5EC}"/>
    <cellStyle name="一般 17 5 2 3 2" xfId="245" xr:uid="{198E34E4-592D-41C1-BBC8-A44E7D02C0C0}"/>
    <cellStyle name="一般 17 5 2 3 2 2" xfId="437" xr:uid="{FEF22CE6-2B42-4EA7-B13F-2B20C35FA9AF}"/>
    <cellStyle name="一般 17 5 2 3 2 2 2" xfId="1024" xr:uid="{52204613-3FD7-439B-AEF4-2C6F9F9C78BB}"/>
    <cellStyle name="一般 17 5 2 3 2 3" xfId="632" xr:uid="{C9B1BA3A-25ED-4CB8-8B69-C51EB24ADCA8}"/>
    <cellStyle name="一般 17 5 2 3 2 3 2" xfId="1216" xr:uid="{E4B9C9C1-604A-4E4C-AE28-EF95802402BB}"/>
    <cellStyle name="一般 17 5 2 3 2 4" xfId="832" xr:uid="{2CC0E448-8175-4E39-9268-4F5C4DE211C5}"/>
    <cellStyle name="一般 17 5 2 3 3" xfId="341" xr:uid="{F6CB939C-7B04-4925-91CE-ED50E43F6D8A}"/>
    <cellStyle name="一般 17 5 2 3 3 2" xfId="928" xr:uid="{6C425BF3-C781-465E-A910-578AB445F8DA}"/>
    <cellStyle name="一般 17 5 2 3 4" xfId="536" xr:uid="{7B2C8249-09EE-40C1-8E92-5906062C134C}"/>
    <cellStyle name="一般 17 5 2 3 4 2" xfId="1120" xr:uid="{EDE3CD27-8483-42A7-B0D2-BF495E3264B0}"/>
    <cellStyle name="一般 17 5 2 3 5" xfId="736" xr:uid="{F601C299-9D64-43FB-80ED-D2F7ED5E7709}"/>
    <cellStyle name="一般 17 5 2 4" xfId="181" xr:uid="{57D8C6DE-92AA-4BBB-8DA1-D3516CF8C290}"/>
    <cellStyle name="一般 17 5 2 4 2" xfId="373" xr:uid="{6C7A66BC-FE2A-41A5-8BAD-9465AF0740CB}"/>
    <cellStyle name="一般 17 5 2 4 2 2" xfId="960" xr:uid="{7E23F811-FE0F-421C-A73B-E257323723EA}"/>
    <cellStyle name="一般 17 5 2 4 3" xfId="568" xr:uid="{62CD2FB9-DCEB-4FBE-80B5-4128FD79BAC4}"/>
    <cellStyle name="一般 17 5 2 4 3 2" xfId="1152" xr:uid="{B9A8EE39-5644-40CD-A21C-4C4EBF09FDE7}"/>
    <cellStyle name="一般 17 5 2 4 4" xfId="768" xr:uid="{ACEF8936-AA4E-4F04-8855-02769569100E}"/>
    <cellStyle name="一般 17 5 2 5" xfId="277" xr:uid="{526E5C9D-71DA-4FC9-A6A4-5F490FF071A9}"/>
    <cellStyle name="一般 17 5 2 5 2" xfId="864" xr:uid="{816538B2-7380-410D-A97C-07DEDCCE8E4A}"/>
    <cellStyle name="一般 17 5 2 6" xfId="472" xr:uid="{DD9AE84B-6E91-4A7A-88CA-B71B0A187DC5}"/>
    <cellStyle name="一般 17 5 2 6 2" xfId="1056" xr:uid="{FBA5B073-F601-4721-B5FA-C71198DD3782}"/>
    <cellStyle name="一般 17 5 2 7" xfId="672" xr:uid="{43C9F04C-6C20-4C4F-A895-C665F686353D}"/>
    <cellStyle name="一般 17 5 2 8" xfId="1248" xr:uid="{572D040D-F6F8-4106-A00E-1DF239F78328}"/>
    <cellStyle name="一般 17 5 3" xfId="101" xr:uid="{24F0C731-7F27-47E4-81EE-DAB28D03736D}"/>
    <cellStyle name="一般 17 5 3 2" xfId="197" xr:uid="{ACEBBC08-DDDA-4F62-8264-F927ABB45D39}"/>
    <cellStyle name="一般 17 5 3 2 2" xfId="389" xr:uid="{C77284EE-4201-47ED-B25C-E1A58CE7F47C}"/>
    <cellStyle name="一般 17 5 3 2 2 2" xfId="976" xr:uid="{12A31A83-CC81-4141-AB15-D7C503D5CCC1}"/>
    <cellStyle name="一般 17 5 3 2 3" xfId="584" xr:uid="{9BB5E6DD-6C0F-42B8-B166-EA824704845A}"/>
    <cellStyle name="一般 17 5 3 2 3 2" xfId="1168" xr:uid="{5A1CBED6-CBA3-4506-BA43-78F65A643F3E}"/>
    <cellStyle name="一般 17 5 3 2 4" xfId="784" xr:uid="{BF651B06-BA07-4461-BC4F-4DDDC25A1BD6}"/>
    <cellStyle name="一般 17 5 3 3" xfId="293" xr:uid="{1A875FD3-1488-4687-AA5B-81EBDEE03755}"/>
    <cellStyle name="一般 17 5 3 3 2" xfId="880" xr:uid="{35748819-4F5E-418C-A9DD-78E63299760A}"/>
    <cellStyle name="一般 17 5 3 4" xfId="488" xr:uid="{82F1AC96-C68E-4AC6-9D1C-3E81D7C99599}"/>
    <cellStyle name="一般 17 5 3 4 2" xfId="1072" xr:uid="{58B2AD1F-3FC2-4FFF-8F0C-17BCE2C8F519}"/>
    <cellStyle name="一般 17 5 3 5" xfId="688" xr:uid="{916FF2A9-DBFC-409A-932C-B1EBF87F67B1}"/>
    <cellStyle name="一般 17 5 4" xfId="133" xr:uid="{6EFAD875-FF57-4BF4-9674-EDDCEFA1E73F}"/>
    <cellStyle name="一般 17 5 4 2" xfId="229" xr:uid="{9F76076A-B53E-4B64-8428-57FDC2FDBBA8}"/>
    <cellStyle name="一般 17 5 4 2 2" xfId="421" xr:uid="{C8F27B54-92D1-4334-BB6F-290BFF6DAC77}"/>
    <cellStyle name="一般 17 5 4 2 2 2" xfId="1008" xr:uid="{A1A9ADDD-E405-423A-9744-F8044A7F4578}"/>
    <cellStyle name="一般 17 5 4 2 3" xfId="616" xr:uid="{00129AA4-8F5C-4C61-922C-0514B9BF0CB0}"/>
    <cellStyle name="一般 17 5 4 2 3 2" xfId="1200" xr:uid="{897646D1-C555-4AAC-8BB0-D59FF67EB64D}"/>
    <cellStyle name="一般 17 5 4 2 4" xfId="816" xr:uid="{082E49E6-2667-4E7D-B582-BF2875F54049}"/>
    <cellStyle name="一般 17 5 4 3" xfId="325" xr:uid="{2AA82AA4-7CC7-47C9-B6B8-BBEBF6F689E4}"/>
    <cellStyle name="一般 17 5 4 3 2" xfId="912" xr:uid="{D131009C-281B-4DF3-8B56-0B81B2EBDB6C}"/>
    <cellStyle name="一般 17 5 4 4" xfId="520" xr:uid="{8C03287A-0ECB-46C2-986C-E0C0612FEB79}"/>
    <cellStyle name="一般 17 5 4 4 2" xfId="1104" xr:uid="{925ED619-AF05-4EC4-9DDE-35750918F6DB}"/>
    <cellStyle name="一般 17 5 4 5" xfId="720" xr:uid="{36D1C7F9-7005-41BD-ABAD-B2EC739B875B}"/>
    <cellStyle name="一般 17 5 5" xfId="165" xr:uid="{2B85A6EE-5705-4681-AA3D-36A41380F5CA}"/>
    <cellStyle name="一般 17 5 5 2" xfId="357" xr:uid="{338C3B71-49DF-48E7-BF26-00954F6E21E3}"/>
    <cellStyle name="一般 17 5 5 2 2" xfId="944" xr:uid="{37661E2A-A851-4BF1-8D27-834460EC53FB}"/>
    <cellStyle name="一般 17 5 5 3" xfId="552" xr:uid="{F288EB08-E851-4AD6-986F-005774EB15E0}"/>
    <cellStyle name="一般 17 5 5 3 2" xfId="1136" xr:uid="{00EBB770-E88E-445C-8A8B-26E3FE478FCC}"/>
    <cellStyle name="一般 17 5 5 4" xfId="752" xr:uid="{D49641BF-074E-4857-AA7B-1A6CAB9501C4}"/>
    <cellStyle name="一般 17 5 6" xfId="261" xr:uid="{7A0E8E0D-3A2A-491D-977A-6C8B919F0D5A}"/>
    <cellStyle name="一般 17 5 6 2" xfId="848" xr:uid="{120B264C-1AAB-41A4-BFC1-CA3E5214589D}"/>
    <cellStyle name="一般 17 5 7" xfId="456" xr:uid="{45D2917B-2C76-4E09-905B-319EC23B29E8}"/>
    <cellStyle name="一般 17 5 7 2" xfId="1040" xr:uid="{7F0A2497-01FF-428D-A17D-262733E80FC8}"/>
    <cellStyle name="一般 17 5 8" xfId="656" xr:uid="{F3C6936A-C896-4CF2-90C5-174E8F78A191}"/>
    <cellStyle name="一般 17 5 9" xfId="1232" xr:uid="{D48044B9-9949-4161-9AC3-D2E69EC0572D}"/>
    <cellStyle name="一般 17 6" xfId="54" xr:uid="{D456EDF2-8501-4CDA-9E79-BC35FB5FCD29}"/>
    <cellStyle name="一般 17 6 2" xfId="105" xr:uid="{1299602D-5236-4683-834C-5BC433BCA2A9}"/>
    <cellStyle name="一般 17 6 2 2" xfId="201" xr:uid="{BA1EBCF6-B1C7-4B99-B7D5-E6DBE4B7EDE7}"/>
    <cellStyle name="一般 17 6 2 2 2" xfId="393" xr:uid="{C3C26C78-911B-4254-9578-8C130484B585}"/>
    <cellStyle name="一般 17 6 2 2 2 2" xfId="980" xr:uid="{2191619F-2684-4C27-8AB0-0B9936E03911}"/>
    <cellStyle name="一般 17 6 2 2 3" xfId="588" xr:uid="{A2D8E332-C047-491A-907B-B7196B7816BD}"/>
    <cellStyle name="一般 17 6 2 2 3 2" xfId="1172" xr:uid="{230813D5-96D9-4A0E-9061-B59521A3C591}"/>
    <cellStyle name="一般 17 6 2 2 4" xfId="788" xr:uid="{A20517FB-0072-4E24-A198-A1FFC0B5261F}"/>
    <cellStyle name="一般 17 6 2 3" xfId="297" xr:uid="{B661C38C-F546-43ED-B0E5-48946E5A2C76}"/>
    <cellStyle name="一般 17 6 2 3 2" xfId="884" xr:uid="{FBD5FF1C-7EE7-47AC-BBC1-113A2CBF4678}"/>
    <cellStyle name="一般 17 6 2 4" xfId="492" xr:uid="{00DE1F5C-BCD0-41C9-9B8B-0269DE6AF3FB}"/>
    <cellStyle name="一般 17 6 2 4 2" xfId="1076" xr:uid="{4DDE4100-39F3-4610-90B5-6570C08B6046}"/>
    <cellStyle name="一般 17 6 2 5" xfId="692" xr:uid="{85B6B1DE-340D-4AA5-819A-E7BE1D1B08F3}"/>
    <cellStyle name="一般 17 6 3" xfId="137" xr:uid="{EE41CBD7-8D16-45BF-A154-CADF914F85F4}"/>
    <cellStyle name="一般 17 6 3 2" xfId="233" xr:uid="{4E905C7E-8970-4704-BA16-187FBC2A8655}"/>
    <cellStyle name="一般 17 6 3 2 2" xfId="425" xr:uid="{413C2972-531A-40A6-8FC9-556A45F6BE82}"/>
    <cellStyle name="一般 17 6 3 2 2 2" xfId="1012" xr:uid="{8C94049F-A086-47B7-BC6E-3D93208F7C8E}"/>
    <cellStyle name="一般 17 6 3 2 3" xfId="620" xr:uid="{5E9669DE-06AC-4610-9631-2AD1A1A14CD8}"/>
    <cellStyle name="一般 17 6 3 2 3 2" xfId="1204" xr:uid="{564774F6-8CE1-472A-AEAB-FE14C513305E}"/>
    <cellStyle name="一般 17 6 3 2 4" xfId="820" xr:uid="{D1EA45A5-D8B7-4A3A-90D2-FBF1DD1713D9}"/>
    <cellStyle name="一般 17 6 3 3" xfId="329" xr:uid="{03130B32-AAE2-4FBD-845F-7A92B108BEAF}"/>
    <cellStyle name="一般 17 6 3 3 2" xfId="916" xr:uid="{EDF779C8-0104-41F2-9E50-215719844D57}"/>
    <cellStyle name="一般 17 6 3 4" xfId="524" xr:uid="{7DE5BA00-C03B-4CEC-BBFC-1642E44D3EB3}"/>
    <cellStyle name="一般 17 6 3 4 2" xfId="1108" xr:uid="{F5F41C85-E121-4556-8786-693C402C0CAF}"/>
    <cellStyle name="一般 17 6 3 5" xfId="724" xr:uid="{FE6F721A-3431-4C91-82BF-D45CD70A411C}"/>
    <cellStyle name="一般 17 6 4" xfId="169" xr:uid="{0AE59150-F60A-4B1C-8F11-04A175F0DAA5}"/>
    <cellStyle name="一般 17 6 4 2" xfId="361" xr:uid="{46629394-7DC8-4178-986F-BC39556FE2D6}"/>
    <cellStyle name="一般 17 6 4 2 2" xfId="948" xr:uid="{6D65474C-E25B-4907-927F-4D505649C4CF}"/>
    <cellStyle name="一般 17 6 4 3" xfId="556" xr:uid="{FB9C5283-92C4-475E-9C2F-FB9DC57676C4}"/>
    <cellStyle name="一般 17 6 4 3 2" xfId="1140" xr:uid="{47AF32C4-A758-44A5-AD42-3A81FEDC860F}"/>
    <cellStyle name="一般 17 6 4 4" xfId="756" xr:uid="{C6275957-3C83-4B96-BD68-42430C35C7EE}"/>
    <cellStyle name="一般 17 6 5" xfId="265" xr:uid="{04A28297-81E5-4B2D-87B8-5A504A22733D}"/>
    <cellStyle name="一般 17 6 5 2" xfId="852" xr:uid="{E0305471-EC5E-4F90-87DC-215CBE8731BC}"/>
    <cellStyle name="一般 17 6 6" xfId="460" xr:uid="{57B053D2-2B34-436B-B043-0473DA280AA7}"/>
    <cellStyle name="一般 17 6 6 2" xfId="1044" xr:uid="{578F8C9D-6484-492A-B895-AA5805B3A335}"/>
    <cellStyle name="一般 17 6 7" xfId="660" xr:uid="{6C257E5E-7ED7-46DA-8F4E-E3AD367305F3}"/>
    <cellStyle name="一般 17 6 8" xfId="1236" xr:uid="{F309387E-99FB-4F71-96C5-9E4234127425}"/>
    <cellStyle name="一般 17 7" xfId="89" xr:uid="{9A0DD705-BA14-4419-954A-0617AC582CB8}"/>
    <cellStyle name="一般 17 7 2" xfId="185" xr:uid="{25703CF1-1FD9-4CF5-9519-2ABD63A7670A}"/>
    <cellStyle name="一般 17 7 2 2" xfId="377" xr:uid="{2C6301DA-E86C-4DAC-BC2A-E8B352E86F2A}"/>
    <cellStyle name="一般 17 7 2 2 2" xfId="964" xr:uid="{C59029C0-FA71-4348-BDA5-0306D9E57D74}"/>
    <cellStyle name="一般 17 7 2 3" xfId="572" xr:uid="{BEE752C9-B521-490C-988E-ED163DEA95E9}"/>
    <cellStyle name="一般 17 7 2 3 2" xfId="1156" xr:uid="{4E69C47C-7D90-4C91-AD10-C37F65978AE6}"/>
    <cellStyle name="一般 17 7 2 4" xfId="772" xr:uid="{FF66A8BE-D301-4E34-B159-655D27675600}"/>
    <cellStyle name="一般 17 7 3" xfId="281" xr:uid="{0F8F7207-73A9-44E2-8F4F-A7AEA2C26506}"/>
    <cellStyle name="一般 17 7 3 2" xfId="868" xr:uid="{AA1500AA-EB06-40F6-A77D-A4711813EF87}"/>
    <cellStyle name="一般 17 7 4" xfId="476" xr:uid="{8227C999-3411-45C5-8E8D-A88BB8F2729A}"/>
    <cellStyle name="一般 17 7 4 2" xfId="1060" xr:uid="{D67ED2E3-7772-4156-8B57-BD5BFCA85289}"/>
    <cellStyle name="一般 17 7 5" xfId="676" xr:uid="{CA2982C5-E8F0-44FB-9B20-A0E001F70F9E}"/>
    <cellStyle name="一般 17 8" xfId="121" xr:uid="{7AE54662-E96D-42B9-8D24-6E0666F0BF91}"/>
    <cellStyle name="一般 17 8 2" xfId="217" xr:uid="{ABFCD03D-D942-40E4-A3F5-F930B4E554BE}"/>
    <cellStyle name="一般 17 8 2 2" xfId="409" xr:uid="{AE8B606A-9F16-4608-AEAB-E7FCC6C08D64}"/>
    <cellStyle name="一般 17 8 2 2 2" xfId="996" xr:uid="{F1E87B91-1370-4B94-B6DB-003A96AC80BF}"/>
    <cellStyle name="一般 17 8 2 3" xfId="604" xr:uid="{7E167180-C243-46BD-9263-D45D4AD4BF78}"/>
    <cellStyle name="一般 17 8 2 3 2" xfId="1188" xr:uid="{73D7D808-7445-4FE1-906C-9F192C1E875C}"/>
    <cellStyle name="一般 17 8 2 4" xfId="804" xr:uid="{743216DD-5483-43C3-825E-7647E5E05318}"/>
    <cellStyle name="一般 17 8 3" xfId="313" xr:uid="{A895026F-7A2C-47CF-94F0-B61DE9B2DBE0}"/>
    <cellStyle name="一般 17 8 3 2" xfId="900" xr:uid="{9BE60A04-8171-48CD-9BDB-FAA6ED19EEB5}"/>
    <cellStyle name="一般 17 8 4" xfId="508" xr:uid="{4603743F-3C9B-4E04-BBFB-8D39840B6875}"/>
    <cellStyle name="一般 17 8 4 2" xfId="1092" xr:uid="{06A574CF-C496-4FC1-B2DA-446CE1FF272B}"/>
    <cellStyle name="一般 17 8 5" xfId="708" xr:uid="{F7CBCE20-D474-45D5-BD10-DC553FF18B23}"/>
    <cellStyle name="一般 17 9" xfId="153" xr:uid="{623495A7-FB73-487D-AC3D-FEFA5BC0EA47}"/>
    <cellStyle name="一般 17 9 2" xfId="345" xr:uid="{4FA0FD37-75A2-4A6F-AA9B-174A8312D3BB}"/>
    <cellStyle name="一般 17 9 2 2" xfId="932" xr:uid="{74552DF5-878F-45C0-B100-5114859E32D8}"/>
    <cellStyle name="一般 17 9 3" xfId="540" xr:uid="{8A372BB4-E1BA-4512-AFE8-43CCAF387E27}"/>
    <cellStyle name="一般 17 9 3 2" xfId="1124" xr:uid="{CD29EB2C-58C7-4B3A-80F9-8BBEBA067128}"/>
    <cellStyle name="一般 17 9 4" xfId="740" xr:uid="{8647CA6A-9725-4B3A-8919-A478702ABF86}"/>
    <cellStyle name="一般 18" xfId="21" xr:uid="{894AC6D5-EB3E-4797-809E-40B80033033F}"/>
    <cellStyle name="一般 18 10" xfId="250" xr:uid="{B54D0985-1E9D-4263-88F6-66DF37657671}"/>
    <cellStyle name="一般 18 10 2" xfId="837" xr:uid="{6C4D1587-F896-4C89-B860-37C18112CB00}"/>
    <cellStyle name="一般 18 11" xfId="443" xr:uid="{F48EEBA0-12B3-4DC0-A243-B2E0B8C84792}"/>
    <cellStyle name="一般 18 11 2" xfId="1029" xr:uid="{0ECAF439-A9A8-45DE-B37D-0BD2FF61BF14}"/>
    <cellStyle name="一般 18 12" xfId="645" xr:uid="{6162AC13-8E75-4004-A45A-3931638DF94B}"/>
    <cellStyle name="一般 18 13" xfId="1221" xr:uid="{4990F782-49BE-485F-96A7-98C5BAB37547}"/>
    <cellStyle name="一般 18 2" xfId="23" xr:uid="{BF806443-5F1F-4FF4-A060-11B6EC8041A5}"/>
    <cellStyle name="一般 18 2 10" xfId="445" xr:uid="{93910C41-4882-4834-9B51-BF8366592187}"/>
    <cellStyle name="一般 18 2 10 2" xfId="1031" xr:uid="{50A36331-5774-4B4B-A6F9-5BD98AB43345}"/>
    <cellStyle name="一般 18 2 11" xfId="647" xr:uid="{F0296310-02AD-458D-80D8-616455A36548}"/>
    <cellStyle name="一般 18 2 12" xfId="1223" xr:uid="{4E4F5DD3-0720-4336-969A-05D51D70AB8F}"/>
    <cellStyle name="一般 18 2 2" xfId="45" xr:uid="{F17F9DEA-E42C-44EB-AB4E-99318BFEA0E6}"/>
    <cellStyle name="一般 18 2 2 2" xfId="61" xr:uid="{A2FE9190-0A88-4F19-B4C3-2A9F49AA3E69}"/>
    <cellStyle name="一般 18 2 2 2 2" xfId="112" xr:uid="{4F59FE65-D77E-42CB-B300-3C90B7F54FE9}"/>
    <cellStyle name="一般 18 2 2 2 2 2" xfId="208" xr:uid="{6D570D56-87DF-4A68-B7FF-DD2C98EE7920}"/>
    <cellStyle name="一般 18 2 2 2 2 2 2" xfId="400" xr:uid="{63A73C34-945B-4E79-8729-D5B9955AF15D}"/>
    <cellStyle name="一般 18 2 2 2 2 2 2 2" xfId="987" xr:uid="{DF77F7B6-7A07-44BE-B0E2-3C9BE8FC630F}"/>
    <cellStyle name="一般 18 2 2 2 2 2 3" xfId="595" xr:uid="{DEAF029F-A22F-49EE-AC9A-00AB4A3DF0A7}"/>
    <cellStyle name="一般 18 2 2 2 2 2 3 2" xfId="1179" xr:uid="{C94956CD-D3CF-44A1-9771-42580549345A}"/>
    <cellStyle name="一般 18 2 2 2 2 2 4" xfId="795" xr:uid="{2FC01549-9250-48E9-97FE-44698F3DD8C0}"/>
    <cellStyle name="一般 18 2 2 2 2 3" xfId="304" xr:uid="{410FA705-3C24-49BA-9944-32AED54D78B8}"/>
    <cellStyle name="一般 18 2 2 2 2 3 2" xfId="891" xr:uid="{A3C184A0-59CB-4E75-A0F6-AE128AFA1B82}"/>
    <cellStyle name="一般 18 2 2 2 2 4" xfId="499" xr:uid="{61F0E834-48F0-4109-BD51-6FDCB00EC4EB}"/>
    <cellStyle name="一般 18 2 2 2 2 4 2" xfId="1083" xr:uid="{E776EB73-BA94-4110-BEB4-169F548FE731}"/>
    <cellStyle name="一般 18 2 2 2 2 5" xfId="699" xr:uid="{96380DD8-38E3-4A10-A665-43EA60866759}"/>
    <cellStyle name="一般 18 2 2 2 3" xfId="144" xr:uid="{CF342550-6476-4FD2-9A87-532E5552AAF5}"/>
    <cellStyle name="一般 18 2 2 2 3 2" xfId="240" xr:uid="{6854DD20-3A34-435B-8F67-04E264736BF6}"/>
    <cellStyle name="一般 18 2 2 2 3 2 2" xfId="432" xr:uid="{BEE4BA55-47DF-471C-97CF-6F5B483BA701}"/>
    <cellStyle name="一般 18 2 2 2 3 2 2 2" xfId="1019" xr:uid="{D5D0C08A-E71D-4B96-972D-6C8DB8FFC68D}"/>
    <cellStyle name="一般 18 2 2 2 3 2 3" xfId="627" xr:uid="{0093293F-44C3-43DD-9BCB-DD11A363198D}"/>
    <cellStyle name="一般 18 2 2 2 3 2 3 2" xfId="1211" xr:uid="{DC7591AF-D25D-404E-9C96-BCCA8EA8BA76}"/>
    <cellStyle name="一般 18 2 2 2 3 2 4" xfId="827" xr:uid="{E8E93D02-3DAA-464F-85C8-21AF3FF26774}"/>
    <cellStyle name="一般 18 2 2 2 3 3" xfId="336" xr:uid="{7580DA9A-C8D8-4EC1-9A22-57CF5DAFD18A}"/>
    <cellStyle name="一般 18 2 2 2 3 3 2" xfId="923" xr:uid="{FF15CEF6-8B16-4A3F-8A5B-1ABFF3239256}"/>
    <cellStyle name="一般 18 2 2 2 3 4" xfId="531" xr:uid="{3593C64E-8146-4760-8EBF-AEB4643ACCD8}"/>
    <cellStyle name="一般 18 2 2 2 3 4 2" xfId="1115" xr:uid="{A5760349-D018-438F-926D-A4C65413C734}"/>
    <cellStyle name="一般 18 2 2 2 3 5" xfId="731" xr:uid="{3698F33A-3DC3-4839-8BF6-99F9A84736E8}"/>
    <cellStyle name="一般 18 2 2 2 4" xfId="176" xr:uid="{3E95C062-2245-4ECE-BEDA-AF3EDFA547BA}"/>
    <cellStyle name="一般 18 2 2 2 4 2" xfId="368" xr:uid="{7304B928-96DD-4C7D-BAE8-41B02D06A9FF}"/>
    <cellStyle name="一般 18 2 2 2 4 2 2" xfId="955" xr:uid="{2AD51E62-8315-4D35-895E-BEF0A9460E40}"/>
    <cellStyle name="一般 18 2 2 2 4 3" xfId="563" xr:uid="{AC49727A-263B-4C7C-8470-67E3DE4D6A03}"/>
    <cellStyle name="一般 18 2 2 2 4 3 2" xfId="1147" xr:uid="{F21A0B2E-E5B2-4740-B150-043A10F05618}"/>
    <cellStyle name="一般 18 2 2 2 4 4" xfId="763" xr:uid="{E636C9CB-0A40-45DA-AA30-3B42FEC35933}"/>
    <cellStyle name="一般 18 2 2 2 5" xfId="272" xr:uid="{EB894CA1-ACED-4DB7-AC18-3E81B9AE76F5}"/>
    <cellStyle name="一般 18 2 2 2 5 2" xfId="859" xr:uid="{6186E24B-410C-493A-A7B8-9DB6EB70D5BE}"/>
    <cellStyle name="一般 18 2 2 2 6" xfId="467" xr:uid="{18392228-04B6-4E2A-BEA8-873885F83A0D}"/>
    <cellStyle name="一般 18 2 2 2 6 2" xfId="1051" xr:uid="{DA4FDF82-8AC6-4C3E-8A7B-35F56024E3CE}"/>
    <cellStyle name="一般 18 2 2 2 7" xfId="667" xr:uid="{01BAAE9D-0BF1-40A2-A672-13E3820767D5}"/>
    <cellStyle name="一般 18 2 2 2 8" xfId="1243" xr:uid="{09015249-E446-4DA2-A882-35A610D76A41}"/>
    <cellStyle name="一般 18 2 2 3" xfId="96" xr:uid="{753BB14E-305F-416C-BABB-237FF9951A0C}"/>
    <cellStyle name="一般 18 2 2 3 2" xfId="192" xr:uid="{52203BC1-A21E-4E43-BB77-8A0EB106360E}"/>
    <cellStyle name="一般 18 2 2 3 2 2" xfId="384" xr:uid="{D670600A-D755-40D2-8989-AD1D22F8BB88}"/>
    <cellStyle name="一般 18 2 2 3 2 2 2" xfId="971" xr:uid="{A24B2F8D-6343-4BFD-A0D9-67B7DD90554B}"/>
    <cellStyle name="一般 18 2 2 3 2 3" xfId="579" xr:uid="{EE5A2BE6-6C15-4230-A325-53ACF525596D}"/>
    <cellStyle name="一般 18 2 2 3 2 3 2" xfId="1163" xr:uid="{C80887B3-B00D-45CE-B42A-D3A7C543670D}"/>
    <cellStyle name="一般 18 2 2 3 2 4" xfId="779" xr:uid="{8847238D-13B5-48A7-BC3A-9334D73DF5BA}"/>
    <cellStyle name="一般 18 2 2 3 3" xfId="288" xr:uid="{7ABA9CD7-C2E6-42A4-8B9D-04C6B62E708A}"/>
    <cellStyle name="一般 18 2 2 3 3 2" xfId="875" xr:uid="{401FD823-F4E2-454C-A15F-3A845B9FDFDD}"/>
    <cellStyle name="一般 18 2 2 3 4" xfId="483" xr:uid="{0369A95C-7090-41B1-A1BF-8A021D526A78}"/>
    <cellStyle name="一般 18 2 2 3 4 2" xfId="1067" xr:uid="{BC571849-3A54-4C4D-BC20-039BE6D5FFC1}"/>
    <cellStyle name="一般 18 2 2 3 5" xfId="683" xr:uid="{B9B9C0C0-015C-4376-92CA-36D07C544D92}"/>
    <cellStyle name="一般 18 2 2 4" xfId="128" xr:uid="{7AB80993-9353-4DC6-BCFC-BFF7E2CFF54C}"/>
    <cellStyle name="一般 18 2 2 4 2" xfId="224" xr:uid="{9FB52971-83D5-42EE-81F5-6FE8FD44919A}"/>
    <cellStyle name="一般 18 2 2 4 2 2" xfId="416" xr:uid="{558ABB7E-7E61-4E45-8D6F-095BA946F608}"/>
    <cellStyle name="一般 18 2 2 4 2 2 2" xfId="1003" xr:uid="{136627FF-C355-44F0-BD6D-3247044FA66B}"/>
    <cellStyle name="一般 18 2 2 4 2 3" xfId="611" xr:uid="{0436DB5E-EF3F-4ABB-BEDC-FB189E6C1517}"/>
    <cellStyle name="一般 18 2 2 4 2 3 2" xfId="1195" xr:uid="{7D5FF61A-5E99-40D4-92D2-2E2DAA3CD370}"/>
    <cellStyle name="一般 18 2 2 4 2 4" xfId="811" xr:uid="{6B479813-4D54-4904-A0A9-DF84D07797AA}"/>
    <cellStyle name="一般 18 2 2 4 3" xfId="320" xr:uid="{AFE27E3F-E176-44D3-882A-BBA99E3E50D5}"/>
    <cellStyle name="一般 18 2 2 4 3 2" xfId="907" xr:uid="{BC76AE09-9441-4DDE-B4C4-6525C20E496F}"/>
    <cellStyle name="一般 18 2 2 4 4" xfId="515" xr:uid="{E6868357-A66E-4BB1-957D-16771407F25F}"/>
    <cellStyle name="一般 18 2 2 4 4 2" xfId="1099" xr:uid="{F718BF04-69CB-48E1-A695-99A415112AD7}"/>
    <cellStyle name="一般 18 2 2 4 5" xfId="715" xr:uid="{0D2E747A-47F6-4AC0-9108-48AD47643268}"/>
    <cellStyle name="一般 18 2 2 5" xfId="160" xr:uid="{0C6AD328-43D3-48D2-BAB8-6DEFC59CC20A}"/>
    <cellStyle name="一般 18 2 2 5 2" xfId="352" xr:uid="{EFC4D2C1-34CD-435E-AB1B-6185263D5629}"/>
    <cellStyle name="一般 18 2 2 5 2 2" xfId="939" xr:uid="{B232185B-8381-4208-B40A-C7D49D53320B}"/>
    <cellStyle name="一般 18 2 2 5 3" xfId="547" xr:uid="{78C932EB-F535-4979-9F77-FA8FE54F2586}"/>
    <cellStyle name="一般 18 2 2 5 3 2" xfId="1131" xr:uid="{4C1C9B3E-A6E0-495D-83F8-323BA7CCD2CE}"/>
    <cellStyle name="一般 18 2 2 5 4" xfId="747" xr:uid="{60B1B89B-3541-4DB5-B593-C5B567390C02}"/>
    <cellStyle name="一般 18 2 2 6" xfId="256" xr:uid="{5D707B1B-0E9D-4711-A6CC-B8C082BF08E0}"/>
    <cellStyle name="一般 18 2 2 6 2" xfId="843" xr:uid="{1336D530-16C7-4635-8606-91FC6DADBBF8}"/>
    <cellStyle name="一般 18 2 2 7" xfId="451" xr:uid="{6D037671-49F8-4115-B5F2-76A6AC5F3953}"/>
    <cellStyle name="一般 18 2 2 7 2" xfId="1035" xr:uid="{B35A7264-3F11-4336-BA14-766FD3E17E6C}"/>
    <cellStyle name="一般 18 2 2 8" xfId="651" xr:uid="{591A9510-7401-46E8-96E7-013A72A5A844}"/>
    <cellStyle name="一般 18 2 2 9" xfId="1227" xr:uid="{94C54791-A07F-43A1-82AF-FD78CA3126AE}"/>
    <cellStyle name="一般 18 2 3" xfId="49" xr:uid="{99F6DFCC-E713-4BDB-AD5E-36B27F4C5940}"/>
    <cellStyle name="一般 18 2 3 2" xfId="65" xr:uid="{1CE11A61-ACD9-444B-A9C1-0998B9CE8E39}"/>
    <cellStyle name="一般 18 2 3 2 2" xfId="116" xr:uid="{01DD2CB6-F619-4AAE-9D9D-893F33535CB9}"/>
    <cellStyle name="一般 18 2 3 2 2 2" xfId="212" xr:uid="{6258D363-B886-4024-9950-4FD9589CED70}"/>
    <cellStyle name="一般 18 2 3 2 2 2 2" xfId="404" xr:uid="{D6C0599C-4D15-4F59-87F9-2963EA718217}"/>
    <cellStyle name="一般 18 2 3 2 2 2 2 2" xfId="991" xr:uid="{DC6663CC-2134-4AA4-A357-679CF8E3DDAD}"/>
    <cellStyle name="一般 18 2 3 2 2 2 3" xfId="599" xr:uid="{1FF39B44-9EC5-4704-9D27-846F2A439D4B}"/>
    <cellStyle name="一般 18 2 3 2 2 2 3 2" xfId="1183" xr:uid="{0FBB38CB-09C9-46C8-A905-5080A416A2EC}"/>
    <cellStyle name="一般 18 2 3 2 2 2 4" xfId="799" xr:uid="{4F5A00D6-CA53-47D4-96AA-65A38AB77EC5}"/>
    <cellStyle name="一般 18 2 3 2 2 3" xfId="308" xr:uid="{A7979495-203B-4ED7-A9A0-D1D83F2703BC}"/>
    <cellStyle name="一般 18 2 3 2 2 3 2" xfId="895" xr:uid="{148B9530-16CC-4698-A68D-84D411140F02}"/>
    <cellStyle name="一般 18 2 3 2 2 4" xfId="503" xr:uid="{FE3E92B3-A6E9-4F22-8AD1-18BDDB2CBDCB}"/>
    <cellStyle name="一般 18 2 3 2 2 4 2" xfId="1087" xr:uid="{95E0F0E6-D009-4EEF-810F-87C517C7A658}"/>
    <cellStyle name="一般 18 2 3 2 2 5" xfId="703" xr:uid="{8EFBFB50-1313-4331-8813-2002A8FC06C4}"/>
    <cellStyle name="一般 18 2 3 2 3" xfId="148" xr:uid="{55921DAF-5EF8-4E38-8848-DC8FA9E2DE9F}"/>
    <cellStyle name="一般 18 2 3 2 3 2" xfId="244" xr:uid="{11D1239D-C559-406A-8DF6-5E160D5F849B}"/>
    <cellStyle name="一般 18 2 3 2 3 2 2" xfId="436" xr:uid="{8F570E01-74F2-47D5-9D68-4F98CCC9631D}"/>
    <cellStyle name="一般 18 2 3 2 3 2 2 2" xfId="1023" xr:uid="{69B36A33-C301-4632-8E93-9435B286C421}"/>
    <cellStyle name="一般 18 2 3 2 3 2 3" xfId="631" xr:uid="{A256863E-53EF-46C5-8B0E-C28C23C2763A}"/>
    <cellStyle name="一般 18 2 3 2 3 2 3 2" xfId="1215" xr:uid="{4EFF81CC-37F2-432E-B0B4-F69136BAE78E}"/>
    <cellStyle name="一般 18 2 3 2 3 2 4" xfId="831" xr:uid="{2525DFA9-1531-4193-847B-3979E31E8972}"/>
    <cellStyle name="一般 18 2 3 2 3 3" xfId="340" xr:uid="{0F62BE3B-3220-4F55-A601-0F37394DD947}"/>
    <cellStyle name="一般 18 2 3 2 3 3 2" xfId="927" xr:uid="{56543E9C-0316-40F0-B503-7CC3F3AA2121}"/>
    <cellStyle name="一般 18 2 3 2 3 4" xfId="535" xr:uid="{EBB15212-F3F9-41EB-9CC0-80358A729D50}"/>
    <cellStyle name="一般 18 2 3 2 3 4 2" xfId="1119" xr:uid="{679EF693-E932-405F-8D60-667DAC24CFE9}"/>
    <cellStyle name="一般 18 2 3 2 3 5" xfId="735" xr:uid="{84C11806-6EA1-4A20-87CA-CEE5A0AFF4E9}"/>
    <cellStyle name="一般 18 2 3 2 4" xfId="180" xr:uid="{C4F3F277-8F63-49C3-89A7-73B44C44CE15}"/>
    <cellStyle name="一般 18 2 3 2 4 2" xfId="372" xr:uid="{B679947E-7386-4521-ACF9-69D595B4D6B7}"/>
    <cellStyle name="一般 18 2 3 2 4 2 2" xfId="959" xr:uid="{522523FF-4159-47A9-B9CD-8E00ADE109B3}"/>
    <cellStyle name="一般 18 2 3 2 4 3" xfId="567" xr:uid="{5B808A03-7704-42C9-9167-74E7E101A34E}"/>
    <cellStyle name="一般 18 2 3 2 4 3 2" xfId="1151" xr:uid="{133DFA39-7551-40EB-87E3-E49405B117A6}"/>
    <cellStyle name="一般 18 2 3 2 4 4" xfId="767" xr:uid="{990AF06B-A67F-4ECE-94B2-0899A2BB3147}"/>
    <cellStyle name="一般 18 2 3 2 5" xfId="276" xr:uid="{88C5D608-2996-482A-8AAD-FA2564BA32F4}"/>
    <cellStyle name="一般 18 2 3 2 5 2" xfId="863" xr:uid="{B90D91A1-D27D-417E-BF33-737DDD4959CC}"/>
    <cellStyle name="一般 18 2 3 2 6" xfId="471" xr:uid="{9236B0E0-27CF-40C9-A8E7-C86C43EB1866}"/>
    <cellStyle name="一般 18 2 3 2 6 2" xfId="1055" xr:uid="{193EFBE6-3D89-41CF-9E09-9D753A3EC431}"/>
    <cellStyle name="一般 18 2 3 2 7" xfId="671" xr:uid="{5D168C4D-C58C-47DC-96B5-FACFE89DAC34}"/>
    <cellStyle name="一般 18 2 3 2 8" xfId="1247" xr:uid="{037F912B-9194-4B02-88F0-75EC60B6379D}"/>
    <cellStyle name="一般 18 2 3 3" xfId="100" xr:uid="{653C0AD6-EAA8-45ED-A848-7F467F9913E1}"/>
    <cellStyle name="一般 18 2 3 3 2" xfId="196" xr:uid="{D2FE6DF0-5046-43F4-BF63-C4241DFFC510}"/>
    <cellStyle name="一般 18 2 3 3 2 2" xfId="388" xr:uid="{79292887-7C5F-4E90-8E7A-9F23C2DCD662}"/>
    <cellStyle name="一般 18 2 3 3 2 2 2" xfId="975" xr:uid="{9103C211-1E3F-4D91-BA5E-D081CB22B52B}"/>
    <cellStyle name="一般 18 2 3 3 2 3" xfId="583" xr:uid="{32899948-BFD1-41D5-9075-3A1196385DDB}"/>
    <cellStyle name="一般 18 2 3 3 2 3 2" xfId="1167" xr:uid="{AD416411-33DA-4C0E-AB5C-3B548A36B1E9}"/>
    <cellStyle name="一般 18 2 3 3 2 4" xfId="783" xr:uid="{15F28914-68EF-4304-A4B5-09C3EFABBE2F}"/>
    <cellStyle name="一般 18 2 3 3 3" xfId="292" xr:uid="{0D2EE72A-0626-4763-8DC3-8BC37C650730}"/>
    <cellStyle name="一般 18 2 3 3 3 2" xfId="879" xr:uid="{50089BDD-04A7-422C-B933-415B0B61D69A}"/>
    <cellStyle name="一般 18 2 3 3 4" xfId="487" xr:uid="{ED34A5BB-C208-44C9-B668-971B46E4BFC2}"/>
    <cellStyle name="一般 18 2 3 3 4 2" xfId="1071" xr:uid="{FCE3DB55-5D43-4193-A5FC-27B4756DDEC2}"/>
    <cellStyle name="一般 18 2 3 3 5" xfId="687" xr:uid="{CC1D17F4-C679-47DB-8F66-044CE5FAE85A}"/>
    <cellStyle name="一般 18 2 3 4" xfId="132" xr:uid="{A71CD6D5-D0D1-4BC3-A325-E5E71E569EED}"/>
    <cellStyle name="一般 18 2 3 4 2" xfId="228" xr:uid="{166776AF-9D40-4B06-9F2E-11102CCEED6E}"/>
    <cellStyle name="一般 18 2 3 4 2 2" xfId="420" xr:uid="{4B4463D4-9731-4783-BBBC-483E7BE3E363}"/>
    <cellStyle name="一般 18 2 3 4 2 2 2" xfId="1007" xr:uid="{4FDBC0E4-B356-4F8B-A518-7AEB7F9AA879}"/>
    <cellStyle name="一般 18 2 3 4 2 3" xfId="615" xr:uid="{9C2C58A9-07F9-4217-ACE4-6C766B450614}"/>
    <cellStyle name="一般 18 2 3 4 2 3 2" xfId="1199" xr:uid="{D2D6BAEC-BDE5-4D75-8DFF-585C7C068599}"/>
    <cellStyle name="一般 18 2 3 4 2 4" xfId="815" xr:uid="{2B6B6936-84CD-4C4B-A3E7-CD3B8F9051B5}"/>
    <cellStyle name="一般 18 2 3 4 3" xfId="324" xr:uid="{A66843A3-E27A-4F95-9F92-FC83E608584E}"/>
    <cellStyle name="一般 18 2 3 4 3 2" xfId="911" xr:uid="{3E94B5E3-34A5-4DBB-BA0E-37D0C2FE8061}"/>
    <cellStyle name="一般 18 2 3 4 4" xfId="519" xr:uid="{2C47925F-25B1-4D58-AF60-46FB8A000A50}"/>
    <cellStyle name="一般 18 2 3 4 4 2" xfId="1103" xr:uid="{45021FB0-FA93-4BA7-8B58-7385200137AE}"/>
    <cellStyle name="一般 18 2 3 4 5" xfId="719" xr:uid="{AF914E1E-5CA0-4957-AD01-315CC6090FDD}"/>
    <cellStyle name="一般 18 2 3 5" xfId="164" xr:uid="{E3BB73DE-B677-4754-B450-2ED2E5B995E7}"/>
    <cellStyle name="一般 18 2 3 5 2" xfId="356" xr:uid="{773DAE18-17A4-4228-8C78-CD26891955A2}"/>
    <cellStyle name="一般 18 2 3 5 2 2" xfId="943" xr:uid="{7F8C3FC0-788F-4B30-8E07-EE54E4F63436}"/>
    <cellStyle name="一般 18 2 3 5 3" xfId="551" xr:uid="{C3A5D8D8-E4DF-4963-A8C4-E0C307ED4CCA}"/>
    <cellStyle name="一般 18 2 3 5 3 2" xfId="1135" xr:uid="{829F9F06-6144-4FB0-8C69-581C649C4E2A}"/>
    <cellStyle name="一般 18 2 3 5 4" xfId="751" xr:uid="{0D6B057C-E244-447E-8F17-2C70A673D4D5}"/>
    <cellStyle name="一般 18 2 3 6" xfId="260" xr:uid="{884994E1-79CE-48DD-814A-F1A1B95B7334}"/>
    <cellStyle name="一般 18 2 3 6 2" xfId="847" xr:uid="{92C0D989-5DD5-4B3A-ACEB-ABFCC1A7EBB8}"/>
    <cellStyle name="一般 18 2 3 7" xfId="455" xr:uid="{949D78F9-6442-4693-A169-858387136C86}"/>
    <cellStyle name="一般 18 2 3 7 2" xfId="1039" xr:uid="{45F4D9C5-A507-4924-A703-86CA114E546F}"/>
    <cellStyle name="一般 18 2 3 8" xfId="655" xr:uid="{AEBC39CB-A320-4E4F-9F31-70FAB5BC6CA8}"/>
    <cellStyle name="一般 18 2 3 9" xfId="1231" xr:uid="{90EB7898-A3EC-4B83-89A6-8A3EF7E2DBB1}"/>
    <cellStyle name="一般 18 2 4" xfId="53" xr:uid="{CA2394A5-8E47-49C5-BD2E-3CA0A8775795}"/>
    <cellStyle name="一般 18 2 4 2" xfId="69" xr:uid="{3DE2C8CE-9DBA-4DAF-8B85-095FCFAE353A}"/>
    <cellStyle name="一般 18 2 4 2 2" xfId="120" xr:uid="{72B29A25-7B37-4FB5-A6FB-8D11A16C9B14}"/>
    <cellStyle name="一般 18 2 4 2 2 2" xfId="216" xr:uid="{52B18683-6E6B-4BB0-ABCF-7164C4A7CB05}"/>
    <cellStyle name="一般 18 2 4 2 2 2 2" xfId="408" xr:uid="{8B59D5B8-E9EB-4B22-BD35-A3757D88EC07}"/>
    <cellStyle name="一般 18 2 4 2 2 2 2 2" xfId="995" xr:uid="{AB2DA058-C395-4328-8F68-BC8E2ABE264A}"/>
    <cellStyle name="一般 18 2 4 2 2 2 3" xfId="603" xr:uid="{FE3FE821-9C5A-4A9F-A320-371A12714519}"/>
    <cellStyle name="一般 18 2 4 2 2 2 3 2" xfId="1187" xr:uid="{97872E1C-39B6-45F1-A92F-5DA9E6053BDA}"/>
    <cellStyle name="一般 18 2 4 2 2 2 4" xfId="803" xr:uid="{3501DE8B-2FCC-4E6B-AA08-DF7660A7810D}"/>
    <cellStyle name="一般 18 2 4 2 2 3" xfId="312" xr:uid="{D5E2E2E3-81B0-416D-A56B-28DDA00258F6}"/>
    <cellStyle name="一般 18 2 4 2 2 3 2" xfId="899" xr:uid="{2542573B-3F95-41F2-945C-A63EAB7CB250}"/>
    <cellStyle name="一般 18 2 4 2 2 4" xfId="507" xr:uid="{3F4CE444-0ED5-4D9B-AAE7-E85D3CD68694}"/>
    <cellStyle name="一般 18 2 4 2 2 4 2" xfId="1091" xr:uid="{9414F7E9-D839-4834-8AA7-D7F137E1EA80}"/>
    <cellStyle name="一般 18 2 4 2 2 5" xfId="707" xr:uid="{77D41D1E-042A-41CC-A8CA-B545CD4D3428}"/>
    <cellStyle name="一般 18 2 4 2 3" xfId="152" xr:uid="{DF04BA79-4082-4814-A736-6ECD83E2AA8D}"/>
    <cellStyle name="一般 18 2 4 2 3 2" xfId="248" xr:uid="{C80216EB-06D8-46DB-B915-FF44A964EE48}"/>
    <cellStyle name="一般 18 2 4 2 3 2 2" xfId="440" xr:uid="{A1021859-978C-4F01-AC99-A0ACFA87E683}"/>
    <cellStyle name="一般 18 2 4 2 3 2 2 2" xfId="1027" xr:uid="{6E3470D0-4411-4A58-B29E-D86807B0CADA}"/>
    <cellStyle name="一般 18 2 4 2 3 2 3" xfId="635" xr:uid="{E5BB150B-54F3-4DED-8DCE-4F92AB3B490F}"/>
    <cellStyle name="一般 18 2 4 2 3 2 3 2" xfId="1219" xr:uid="{689049F6-EEB1-407A-9CF6-674D3F82C909}"/>
    <cellStyle name="一般 18 2 4 2 3 2 4" xfId="835" xr:uid="{C449D2B6-36D1-46F1-91BE-A8242495F75B}"/>
    <cellStyle name="一般 18 2 4 2 3 3" xfId="344" xr:uid="{EBDB555F-C9F8-49C6-8E55-1D8365313775}"/>
    <cellStyle name="一般 18 2 4 2 3 3 2" xfId="931" xr:uid="{0FA66071-E94F-4593-85DB-E76493F27EC0}"/>
    <cellStyle name="一般 18 2 4 2 3 4" xfId="539" xr:uid="{BD6D4233-B42E-4FF4-8429-F05D212EEA2E}"/>
    <cellStyle name="一般 18 2 4 2 3 4 2" xfId="1123" xr:uid="{42A4BD2D-0D8D-4598-9053-0964BE5D70C2}"/>
    <cellStyle name="一般 18 2 4 2 3 5" xfId="739" xr:uid="{AA73722A-1A78-40AF-8B40-2985E76CFDE2}"/>
    <cellStyle name="一般 18 2 4 2 4" xfId="184" xr:uid="{5FD70B0B-A37A-4092-BF4C-E1B29CB6633C}"/>
    <cellStyle name="一般 18 2 4 2 4 2" xfId="376" xr:uid="{61677F4E-4FDB-47CC-98C8-E7A7ADB678C0}"/>
    <cellStyle name="一般 18 2 4 2 4 2 2" xfId="963" xr:uid="{37A2063B-0CC8-443A-89D2-D95C01DE4A56}"/>
    <cellStyle name="一般 18 2 4 2 4 3" xfId="571" xr:uid="{EA80AD13-0743-4579-BF8F-FCAEE79C995B}"/>
    <cellStyle name="一般 18 2 4 2 4 3 2" xfId="1155" xr:uid="{BEF40156-0F7C-4940-9EEC-8AFE8912DA4F}"/>
    <cellStyle name="一般 18 2 4 2 4 4" xfId="771" xr:uid="{2DBBDA12-58DA-4E19-B8B6-1D72588EF664}"/>
    <cellStyle name="一般 18 2 4 2 5" xfId="280" xr:uid="{055818BD-9A85-425E-A9BF-1EE5558753F4}"/>
    <cellStyle name="一般 18 2 4 2 5 2" xfId="867" xr:uid="{8EB0017D-E70D-4C0B-BD18-6EA9AC1722AD}"/>
    <cellStyle name="一般 18 2 4 2 6" xfId="475" xr:uid="{01346A1D-8276-4DF1-A080-596AAFD39044}"/>
    <cellStyle name="一般 18 2 4 2 6 2" xfId="1059" xr:uid="{7DA71383-6C45-40A4-9998-F706756D32BB}"/>
    <cellStyle name="一般 18 2 4 2 7" xfId="675" xr:uid="{ADBE5ED5-1E4C-4EB7-B920-9D43FBCCFB4B}"/>
    <cellStyle name="一般 18 2 4 2 8" xfId="1251" xr:uid="{C8D70AAD-CFFE-4A96-9CCB-8E39B8D00F0C}"/>
    <cellStyle name="一般 18 2 4 3" xfId="104" xr:uid="{968F6FDD-42FA-44C2-97DF-A07C4A402548}"/>
    <cellStyle name="一般 18 2 4 3 2" xfId="200" xr:uid="{68DDD889-246C-425C-897C-314A7A8B5611}"/>
    <cellStyle name="一般 18 2 4 3 2 2" xfId="392" xr:uid="{B8C5EACF-9DE1-4AA5-865D-62E513079F7B}"/>
    <cellStyle name="一般 18 2 4 3 2 2 2" xfId="979" xr:uid="{5C67AD93-2393-41BF-A80C-5F233F691BD5}"/>
    <cellStyle name="一般 18 2 4 3 2 3" xfId="587" xr:uid="{3C101050-0605-49A1-8B05-E0F76E1D2424}"/>
    <cellStyle name="一般 18 2 4 3 2 3 2" xfId="1171" xr:uid="{3D6FF238-72D3-4FE6-912B-BE14537CB379}"/>
    <cellStyle name="一般 18 2 4 3 2 4" xfId="787" xr:uid="{D613823B-FB46-44E5-844D-069392F645C9}"/>
    <cellStyle name="一般 18 2 4 3 3" xfId="296" xr:uid="{7405AA33-2198-4260-B062-D5D4FFEF7E84}"/>
    <cellStyle name="一般 18 2 4 3 3 2" xfId="883" xr:uid="{C33E0979-48E1-47C0-90EF-589483258890}"/>
    <cellStyle name="一般 18 2 4 3 4" xfId="491" xr:uid="{AE81649B-72A1-4C72-9361-9B0AA1FDEB9D}"/>
    <cellStyle name="一般 18 2 4 3 4 2" xfId="1075" xr:uid="{DBF50F92-6DA9-4385-84A6-F0069CA47C6D}"/>
    <cellStyle name="一般 18 2 4 3 5" xfId="691" xr:uid="{147145CD-3A4C-4B26-A6C1-54C62F30DD9B}"/>
    <cellStyle name="一般 18 2 4 4" xfId="136" xr:uid="{0C9A02F3-C450-4C61-A5F0-59238CF59F9C}"/>
    <cellStyle name="一般 18 2 4 4 2" xfId="232" xr:uid="{A12D58CC-08C2-42F8-9669-7622D031CD1E}"/>
    <cellStyle name="一般 18 2 4 4 2 2" xfId="424" xr:uid="{1987EF7E-A390-47BF-8412-8F43101E7AC9}"/>
    <cellStyle name="一般 18 2 4 4 2 2 2" xfId="1011" xr:uid="{C5A4E757-C870-4CA2-8B39-D456B0909FF6}"/>
    <cellStyle name="一般 18 2 4 4 2 3" xfId="619" xr:uid="{E0BE643D-B633-46DF-9EB5-D09F644ECB58}"/>
    <cellStyle name="一般 18 2 4 4 2 3 2" xfId="1203" xr:uid="{2FF8AD0E-CA7B-41BA-8100-FC2C6DAB67BA}"/>
    <cellStyle name="一般 18 2 4 4 2 4" xfId="819" xr:uid="{98D8F331-E785-4CD5-993F-AAA0B2756806}"/>
    <cellStyle name="一般 18 2 4 4 3" xfId="328" xr:uid="{6E9AAAB4-C485-4308-B7C8-5609F7643A8C}"/>
    <cellStyle name="一般 18 2 4 4 3 2" xfId="915" xr:uid="{C5F77787-66DF-4DA7-95E9-9BD5C8447D66}"/>
    <cellStyle name="一般 18 2 4 4 4" xfId="523" xr:uid="{E56DD04B-87F6-4C3E-9872-8FAE8B42A0ED}"/>
    <cellStyle name="一般 18 2 4 4 4 2" xfId="1107" xr:uid="{52CAD5B9-D977-4070-943E-3EABB78F4253}"/>
    <cellStyle name="一般 18 2 4 4 5" xfId="723" xr:uid="{F5D2A61A-FEFB-4E8E-B28F-AB4347200A01}"/>
    <cellStyle name="一般 18 2 4 5" xfId="168" xr:uid="{794A0F95-EF26-4FC0-BED6-B4E9EDFD6070}"/>
    <cellStyle name="一般 18 2 4 5 2" xfId="360" xr:uid="{DE74BCB3-B3AF-4B8D-B9B8-B979493D877B}"/>
    <cellStyle name="一般 18 2 4 5 2 2" xfId="947" xr:uid="{0F37966F-208B-4B9B-B2C5-67218BE36CF0}"/>
    <cellStyle name="一般 18 2 4 5 3" xfId="555" xr:uid="{99CC3DC4-A589-4AA2-BDC8-64ED2BF887EE}"/>
    <cellStyle name="一般 18 2 4 5 3 2" xfId="1139" xr:uid="{1F56E7DE-2F17-4D62-8D40-87DD95FC647E}"/>
    <cellStyle name="一般 18 2 4 5 4" xfId="755" xr:uid="{C39E8F74-58B8-49E4-837D-65BE3E9BC656}"/>
    <cellStyle name="一般 18 2 4 6" xfId="264" xr:uid="{5213EB70-7A21-4753-B806-7908C4A7D1E8}"/>
    <cellStyle name="一般 18 2 4 6 2" xfId="851" xr:uid="{BA16FE78-6E41-4495-92B8-E38604244529}"/>
    <cellStyle name="一般 18 2 4 7" xfId="459" xr:uid="{39CFCA74-036F-4862-A866-171F3D49CDDF}"/>
    <cellStyle name="一般 18 2 4 7 2" xfId="1043" xr:uid="{822D1859-4DCE-494D-BF82-660DC2AA0689}"/>
    <cellStyle name="一般 18 2 4 8" xfId="659" xr:uid="{F37F1C76-2510-405A-9969-12F23E008A73}"/>
    <cellStyle name="一般 18 2 4 9" xfId="1235" xr:uid="{16750F04-51C5-45A1-B81D-B5E05E8376CC}"/>
    <cellStyle name="一般 18 2 5" xfId="57" xr:uid="{62E56720-DC0C-425F-996C-17FCEF28AB15}"/>
    <cellStyle name="一般 18 2 5 2" xfId="108" xr:uid="{CC8AD04E-7C4D-4AEE-A441-9F3287BCFC04}"/>
    <cellStyle name="一般 18 2 5 2 2" xfId="204" xr:uid="{4962E5D6-7413-4DA6-B3B0-CD1CA73BDE85}"/>
    <cellStyle name="一般 18 2 5 2 2 2" xfId="396" xr:uid="{7A4C61E8-AC7A-42F2-9587-DBB5C3CB4D72}"/>
    <cellStyle name="一般 18 2 5 2 2 2 2" xfId="983" xr:uid="{1D1A0132-A886-462E-A0B4-76AB445812CF}"/>
    <cellStyle name="一般 18 2 5 2 2 3" xfId="591" xr:uid="{5D3E474B-CE1F-4A9D-9F12-CCA07AC12C1D}"/>
    <cellStyle name="一般 18 2 5 2 2 3 2" xfId="1175" xr:uid="{92378FA0-C5FD-45B2-8773-E824C516E5B7}"/>
    <cellStyle name="一般 18 2 5 2 2 4" xfId="791" xr:uid="{DF094F37-96C7-4E2A-A95D-B4FE5F9C4716}"/>
    <cellStyle name="一般 18 2 5 2 3" xfId="300" xr:uid="{B90E26ED-033E-4E48-B643-9E78B4D07E38}"/>
    <cellStyle name="一般 18 2 5 2 3 2" xfId="887" xr:uid="{48EB3700-1970-4D27-A787-8F3FAC4D1F83}"/>
    <cellStyle name="一般 18 2 5 2 4" xfId="495" xr:uid="{8EDA53AF-9A79-48A4-94D6-B3B7A37D87BC}"/>
    <cellStyle name="一般 18 2 5 2 4 2" xfId="1079" xr:uid="{8F49CCF6-C53C-4500-81AF-693270EED771}"/>
    <cellStyle name="一般 18 2 5 2 5" xfId="695" xr:uid="{C80E168A-45B3-4541-AF2C-EA8CD70CA318}"/>
    <cellStyle name="一般 18 2 5 3" xfId="140" xr:uid="{B1365C5E-AF0C-4085-8CDC-DA2AEE380738}"/>
    <cellStyle name="一般 18 2 5 3 2" xfId="236" xr:uid="{30CEB951-2B17-486F-BA0E-5F14B911323D}"/>
    <cellStyle name="一般 18 2 5 3 2 2" xfId="428" xr:uid="{A379B346-7E15-4A54-82E0-141874CC1989}"/>
    <cellStyle name="一般 18 2 5 3 2 2 2" xfId="1015" xr:uid="{BEC4F443-EB5A-4062-89DB-461FC0C5BD49}"/>
    <cellStyle name="一般 18 2 5 3 2 3" xfId="623" xr:uid="{AAC46AEE-3673-46AF-BBAC-240E1B7E26C6}"/>
    <cellStyle name="一般 18 2 5 3 2 3 2" xfId="1207" xr:uid="{ECDA1BC6-AD0F-4591-9708-5FEA69A936A1}"/>
    <cellStyle name="一般 18 2 5 3 2 4" xfId="823" xr:uid="{DA9BF90F-0557-4A6E-88E5-E239C8FE18D5}"/>
    <cellStyle name="一般 18 2 5 3 3" xfId="332" xr:uid="{6010C781-DF1C-4574-B931-77487CA3062D}"/>
    <cellStyle name="一般 18 2 5 3 3 2" xfId="919" xr:uid="{80D5D1B3-9E7B-4E87-AA3E-C8B351F892E0}"/>
    <cellStyle name="一般 18 2 5 3 4" xfId="527" xr:uid="{0F6D8117-A679-4F95-8E61-3EC8A8AAF277}"/>
    <cellStyle name="一般 18 2 5 3 4 2" xfId="1111" xr:uid="{72F4CDE6-1736-4354-A673-53BE84B4E102}"/>
    <cellStyle name="一般 18 2 5 3 5" xfId="727" xr:uid="{0AFCA3BE-9866-4F8E-B459-257432CC20AA}"/>
    <cellStyle name="一般 18 2 5 4" xfId="172" xr:uid="{C6565594-F6A6-44F5-8553-15D3CDD9382E}"/>
    <cellStyle name="一般 18 2 5 4 2" xfId="364" xr:uid="{2EBC5D91-4D00-4376-BF77-6E14191114AB}"/>
    <cellStyle name="一般 18 2 5 4 2 2" xfId="951" xr:uid="{52A9B12C-E995-4BE8-9FCE-A19D282EA4CF}"/>
    <cellStyle name="一般 18 2 5 4 3" xfId="559" xr:uid="{238EB3E9-159F-4BD4-94D8-4FCB2F82D6E8}"/>
    <cellStyle name="一般 18 2 5 4 3 2" xfId="1143" xr:uid="{44E72495-487A-4111-8341-AE1714D4E098}"/>
    <cellStyle name="一般 18 2 5 4 4" xfId="759" xr:uid="{898CD582-08E2-4339-9B6C-29E9DDC31925}"/>
    <cellStyle name="一般 18 2 5 5" xfId="268" xr:uid="{A2178355-C475-4A47-8CF1-E23BB6A29583}"/>
    <cellStyle name="一般 18 2 5 5 2" xfId="855" xr:uid="{37F65A63-3F0F-429E-BEBF-F9C79EFE9250}"/>
    <cellStyle name="一般 18 2 5 6" xfId="463" xr:uid="{8EBE92AD-A027-47C6-9C3D-B32E22EEC283}"/>
    <cellStyle name="一般 18 2 5 6 2" xfId="1047" xr:uid="{B1B09D28-63B1-447F-9E5A-97BFCBEEE709}"/>
    <cellStyle name="一般 18 2 5 7" xfId="663" xr:uid="{D4873887-DDEB-4630-912A-EB21C15400CF}"/>
    <cellStyle name="一般 18 2 5 8" xfId="1239" xr:uid="{305BB743-2936-454F-B5F2-B7813DCB9852}"/>
    <cellStyle name="一般 18 2 6" xfId="92" xr:uid="{036EAE0E-B1AB-4E42-88F7-6903B0F77CE2}"/>
    <cellStyle name="一般 18 2 6 2" xfId="188" xr:uid="{5C8A1C32-9442-4D16-A514-0DD4ACBD5497}"/>
    <cellStyle name="一般 18 2 6 2 2" xfId="380" xr:uid="{B8072704-9D63-4195-9BA1-FDBF972A09B7}"/>
    <cellStyle name="一般 18 2 6 2 2 2" xfId="967" xr:uid="{5347EE11-AB94-44BF-B8B1-3C28DC9EDF1E}"/>
    <cellStyle name="一般 18 2 6 2 3" xfId="575" xr:uid="{52623B3F-BF25-4E3C-9F30-C288CCBDFF3F}"/>
    <cellStyle name="一般 18 2 6 2 3 2" xfId="1159" xr:uid="{D05721A0-C657-4D7C-A842-06D92D854500}"/>
    <cellStyle name="一般 18 2 6 2 4" xfId="775" xr:uid="{6F01BE12-74F5-4D12-AD10-693893298426}"/>
    <cellStyle name="一般 18 2 6 3" xfId="284" xr:uid="{7D9C8214-172C-4A92-83A8-E740F2C619B6}"/>
    <cellStyle name="一般 18 2 6 3 2" xfId="871" xr:uid="{B070B7F7-A459-4660-AB2A-6E7686B610ED}"/>
    <cellStyle name="一般 18 2 6 4" xfId="479" xr:uid="{E352CA5F-799A-4B65-B487-4A06EB4CDC5C}"/>
    <cellStyle name="一般 18 2 6 4 2" xfId="1063" xr:uid="{A3EF166E-6F5A-4124-AD3C-0B4AF45DD71A}"/>
    <cellStyle name="一般 18 2 6 5" xfId="679" xr:uid="{51D84B2F-59C1-456F-91AA-1960FE2F12E0}"/>
    <cellStyle name="一般 18 2 7" xfId="124" xr:uid="{39EFC526-49A0-4E65-BE91-180ECA2B1933}"/>
    <cellStyle name="一般 18 2 7 2" xfId="220" xr:uid="{D6609FF6-B994-49A9-8028-1C833DD857E9}"/>
    <cellStyle name="一般 18 2 7 2 2" xfId="412" xr:uid="{1438ABFD-1106-475B-A78A-6E894637B8D2}"/>
    <cellStyle name="一般 18 2 7 2 2 2" xfId="999" xr:uid="{1F1421AD-F45F-4DEE-9652-9CBCD2443FD7}"/>
    <cellStyle name="一般 18 2 7 2 3" xfId="607" xr:uid="{CEA7FF01-65C4-4FFE-BBB1-B2CFCD0D21B5}"/>
    <cellStyle name="一般 18 2 7 2 3 2" xfId="1191" xr:uid="{DA8CBBA1-D775-48DE-9B55-D5D5E1C275F7}"/>
    <cellStyle name="一般 18 2 7 2 4" xfId="807" xr:uid="{B68C135C-D8C1-4FBD-B414-22EED8FE4773}"/>
    <cellStyle name="一般 18 2 7 3" xfId="316" xr:uid="{12897936-5057-4686-8EEF-859864323075}"/>
    <cellStyle name="一般 18 2 7 3 2" xfId="903" xr:uid="{AAE30FCC-3365-45FB-836C-B537FBEA3260}"/>
    <cellStyle name="一般 18 2 7 4" xfId="511" xr:uid="{2F2883E2-67F5-4F37-861B-0FA63CA04494}"/>
    <cellStyle name="一般 18 2 7 4 2" xfId="1095" xr:uid="{F05FDD19-689E-4ABB-91E0-CD45443649C8}"/>
    <cellStyle name="一般 18 2 7 5" xfId="711" xr:uid="{A52309F0-DE72-4921-A724-9A1B17BA852A}"/>
    <cellStyle name="一般 18 2 8" xfId="156" xr:uid="{DE8A3B87-2C2D-45B7-B1A6-02E32D207545}"/>
    <cellStyle name="一般 18 2 8 2" xfId="348" xr:uid="{00685AF2-DAB4-4EDF-8F58-035A41162098}"/>
    <cellStyle name="一般 18 2 8 2 2" xfId="935" xr:uid="{A54B093E-B14C-49BC-B984-F6A9C3B63F0D}"/>
    <cellStyle name="一般 18 2 8 3" xfId="543" xr:uid="{36B76DE5-B553-445B-825E-952941465070}"/>
    <cellStyle name="一般 18 2 8 3 2" xfId="1127" xr:uid="{AFA43D23-E925-4E58-8449-EC0615AC61A4}"/>
    <cellStyle name="一般 18 2 8 4" xfId="743" xr:uid="{7207BBC9-9C49-4CE4-890F-DA7805675DFD}"/>
    <cellStyle name="一般 18 2 9" xfId="252" xr:uid="{E4ED63EB-B220-4178-9234-0F4C3D46DC2B}"/>
    <cellStyle name="一般 18 2 9 2" xfId="839" xr:uid="{B5F88DA9-B167-47F1-9EC9-D43D9ACE2237}"/>
    <cellStyle name="一般 18 3" xfId="43" xr:uid="{8115004E-E685-4101-A7F0-63FF2EAADBB3}"/>
    <cellStyle name="一般 18 3 2" xfId="59" xr:uid="{67690AC0-0CCA-4BD4-82EB-9FB8A66ED4D0}"/>
    <cellStyle name="一般 18 3 2 2" xfId="110" xr:uid="{736DA528-C260-4037-95E8-F0CAAC3BD8BC}"/>
    <cellStyle name="一般 18 3 2 2 2" xfId="206" xr:uid="{48CDA95E-3D47-4DA1-B690-52AF5774E898}"/>
    <cellStyle name="一般 18 3 2 2 2 2" xfId="398" xr:uid="{1C55D470-1265-4839-B6B9-8579C5FF4423}"/>
    <cellStyle name="一般 18 3 2 2 2 2 2" xfId="985" xr:uid="{5941449E-7A92-4E40-A6B3-B1D693A1521A}"/>
    <cellStyle name="一般 18 3 2 2 2 3" xfId="593" xr:uid="{CDAA01F9-9E4E-4551-A275-C05E4194E630}"/>
    <cellStyle name="一般 18 3 2 2 2 3 2" xfId="1177" xr:uid="{35626E62-157F-46CE-B064-EAD173F31BD1}"/>
    <cellStyle name="一般 18 3 2 2 2 4" xfId="793" xr:uid="{C47FC1B7-DB7E-4D2A-8582-ADDC6027855F}"/>
    <cellStyle name="一般 18 3 2 2 3" xfId="302" xr:uid="{C3BC6F48-0342-4E4A-A4C9-A170F3D71476}"/>
    <cellStyle name="一般 18 3 2 2 3 2" xfId="889" xr:uid="{0466E788-AA36-40A8-B944-962F1F360E64}"/>
    <cellStyle name="一般 18 3 2 2 4" xfId="497" xr:uid="{030FECF2-3E9D-4ADF-9F34-03AA28A5F840}"/>
    <cellStyle name="一般 18 3 2 2 4 2" xfId="1081" xr:uid="{E2F93992-E163-43D4-8C27-63BFF01B86E1}"/>
    <cellStyle name="一般 18 3 2 2 5" xfId="697" xr:uid="{60C1FDF8-3392-45AF-A52B-E72F7E0AC83F}"/>
    <cellStyle name="一般 18 3 2 3" xfId="142" xr:uid="{9978EB08-3354-49F7-B25B-7EF9F1AFAEFF}"/>
    <cellStyle name="一般 18 3 2 3 2" xfId="238" xr:uid="{5DA6135C-E278-4112-848D-82B6B9408DD4}"/>
    <cellStyle name="一般 18 3 2 3 2 2" xfId="430" xr:uid="{D582F5AF-99F2-4C42-A53D-D9EDF4087E75}"/>
    <cellStyle name="一般 18 3 2 3 2 2 2" xfId="1017" xr:uid="{9365D1D9-645D-4147-BF40-B860D283D787}"/>
    <cellStyle name="一般 18 3 2 3 2 3" xfId="625" xr:uid="{A955B235-8E6F-4779-9177-EA06ECD11E80}"/>
    <cellStyle name="一般 18 3 2 3 2 3 2" xfId="1209" xr:uid="{B135FEFA-3B80-4045-8158-8CB0EE761D67}"/>
    <cellStyle name="一般 18 3 2 3 2 4" xfId="825" xr:uid="{21EC8960-F7D9-44A4-A77E-9D9046F43522}"/>
    <cellStyle name="一般 18 3 2 3 3" xfId="334" xr:uid="{6EB50E12-0F0D-4AE2-8A8B-237B3097585D}"/>
    <cellStyle name="一般 18 3 2 3 3 2" xfId="921" xr:uid="{AD70EDC4-0B89-4B91-A3AE-C0824FDC55C4}"/>
    <cellStyle name="一般 18 3 2 3 4" xfId="529" xr:uid="{E2C4F50B-5897-47C2-9240-FF39FB630AD3}"/>
    <cellStyle name="一般 18 3 2 3 4 2" xfId="1113" xr:uid="{24166DC7-B8AD-4722-B9C4-B785A0CAE71C}"/>
    <cellStyle name="一般 18 3 2 3 5" xfId="729" xr:uid="{01F5DEF3-2015-4F54-A842-BF30131ADD9F}"/>
    <cellStyle name="一般 18 3 2 4" xfId="174" xr:uid="{1CEB1A3B-71D3-468D-85FA-31652451BA2C}"/>
    <cellStyle name="一般 18 3 2 4 2" xfId="366" xr:uid="{FD0D3C5B-1E43-484C-A08B-632CBE0922C3}"/>
    <cellStyle name="一般 18 3 2 4 2 2" xfId="953" xr:uid="{8362E50B-906C-40EA-8FC3-EF7F661E0E45}"/>
    <cellStyle name="一般 18 3 2 4 3" xfId="561" xr:uid="{DFD7EC13-1BD1-4142-9244-90FF8DFDC923}"/>
    <cellStyle name="一般 18 3 2 4 3 2" xfId="1145" xr:uid="{E3D40153-125A-4369-B251-4AE5DC2E2AF5}"/>
    <cellStyle name="一般 18 3 2 4 4" xfId="761" xr:uid="{074B1B08-080F-439F-B1DB-5426E351DC6F}"/>
    <cellStyle name="一般 18 3 2 5" xfId="270" xr:uid="{7D9705DB-088B-4C1C-8FC7-B3AD3FF97288}"/>
    <cellStyle name="一般 18 3 2 5 2" xfId="857" xr:uid="{4C6B538B-AABD-4AD7-91A0-810C675839A8}"/>
    <cellStyle name="一般 18 3 2 6" xfId="465" xr:uid="{542FB2F8-80DE-4816-B441-CF254F676A4B}"/>
    <cellStyle name="一般 18 3 2 6 2" xfId="1049" xr:uid="{ED634F0A-0D67-4C41-A502-3E7ADE5C9563}"/>
    <cellStyle name="一般 18 3 2 7" xfId="665" xr:uid="{0DC80F69-5115-45C3-BE5B-5EAF8EB347A8}"/>
    <cellStyle name="一般 18 3 2 8" xfId="1241" xr:uid="{B041DBD1-2FAE-4C8B-AEAC-CD2F4B78EE4C}"/>
    <cellStyle name="一般 18 3 3" xfId="94" xr:uid="{37B8645F-323F-4C81-AFD8-9E1175E25A70}"/>
    <cellStyle name="一般 18 3 3 2" xfId="190" xr:uid="{FCB0460A-524C-43E5-91E1-44D88A33601E}"/>
    <cellStyle name="一般 18 3 3 2 2" xfId="382" xr:uid="{279D82A2-A5A5-4912-9530-A05B41F53F7F}"/>
    <cellStyle name="一般 18 3 3 2 2 2" xfId="969" xr:uid="{0F96726B-467E-40A8-9111-ACFABFD37846}"/>
    <cellStyle name="一般 18 3 3 2 3" xfId="577" xr:uid="{F9197A22-36B1-4774-A9D0-8686C362FFDB}"/>
    <cellStyle name="一般 18 3 3 2 3 2" xfId="1161" xr:uid="{F8993E08-824E-4B3A-B709-B5D3255558FF}"/>
    <cellStyle name="一般 18 3 3 2 4" xfId="777" xr:uid="{FA29EA20-237F-4867-9DAD-69B186A5046E}"/>
    <cellStyle name="一般 18 3 3 3" xfId="286" xr:uid="{A83F92C4-0657-45E9-8C41-0D6DC87190F6}"/>
    <cellStyle name="一般 18 3 3 3 2" xfId="873" xr:uid="{693D3399-1FE3-407E-A0B9-5C0BDA9EDBDA}"/>
    <cellStyle name="一般 18 3 3 4" xfId="481" xr:uid="{C160E141-D668-4ABB-9F24-AA435FC2435A}"/>
    <cellStyle name="一般 18 3 3 4 2" xfId="1065" xr:uid="{EBA3DA58-07D2-4B50-9A0B-07C7C737306B}"/>
    <cellStyle name="一般 18 3 3 5" xfId="681" xr:uid="{04CD50FC-AF7C-4167-84E6-05D267E2416F}"/>
    <cellStyle name="一般 18 3 4" xfId="126" xr:uid="{A858D627-EA3B-4F61-BE9B-058C3DBF0F1D}"/>
    <cellStyle name="一般 18 3 4 2" xfId="222" xr:uid="{38754744-47DE-4AC7-9AD7-15BF0EC7818C}"/>
    <cellStyle name="一般 18 3 4 2 2" xfId="414" xr:uid="{98DDD53D-8CA7-47F5-BDB4-6BD57F1F7238}"/>
    <cellStyle name="一般 18 3 4 2 2 2" xfId="1001" xr:uid="{FF0FA86A-7DEA-4253-BC35-0AC56555D4F0}"/>
    <cellStyle name="一般 18 3 4 2 3" xfId="609" xr:uid="{B0A866EA-BE74-4764-84F9-7FE798815934}"/>
    <cellStyle name="一般 18 3 4 2 3 2" xfId="1193" xr:uid="{CC452980-2367-4A2C-AA7B-64F528766EA0}"/>
    <cellStyle name="一般 18 3 4 2 4" xfId="809" xr:uid="{AC092F0E-C4FC-4320-9D28-84A9D6539F0F}"/>
    <cellStyle name="一般 18 3 4 3" xfId="318" xr:uid="{2584FA8C-6A00-4F0E-A0CB-F00F5BC883D1}"/>
    <cellStyle name="一般 18 3 4 3 2" xfId="905" xr:uid="{C7AF2D4E-8508-4D93-91C3-0CD7E222C864}"/>
    <cellStyle name="一般 18 3 4 4" xfId="513" xr:uid="{3141FF59-E9BE-469E-AD7E-73AF467FEA02}"/>
    <cellStyle name="一般 18 3 4 4 2" xfId="1097" xr:uid="{B88AC9E3-68B6-4E43-B810-B6F24F205C4F}"/>
    <cellStyle name="一般 18 3 4 5" xfId="713" xr:uid="{EDFA15E4-E49B-42C1-AB6D-126C2FBE4676}"/>
    <cellStyle name="一般 18 3 5" xfId="158" xr:uid="{56E1E402-2CF7-4AF0-946D-53C32DEBC87A}"/>
    <cellStyle name="一般 18 3 5 2" xfId="350" xr:uid="{AA05105A-16C7-4DD2-AEB0-68D6D8987AF2}"/>
    <cellStyle name="一般 18 3 5 2 2" xfId="937" xr:uid="{9939CAEF-F853-48C6-8F56-C628C06233F1}"/>
    <cellStyle name="一般 18 3 5 3" xfId="545" xr:uid="{3BD27942-3018-408E-8F82-D2DAE8EF1841}"/>
    <cellStyle name="一般 18 3 5 3 2" xfId="1129" xr:uid="{22E876A9-CEF1-4A5D-9F21-0FFB469D5962}"/>
    <cellStyle name="一般 18 3 5 4" xfId="745" xr:uid="{2FCD8FC7-4097-4CF5-AB93-0ED44B88A3BB}"/>
    <cellStyle name="一般 18 3 6" xfId="254" xr:uid="{F7F04FE2-89BC-44CD-A03C-0DB3F83F809F}"/>
    <cellStyle name="一般 18 3 6 2" xfId="841" xr:uid="{3E79B98D-3B90-4DD4-9892-8C804B3BC905}"/>
    <cellStyle name="一般 18 3 7" xfId="449" xr:uid="{B241FB57-D056-4493-962D-C04CDBEAF931}"/>
    <cellStyle name="一般 18 3 7 2" xfId="1033" xr:uid="{959FB9D3-306E-423F-81D2-83D056D144B5}"/>
    <cellStyle name="一般 18 3 8" xfId="649" xr:uid="{DB4474C8-D5DB-4005-A671-E2CDB8678197}"/>
    <cellStyle name="一般 18 3 9" xfId="1225" xr:uid="{611FCF25-7EBE-4824-807F-DA445361DD6B}"/>
    <cellStyle name="一般 18 4" xfId="47" xr:uid="{DC181722-A61B-43FB-A814-E5E3E7FE122B}"/>
    <cellStyle name="一般 18 4 2" xfId="63" xr:uid="{C86CF623-8A54-4499-BA8A-ECB342286EC5}"/>
    <cellStyle name="一般 18 4 2 2" xfId="114" xr:uid="{870B58FF-51F8-4BF1-B091-013B3C5BB1B6}"/>
    <cellStyle name="一般 18 4 2 2 2" xfId="210" xr:uid="{E85E6FF5-546E-443E-8199-7B7DF9F1E0E7}"/>
    <cellStyle name="一般 18 4 2 2 2 2" xfId="402" xr:uid="{353AFF45-EADA-42F0-B197-B87679FA3FFB}"/>
    <cellStyle name="一般 18 4 2 2 2 2 2" xfId="989" xr:uid="{818A2F98-C424-4120-83E9-A9577DED6356}"/>
    <cellStyle name="一般 18 4 2 2 2 3" xfId="597" xr:uid="{D7F82830-8481-4260-9DC9-FFBC61F3C946}"/>
    <cellStyle name="一般 18 4 2 2 2 3 2" xfId="1181" xr:uid="{FACFEC5F-720D-4238-86BE-A7B0412F0D5F}"/>
    <cellStyle name="一般 18 4 2 2 2 4" xfId="797" xr:uid="{CF015671-E0FC-448F-A65D-BF67AC8A3466}"/>
    <cellStyle name="一般 18 4 2 2 3" xfId="306" xr:uid="{F0142CDB-7172-4977-A3D8-54454FA9BCAF}"/>
    <cellStyle name="一般 18 4 2 2 3 2" xfId="893" xr:uid="{E753F194-7322-4259-9CFB-C94AF6A3B77C}"/>
    <cellStyle name="一般 18 4 2 2 4" xfId="501" xr:uid="{BF50A59C-3287-4DD5-B1F1-F214E0477CBB}"/>
    <cellStyle name="一般 18 4 2 2 4 2" xfId="1085" xr:uid="{AAB3C9C0-DA2B-48E7-8F44-B0D33FF33EFF}"/>
    <cellStyle name="一般 18 4 2 2 5" xfId="701" xr:uid="{8B2D0B1D-2927-45A4-8339-4728FB298692}"/>
    <cellStyle name="一般 18 4 2 3" xfId="146" xr:uid="{26B51B37-EED1-4ED2-A9F1-7711AD11B7BC}"/>
    <cellStyle name="一般 18 4 2 3 2" xfId="242" xr:uid="{4CD8AABF-B5AE-4061-80AE-3C2055EF742E}"/>
    <cellStyle name="一般 18 4 2 3 2 2" xfId="434" xr:uid="{CB6F483E-8590-4886-9751-E8241BFEB930}"/>
    <cellStyle name="一般 18 4 2 3 2 2 2" xfId="1021" xr:uid="{757FDCF7-4424-44A7-B432-F25F9A4E6162}"/>
    <cellStyle name="一般 18 4 2 3 2 3" xfId="629" xr:uid="{E3559830-9531-4115-82C1-BB4772EE4602}"/>
    <cellStyle name="一般 18 4 2 3 2 3 2" xfId="1213" xr:uid="{410B97C7-B2EF-4CD3-9503-C9F835130BA3}"/>
    <cellStyle name="一般 18 4 2 3 2 4" xfId="829" xr:uid="{455A498C-5C53-4ECF-9F4E-38445A801410}"/>
    <cellStyle name="一般 18 4 2 3 3" xfId="338" xr:uid="{0DF815DF-8F01-4C35-BFF5-24373D6ABE22}"/>
    <cellStyle name="一般 18 4 2 3 3 2" xfId="925" xr:uid="{078FB274-1101-4217-9E21-C0C094629C61}"/>
    <cellStyle name="一般 18 4 2 3 4" xfId="533" xr:uid="{4BECE86C-D2AC-4CB7-A569-0F92CC3AC69E}"/>
    <cellStyle name="一般 18 4 2 3 4 2" xfId="1117" xr:uid="{17D039EE-6C3E-453A-8F7B-951B1D713F7A}"/>
    <cellStyle name="一般 18 4 2 3 5" xfId="733" xr:uid="{02F44B17-3924-4904-9D81-856126729480}"/>
    <cellStyle name="一般 18 4 2 4" xfId="178" xr:uid="{0EBEC3AC-C279-4714-B979-D23E3D38C21D}"/>
    <cellStyle name="一般 18 4 2 4 2" xfId="370" xr:uid="{100010C0-D57A-494E-AB6F-FCD540D5A58D}"/>
    <cellStyle name="一般 18 4 2 4 2 2" xfId="957" xr:uid="{26C1020B-2171-4DD0-A8B6-AD2290E2E349}"/>
    <cellStyle name="一般 18 4 2 4 3" xfId="565" xr:uid="{FC71112F-0BAA-4B2E-99E9-06F462210993}"/>
    <cellStyle name="一般 18 4 2 4 3 2" xfId="1149" xr:uid="{48A365B3-577D-4D1B-A8B6-5EAFBAFE21CB}"/>
    <cellStyle name="一般 18 4 2 4 4" xfId="765" xr:uid="{DF0EC074-D22B-494A-8D2B-C5183E9917E9}"/>
    <cellStyle name="一般 18 4 2 5" xfId="274" xr:uid="{C85A63F8-D6D1-4FE9-B205-EB933BD4C14B}"/>
    <cellStyle name="一般 18 4 2 5 2" xfId="861" xr:uid="{659B6AF9-7E71-458D-AB90-5BF19781EDE8}"/>
    <cellStyle name="一般 18 4 2 6" xfId="469" xr:uid="{E3D7903F-ED7A-4350-B7FE-2FD875F13760}"/>
    <cellStyle name="一般 18 4 2 6 2" xfId="1053" xr:uid="{3BCB3025-08B7-4ACB-8222-A05222295FFA}"/>
    <cellStyle name="一般 18 4 2 7" xfId="669" xr:uid="{FEA77284-487D-4DC9-89C1-A502509D8FAB}"/>
    <cellStyle name="一般 18 4 2 8" xfId="1245" xr:uid="{16A861E6-0D6B-4175-A3BB-A81ABE8C691B}"/>
    <cellStyle name="一般 18 4 3" xfId="98" xr:uid="{5C27E9CD-09C8-460B-94CB-58F5E181563D}"/>
    <cellStyle name="一般 18 4 3 2" xfId="194" xr:uid="{60369F32-C810-4146-BB7C-B25E1ECB8782}"/>
    <cellStyle name="一般 18 4 3 2 2" xfId="386" xr:uid="{34459BB4-285E-499B-9083-5920F281EBC8}"/>
    <cellStyle name="一般 18 4 3 2 2 2" xfId="973" xr:uid="{FBBCFAB8-E490-41FC-8251-4CD9D02AB786}"/>
    <cellStyle name="一般 18 4 3 2 3" xfId="581" xr:uid="{5B73FC01-0D1F-4D60-B35A-9B77282BBD96}"/>
    <cellStyle name="一般 18 4 3 2 3 2" xfId="1165" xr:uid="{4B010226-EAD7-4432-BEE7-C0532A87E067}"/>
    <cellStyle name="一般 18 4 3 2 4" xfId="781" xr:uid="{DF3236E2-DF02-4F6C-8CF2-C01E02BBB63D}"/>
    <cellStyle name="一般 18 4 3 3" xfId="290" xr:uid="{D9858265-986D-4927-8513-0D7836FBD8C5}"/>
    <cellStyle name="一般 18 4 3 3 2" xfId="877" xr:uid="{E6081C90-6AA2-47BC-9A80-DBA8945FC323}"/>
    <cellStyle name="一般 18 4 3 4" xfId="485" xr:uid="{636C90DF-699F-42AA-B5F4-D70F5909A068}"/>
    <cellStyle name="一般 18 4 3 4 2" xfId="1069" xr:uid="{9BC0CE70-8060-441C-8FA1-15FAC6D48B0A}"/>
    <cellStyle name="一般 18 4 3 5" xfId="685" xr:uid="{78D16966-4F93-454D-88CD-461B6BB12064}"/>
    <cellStyle name="一般 18 4 4" xfId="130" xr:uid="{EB707235-6B2E-4891-A586-1B71C2B9B122}"/>
    <cellStyle name="一般 18 4 4 2" xfId="226" xr:uid="{FABFB628-E994-4E82-BDDF-F44B08EECAE1}"/>
    <cellStyle name="一般 18 4 4 2 2" xfId="418" xr:uid="{A90AEFBD-D45B-4F24-B7C8-697AF789D191}"/>
    <cellStyle name="一般 18 4 4 2 2 2" xfId="1005" xr:uid="{0CECBE7E-D957-435C-825E-1DA3E2BC3A4E}"/>
    <cellStyle name="一般 18 4 4 2 3" xfId="613" xr:uid="{4056F789-BB5C-4448-ADA3-AB3D31207E4F}"/>
    <cellStyle name="一般 18 4 4 2 3 2" xfId="1197" xr:uid="{BAE5ADC5-4A35-4571-8CFF-6B911A135134}"/>
    <cellStyle name="一般 18 4 4 2 4" xfId="813" xr:uid="{A926A8A5-6C99-4DBD-9BC2-63DEEC139F90}"/>
    <cellStyle name="一般 18 4 4 3" xfId="322" xr:uid="{BCC022F5-A699-4275-9E7A-74B114748DCD}"/>
    <cellStyle name="一般 18 4 4 3 2" xfId="909" xr:uid="{D7B2B8CA-9A46-4733-B7FC-7C27FA8A1CE3}"/>
    <cellStyle name="一般 18 4 4 4" xfId="517" xr:uid="{5AE9C91A-556D-4818-80DE-DD1DDF8CF3F9}"/>
    <cellStyle name="一般 18 4 4 4 2" xfId="1101" xr:uid="{FAFF141D-D133-41C8-BEC0-F4BA50945E98}"/>
    <cellStyle name="一般 18 4 4 5" xfId="717" xr:uid="{A8092C19-CBA3-4480-BA95-2B16D4B4FAE8}"/>
    <cellStyle name="一般 18 4 5" xfId="162" xr:uid="{BEEA7346-F52E-4C1C-9CAD-E683BBAC8EEB}"/>
    <cellStyle name="一般 18 4 5 2" xfId="354" xr:uid="{13B82D46-B32A-4957-9839-97E50FA387C0}"/>
    <cellStyle name="一般 18 4 5 2 2" xfId="941" xr:uid="{944DDA10-9649-416D-87D5-B3F1A00B964F}"/>
    <cellStyle name="一般 18 4 5 3" xfId="549" xr:uid="{E5DE7A8A-706E-4692-A2B8-38E15E55630A}"/>
    <cellStyle name="一般 18 4 5 3 2" xfId="1133" xr:uid="{17EEFD0A-F54A-4055-B070-ED7C233EF940}"/>
    <cellStyle name="一般 18 4 5 4" xfId="749" xr:uid="{E3B34212-C80D-4364-A5AB-DED669F2E2BD}"/>
    <cellStyle name="一般 18 4 6" xfId="258" xr:uid="{5E1160E9-DA3E-4E55-B325-0C846B0C205E}"/>
    <cellStyle name="一般 18 4 6 2" xfId="845" xr:uid="{69F72DA4-20C9-4CF7-B43F-CA4BA006EAF7}"/>
    <cellStyle name="一般 18 4 7" xfId="453" xr:uid="{EA5FA126-5A26-4AA0-9502-905DA146EEE1}"/>
    <cellStyle name="一般 18 4 7 2" xfId="1037" xr:uid="{BA35D922-73B7-4528-AC5E-8FD0830C1E86}"/>
    <cellStyle name="一般 18 4 8" xfId="653" xr:uid="{D5779CFC-9384-49AF-AA1D-8ACE566B4B1C}"/>
    <cellStyle name="一般 18 4 9" xfId="1229" xr:uid="{009D4A3F-2EBB-4DD0-B4F5-B6FF73A52702}"/>
    <cellStyle name="一般 18 5" xfId="51" xr:uid="{1BEA4B7F-FE02-478A-8DBC-8AA1F44915D9}"/>
    <cellStyle name="一般 18 5 2" xfId="67" xr:uid="{A241F444-5FDC-49E3-A2C4-E7E1AF9BD40A}"/>
    <cellStyle name="一般 18 5 2 2" xfId="118" xr:uid="{CC44335F-AD8C-4510-A52F-74B6A9594FA5}"/>
    <cellStyle name="一般 18 5 2 2 2" xfId="214" xr:uid="{18163A88-F6A4-4C46-A8DA-E46006F7C08A}"/>
    <cellStyle name="一般 18 5 2 2 2 2" xfId="406" xr:uid="{A56C9576-45D8-410D-ADDC-8EBDEEE55482}"/>
    <cellStyle name="一般 18 5 2 2 2 2 2" xfId="993" xr:uid="{4F13B9B9-A3D1-445A-88FE-94E6AAA24E30}"/>
    <cellStyle name="一般 18 5 2 2 2 3" xfId="601" xr:uid="{12DF8B7E-E829-4617-8101-144B4FD40AA2}"/>
    <cellStyle name="一般 18 5 2 2 2 3 2" xfId="1185" xr:uid="{D0D4F9FC-0966-40F9-B598-59DC8B7C7CC7}"/>
    <cellStyle name="一般 18 5 2 2 2 4" xfId="801" xr:uid="{0C56525A-74AD-463A-9B71-02CA57CC9365}"/>
    <cellStyle name="一般 18 5 2 2 3" xfId="310" xr:uid="{47AB1C3B-EA12-4B71-AE3B-95FF2E95A47F}"/>
    <cellStyle name="一般 18 5 2 2 3 2" xfId="897" xr:uid="{65097D53-2AE6-432D-A9E5-DC833A95432D}"/>
    <cellStyle name="一般 18 5 2 2 4" xfId="505" xr:uid="{AB347C9C-A61A-44A7-99CB-FE5EC4ACB283}"/>
    <cellStyle name="一般 18 5 2 2 4 2" xfId="1089" xr:uid="{A6F01AAC-1060-48CF-B769-C8269F5EC5A0}"/>
    <cellStyle name="一般 18 5 2 2 5" xfId="705" xr:uid="{313DE4E7-625B-4FA6-B148-CAE7F09839DE}"/>
    <cellStyle name="一般 18 5 2 3" xfId="150" xr:uid="{58B144C2-6942-44A2-B1EE-8189D0054E5C}"/>
    <cellStyle name="一般 18 5 2 3 2" xfId="246" xr:uid="{1DE0BD46-57C9-46CC-B30E-6ABBAA1A71C4}"/>
    <cellStyle name="一般 18 5 2 3 2 2" xfId="438" xr:uid="{32A0DD6B-4E37-498C-A48F-C13E109E4D70}"/>
    <cellStyle name="一般 18 5 2 3 2 2 2" xfId="1025" xr:uid="{FEDE0425-8792-4E99-A864-1DAFB857EFF6}"/>
    <cellStyle name="一般 18 5 2 3 2 3" xfId="633" xr:uid="{34A6BF92-04B7-46AD-87CE-C5CD9B8B056A}"/>
    <cellStyle name="一般 18 5 2 3 2 3 2" xfId="1217" xr:uid="{F1081DCA-26EF-4BD2-A49C-48A034C1BF98}"/>
    <cellStyle name="一般 18 5 2 3 2 4" xfId="833" xr:uid="{A6D97CF8-F86B-46CA-B4BE-644D99AAEAEA}"/>
    <cellStyle name="一般 18 5 2 3 3" xfId="342" xr:uid="{BBB7661C-9458-47C2-8BB5-3F73E2E2E9FA}"/>
    <cellStyle name="一般 18 5 2 3 3 2" xfId="929" xr:uid="{103A196C-6737-4009-9B3F-1D1784E1E6C6}"/>
    <cellStyle name="一般 18 5 2 3 4" xfId="537" xr:uid="{2B50B8EC-7632-4B8D-8508-4F9CFB609F2E}"/>
    <cellStyle name="一般 18 5 2 3 4 2" xfId="1121" xr:uid="{41E011D0-4347-4D99-9A1D-58299E5C2F9D}"/>
    <cellStyle name="一般 18 5 2 3 5" xfId="737" xr:uid="{16775C0B-4C24-4AC0-B639-AD3D11FC5A94}"/>
    <cellStyle name="一般 18 5 2 4" xfId="182" xr:uid="{BB74B09D-72EF-4E03-B086-92062F50BBC6}"/>
    <cellStyle name="一般 18 5 2 4 2" xfId="374" xr:uid="{9BA9070E-6413-485F-9331-776A6256DDA8}"/>
    <cellStyle name="一般 18 5 2 4 2 2" xfId="961" xr:uid="{019391B7-B8D2-42D1-BD7A-F4358E742173}"/>
    <cellStyle name="一般 18 5 2 4 3" xfId="569" xr:uid="{507D169B-04D8-47F5-BC11-6CBF341414AF}"/>
    <cellStyle name="一般 18 5 2 4 3 2" xfId="1153" xr:uid="{C9687ABF-A0E5-4947-A6CA-9F3A16E78DF7}"/>
    <cellStyle name="一般 18 5 2 4 4" xfId="769" xr:uid="{B9AFC270-5FA0-4BC6-B07D-4677B4DF4990}"/>
    <cellStyle name="一般 18 5 2 5" xfId="278" xr:uid="{C328346C-3B36-4C81-B2FF-933AF44BC89E}"/>
    <cellStyle name="一般 18 5 2 5 2" xfId="865" xr:uid="{7DB0FCEC-C3C9-439B-908F-6BF2052507AE}"/>
    <cellStyle name="一般 18 5 2 6" xfId="473" xr:uid="{BC15B79D-CCB8-47D5-9CDB-06A595F1BD9F}"/>
    <cellStyle name="一般 18 5 2 6 2" xfId="1057" xr:uid="{308779FC-02BD-4ACA-9775-05559B77A6F6}"/>
    <cellStyle name="一般 18 5 2 7" xfId="673" xr:uid="{272B566A-816A-40E3-8A42-F4783130098B}"/>
    <cellStyle name="一般 18 5 2 8" xfId="1249" xr:uid="{28CA7B85-3797-42DF-8EB2-D24BEC79DEF5}"/>
    <cellStyle name="一般 18 5 3" xfId="102" xr:uid="{46B2BF98-8EC4-49ED-B73F-295E9042DFB6}"/>
    <cellStyle name="一般 18 5 3 2" xfId="198" xr:uid="{D8C7ADCC-8E9B-4B32-BF5D-CA0209EFBB8F}"/>
    <cellStyle name="一般 18 5 3 2 2" xfId="390" xr:uid="{5169E0D5-BE0A-4813-9FEE-6E6CD945AE09}"/>
    <cellStyle name="一般 18 5 3 2 2 2" xfId="977" xr:uid="{2F37AFA3-BB91-4AB8-85E5-ABD2B4DDBEF7}"/>
    <cellStyle name="一般 18 5 3 2 3" xfId="585" xr:uid="{734C1237-010C-4749-AEF4-D3F7CD546028}"/>
    <cellStyle name="一般 18 5 3 2 3 2" xfId="1169" xr:uid="{59A04B79-0ED3-46D9-800F-2AB7BBE67647}"/>
    <cellStyle name="一般 18 5 3 2 4" xfId="785" xr:uid="{19C940AC-4AE2-410E-AF03-2299823E4796}"/>
    <cellStyle name="一般 18 5 3 3" xfId="294" xr:uid="{98915E2D-C608-429A-A7E3-21E00172BF2E}"/>
    <cellStyle name="一般 18 5 3 3 2" xfId="881" xr:uid="{7104F3B2-F5A2-4CC9-BD94-1EE0AC89451C}"/>
    <cellStyle name="一般 18 5 3 4" xfId="489" xr:uid="{D05C0195-3C4D-429F-A017-F6A34D1AB278}"/>
    <cellStyle name="一般 18 5 3 4 2" xfId="1073" xr:uid="{1E19DE4A-BB49-4501-8EDE-813247FA3BA7}"/>
    <cellStyle name="一般 18 5 3 5" xfId="689" xr:uid="{761A18D2-6062-4B97-9303-63A2797EE15F}"/>
    <cellStyle name="一般 18 5 4" xfId="134" xr:uid="{F4235A63-9E78-4FBB-9035-48118061092D}"/>
    <cellStyle name="一般 18 5 4 2" xfId="230" xr:uid="{0002CDAC-0696-475A-8968-AE019F2C22BB}"/>
    <cellStyle name="一般 18 5 4 2 2" xfId="422" xr:uid="{05EDF2A9-103F-4883-9BD1-88DDAE23225F}"/>
    <cellStyle name="一般 18 5 4 2 2 2" xfId="1009" xr:uid="{BF86205E-D649-4BBF-BDE6-E444AFF03702}"/>
    <cellStyle name="一般 18 5 4 2 3" xfId="617" xr:uid="{DD01CFBF-988E-48BC-8513-34292267C063}"/>
    <cellStyle name="一般 18 5 4 2 3 2" xfId="1201" xr:uid="{563688AD-01AB-4A5A-9839-67E4619D11D2}"/>
    <cellStyle name="一般 18 5 4 2 4" xfId="817" xr:uid="{81F319B8-B04D-4B46-8D5E-EEB426E2BBEF}"/>
    <cellStyle name="一般 18 5 4 3" xfId="326" xr:uid="{E3C19A49-64AF-4B0F-9BF0-C6819D322FCB}"/>
    <cellStyle name="一般 18 5 4 3 2" xfId="913" xr:uid="{F012BFF0-B261-4A66-AFFA-38E18E95860A}"/>
    <cellStyle name="一般 18 5 4 4" xfId="521" xr:uid="{62DBE629-6EDC-4F75-94E5-9B3C53BF8C0E}"/>
    <cellStyle name="一般 18 5 4 4 2" xfId="1105" xr:uid="{A6200DEF-014B-4773-9331-E6914AC1B335}"/>
    <cellStyle name="一般 18 5 4 5" xfId="721" xr:uid="{E8E6C427-1CD5-40AE-A37A-E1F9729005DF}"/>
    <cellStyle name="一般 18 5 5" xfId="166" xr:uid="{37F3949F-0B81-4700-AE39-8DFC7C2BFA5F}"/>
    <cellStyle name="一般 18 5 5 2" xfId="358" xr:uid="{8E7D96D1-4F1E-493C-8A7D-E29A9088D112}"/>
    <cellStyle name="一般 18 5 5 2 2" xfId="945" xr:uid="{D698D5A7-DC6A-41C0-9CEF-8D259354690A}"/>
    <cellStyle name="一般 18 5 5 3" xfId="553" xr:uid="{3E8D19B6-D2BB-4FB4-A873-D5FB341ABDA4}"/>
    <cellStyle name="一般 18 5 5 3 2" xfId="1137" xr:uid="{92CF01E5-0953-447D-9D4B-CE519403A7C1}"/>
    <cellStyle name="一般 18 5 5 4" xfId="753" xr:uid="{BB42AFD6-D464-4D77-B9BE-5A2EF5A24140}"/>
    <cellStyle name="一般 18 5 6" xfId="262" xr:uid="{716F66F9-42EF-4F6C-9177-48D81856738A}"/>
    <cellStyle name="一般 18 5 6 2" xfId="849" xr:uid="{505343E8-A33F-470C-832C-4FD96F8B8C73}"/>
    <cellStyle name="一般 18 5 7" xfId="457" xr:uid="{510109E2-1669-4D11-ACEE-DF8F61E8ABA4}"/>
    <cellStyle name="一般 18 5 7 2" xfId="1041" xr:uid="{1F4512E1-BE23-43D0-911A-CE859573DD48}"/>
    <cellStyle name="一般 18 5 8" xfId="657" xr:uid="{18854B27-6EF1-4423-BAF5-AAC05EA03842}"/>
    <cellStyle name="一般 18 5 9" xfId="1233" xr:uid="{0CFBFC42-A34C-458F-A074-128D2907BB6B}"/>
    <cellStyle name="一般 18 6" xfId="55" xr:uid="{DB5FA007-36F8-4538-A43D-16528DFCBD1A}"/>
    <cellStyle name="一般 18 6 2" xfId="106" xr:uid="{A1AD8EEC-5E36-4637-8304-88AE5BD2A4EA}"/>
    <cellStyle name="一般 18 6 2 2" xfId="202" xr:uid="{484AF46F-E338-4A43-9B48-C169016B04EB}"/>
    <cellStyle name="一般 18 6 2 2 2" xfId="394" xr:uid="{2883B5D1-6726-42F3-9FC5-A795721E3AB3}"/>
    <cellStyle name="一般 18 6 2 2 2 2" xfId="981" xr:uid="{FD60D771-1683-4A95-B748-0689F436D5BC}"/>
    <cellStyle name="一般 18 6 2 2 3" xfId="589" xr:uid="{6C29D730-34B4-4757-8DED-C30AE8A737FB}"/>
    <cellStyle name="一般 18 6 2 2 3 2" xfId="1173" xr:uid="{2952914C-94DC-44B1-8747-2A78394E831C}"/>
    <cellStyle name="一般 18 6 2 2 4" xfId="789" xr:uid="{9E29FE37-CB3B-45CF-A42C-8538945A0400}"/>
    <cellStyle name="一般 18 6 2 3" xfId="298" xr:uid="{55426036-8C56-44BB-9A49-3A9FA182F859}"/>
    <cellStyle name="一般 18 6 2 3 2" xfId="885" xr:uid="{2E822FD3-8B80-4CB9-9815-5AFE1CB9AE32}"/>
    <cellStyle name="一般 18 6 2 4" xfId="493" xr:uid="{D1BD3239-4B85-4298-BEA6-33BA3AB2ED01}"/>
    <cellStyle name="一般 18 6 2 4 2" xfId="1077" xr:uid="{AFDBE359-48B8-435C-89BF-F6F00A17234C}"/>
    <cellStyle name="一般 18 6 2 5" xfId="693" xr:uid="{D0DB3479-8339-4A3E-9C9B-377BE2246534}"/>
    <cellStyle name="一般 18 6 3" xfId="138" xr:uid="{40E6FB8B-B096-436F-90E6-5541C7C3D00A}"/>
    <cellStyle name="一般 18 6 3 2" xfId="234" xr:uid="{2F927948-4665-4CC6-8212-8974D0834927}"/>
    <cellStyle name="一般 18 6 3 2 2" xfId="426" xr:uid="{69F1A07A-BB9E-4A29-B101-1B438D98ABD9}"/>
    <cellStyle name="一般 18 6 3 2 2 2" xfId="1013" xr:uid="{F57EDEB6-61DB-42F2-A6D6-E2974AD946DA}"/>
    <cellStyle name="一般 18 6 3 2 3" xfId="621" xr:uid="{E7E19773-555D-4507-A3AF-674059842583}"/>
    <cellStyle name="一般 18 6 3 2 3 2" xfId="1205" xr:uid="{36E29FA1-2B8B-4E88-912A-4969BB579916}"/>
    <cellStyle name="一般 18 6 3 2 4" xfId="821" xr:uid="{D528A0B4-40D1-42FE-92D7-5C7DA72A8709}"/>
    <cellStyle name="一般 18 6 3 3" xfId="330" xr:uid="{9367C6CC-8E89-4D23-BF45-078C29C79DA0}"/>
    <cellStyle name="一般 18 6 3 3 2" xfId="917" xr:uid="{4EF2E298-01F7-4A55-A809-22A7C251E12E}"/>
    <cellStyle name="一般 18 6 3 4" xfId="525" xr:uid="{CA4C1ACA-197A-4DBA-9AEE-067F65D2B44C}"/>
    <cellStyle name="一般 18 6 3 4 2" xfId="1109" xr:uid="{B2895A6A-CA86-40AC-8F1D-7AF825CD790E}"/>
    <cellStyle name="一般 18 6 3 5" xfId="725" xr:uid="{6705044C-2732-42CC-A6B7-6E7C7A1D4D96}"/>
    <cellStyle name="一般 18 6 4" xfId="170" xr:uid="{5533682C-227D-437D-BE6B-27762D460489}"/>
    <cellStyle name="一般 18 6 4 2" xfId="362" xr:uid="{101902D7-49BC-4283-B515-BC5C4C70CE36}"/>
    <cellStyle name="一般 18 6 4 2 2" xfId="949" xr:uid="{DABB4236-5894-40E6-8F81-B4B32F76151F}"/>
    <cellStyle name="一般 18 6 4 3" xfId="557" xr:uid="{DFCA51BF-5A76-4DA3-A9F7-DA30428E9AE9}"/>
    <cellStyle name="一般 18 6 4 3 2" xfId="1141" xr:uid="{0A41D2B7-C8CE-4EA2-94C5-DCC9EEA96FA7}"/>
    <cellStyle name="一般 18 6 4 4" xfId="757" xr:uid="{4011804F-6A27-4D09-BE89-9D5A253D9211}"/>
    <cellStyle name="一般 18 6 5" xfId="266" xr:uid="{8EFA63CC-6B15-421A-B5D1-922D1B50CAA1}"/>
    <cellStyle name="一般 18 6 5 2" xfId="853" xr:uid="{85E7A160-6BB8-4495-9248-F0D6988AEF76}"/>
    <cellStyle name="一般 18 6 6" xfId="461" xr:uid="{3635E587-8E71-431D-BCA8-F5A82E91427C}"/>
    <cellStyle name="一般 18 6 6 2" xfId="1045" xr:uid="{E04D3157-7AEF-4B73-97BA-0F2F48AC5F26}"/>
    <cellStyle name="一般 18 6 7" xfId="661" xr:uid="{1EB67169-5C04-455B-9C4D-9FA450192950}"/>
    <cellStyle name="一般 18 6 8" xfId="1237" xr:uid="{5BEA3781-38DA-4FEE-88B8-AD8E72946E6A}"/>
    <cellStyle name="一般 18 7" xfId="90" xr:uid="{84C61B90-3BAC-4435-8DC6-BC3F6814EC00}"/>
    <cellStyle name="一般 18 7 2" xfId="186" xr:uid="{BEFDDB62-F8AE-4902-B476-857B9A4AC1D2}"/>
    <cellStyle name="一般 18 7 2 2" xfId="378" xr:uid="{B2F7D12C-7B8E-4B12-BFE8-403697A843F2}"/>
    <cellStyle name="一般 18 7 2 2 2" xfId="965" xr:uid="{4C9AE1BB-747D-4E87-B1D3-081D96A84373}"/>
    <cellStyle name="一般 18 7 2 3" xfId="573" xr:uid="{FC3A24D7-2016-4CA8-94AB-EEB3F3D95F1F}"/>
    <cellStyle name="一般 18 7 2 3 2" xfId="1157" xr:uid="{2FAE2365-D7AC-4B25-80B3-0919AA2979F1}"/>
    <cellStyle name="一般 18 7 2 4" xfId="773" xr:uid="{FEA921DD-0727-451D-8C52-1F97660B9102}"/>
    <cellStyle name="一般 18 7 3" xfId="282" xr:uid="{84776DD8-6C94-4F93-8DC1-F6724BF6AD7E}"/>
    <cellStyle name="一般 18 7 3 2" xfId="869" xr:uid="{40B67941-C92A-4B3D-8FFF-3CB1A2E67601}"/>
    <cellStyle name="一般 18 7 4" xfId="477" xr:uid="{D6A862FC-D6ED-40D1-B9F3-9664C276D69C}"/>
    <cellStyle name="一般 18 7 4 2" xfId="1061" xr:uid="{6A4163F0-6434-4483-BF11-6351D51C0AE9}"/>
    <cellStyle name="一般 18 7 5" xfId="677" xr:uid="{5E3E2FDF-FF9C-4D1D-8689-8AECCDA585A7}"/>
    <cellStyle name="一般 18 8" xfId="122" xr:uid="{FB4237B6-19D9-4659-95A2-D7D2A7F0034D}"/>
    <cellStyle name="一般 18 8 2" xfId="218" xr:uid="{266B714C-7B7E-4251-A43E-B615F7ADBDFD}"/>
    <cellStyle name="一般 18 8 2 2" xfId="410" xr:uid="{55AF0444-B961-47BD-A742-69AD7F466A72}"/>
    <cellStyle name="一般 18 8 2 2 2" xfId="997" xr:uid="{D6CD703C-5C29-49CD-AFDA-B38AC4497F41}"/>
    <cellStyle name="一般 18 8 2 3" xfId="605" xr:uid="{0B1BD10B-D5E2-478B-8553-C03CF343497D}"/>
    <cellStyle name="一般 18 8 2 3 2" xfId="1189" xr:uid="{96BE5092-ACD1-441E-AB7C-08BB1BC6066E}"/>
    <cellStyle name="一般 18 8 2 4" xfId="805" xr:uid="{35F86DCE-F4FE-435E-B2E6-1E09A3FC52EE}"/>
    <cellStyle name="一般 18 8 3" xfId="314" xr:uid="{345834D0-041B-4E82-A0BD-2C37974BEE15}"/>
    <cellStyle name="一般 18 8 3 2" xfId="901" xr:uid="{C5045FA8-AEF3-429E-BE84-F58281D40E92}"/>
    <cellStyle name="一般 18 8 4" xfId="509" xr:uid="{A04C1767-6866-425F-83CD-C841CB032F46}"/>
    <cellStyle name="一般 18 8 4 2" xfId="1093" xr:uid="{1C51E736-BBA3-4371-A229-AB8ABDFD28B1}"/>
    <cellStyle name="一般 18 8 5" xfId="709" xr:uid="{27DADCD9-FA10-4FCF-ADAF-345113713E1F}"/>
    <cellStyle name="一般 18 9" xfId="154" xr:uid="{B1DD4EDE-32BD-41D1-B679-062262158A54}"/>
    <cellStyle name="一般 18 9 2" xfId="346" xr:uid="{B9575BF3-67D7-4010-B453-57CC91819066}"/>
    <cellStyle name="一般 18 9 2 2" xfId="933" xr:uid="{F8DA33C3-4637-4155-A57B-A2C25AFC10A0}"/>
    <cellStyle name="一般 18 9 3" xfId="541" xr:uid="{A01CDE31-490C-447D-A1E6-2449C31D9EB2}"/>
    <cellStyle name="一般 18 9 3 2" xfId="1125" xr:uid="{F3E4151E-A060-4422-8071-3DC7E6BFBE6E}"/>
    <cellStyle name="一般 18 9 4" xfId="741" xr:uid="{B4367D5D-CB87-461E-9E65-AAF87337CEBA}"/>
    <cellStyle name="一般 19" xfId="24" xr:uid="{EF1EFE35-9FD7-4C68-98BA-AE682D61244A}"/>
    <cellStyle name="一般 2" xfId="2" xr:uid="{00000000-0005-0000-0000-000001000000}"/>
    <cellStyle name="一般 2 2" xfId="9" xr:uid="{DE02C792-CBBC-4107-9C86-0BBA6D17EA57}"/>
    <cellStyle name="一般 2 2 2" xfId="78" xr:uid="{EC06D3E4-2571-411C-B1D0-7DBDD079CCE3}"/>
    <cellStyle name="一般 2 3" xfId="76" xr:uid="{1639581E-6EDB-40EB-86AC-3F1918692FA8}"/>
    <cellStyle name="一般 2 4" xfId="73" xr:uid="{FF30820B-5E16-49B2-AC62-AB028A004893}"/>
    <cellStyle name="一般 2 5" xfId="71" xr:uid="{97605251-5B34-43ED-92C4-BF0CD241A8FB}"/>
    <cellStyle name="一般 2 6" xfId="5" xr:uid="{1DEBFFA7-5B4C-4E2F-A234-87F64460EEBA}"/>
    <cellStyle name="一般 20" xfId="27" xr:uid="{3944B20B-3D2E-4726-9C6A-5A1D00741F41}"/>
    <cellStyle name="一般 21" xfId="25" xr:uid="{323EFE8E-09FC-4A1D-9011-866A04137986}"/>
    <cellStyle name="一般 22" xfId="29" xr:uid="{C21A2CFC-766B-4CAE-804C-DB974388DBAC}"/>
    <cellStyle name="一般 23" xfId="28" xr:uid="{69ABC4C7-6DA6-4412-BD40-35FC42DDB7B7}"/>
    <cellStyle name="一般 24" xfId="30" xr:uid="{6A3C49EC-429A-4E5E-AAA8-93D9302F4313}"/>
    <cellStyle name="一般 25" xfId="31" xr:uid="{78582EFB-C911-482C-B81D-B55E7A4903DC}"/>
    <cellStyle name="一般 26" xfId="32" xr:uid="{F125F4E4-4148-4302-B1AD-9BCD5DEE28A5}"/>
    <cellStyle name="一般 27" xfId="33" xr:uid="{81302623-BF00-4170-9C2E-595020F19404}"/>
    <cellStyle name="一般 28" xfId="34" xr:uid="{80BCF671-0F9E-46AC-8ACD-B5A868E0D5BC}"/>
    <cellStyle name="一般 29" xfId="35" xr:uid="{F8ACDFB1-F6EC-43D4-B6E0-9BA43D4D56FB}"/>
    <cellStyle name="一般 3" xfId="3" xr:uid="{B8713EB6-01EF-48EA-8ED6-C502712FC046}"/>
    <cellStyle name="一般 3 2" xfId="72" xr:uid="{8C419743-1098-401C-9C98-131FAE16C714}"/>
    <cellStyle name="一般 30" xfId="36" xr:uid="{AF7D3427-EE8D-4BA0-A898-310C163149F2}"/>
    <cellStyle name="一般 31" xfId="37" xr:uid="{7CF6D02A-0962-4607-997F-309FE27A209A}"/>
    <cellStyle name="一般 32" xfId="38" xr:uid="{01367B77-39BE-434D-83FA-4DB879A9733F}"/>
    <cellStyle name="一般 33" xfId="39" xr:uid="{AF6E7705-96EE-440A-A503-23A8B606A961}"/>
    <cellStyle name="一般 34" xfId="40" xr:uid="{80FBFC6F-52F7-42D1-A3AD-DC364B2B06CB}"/>
    <cellStyle name="一般 35" xfId="41" xr:uid="{39802CE7-CF94-4388-BF67-6B27489EEDE3}"/>
    <cellStyle name="一般 36" xfId="26" xr:uid="{FC785CE8-3641-4168-B84E-70709D482C45}"/>
    <cellStyle name="一般 37" xfId="70" xr:uid="{13C04EA8-1E01-46C3-A1FE-D272B462EAA6}"/>
    <cellStyle name="一般 38" xfId="83" xr:uid="{E37BF5C0-6F5F-4B1E-B8B5-440039633984}"/>
    <cellStyle name="一般 39" xfId="84" xr:uid="{DCB830BB-25BD-4D93-8194-6C347768B74C}"/>
    <cellStyle name="一般 4" xfId="6" xr:uid="{0D47D8DD-EA3C-4A1A-9D4B-80203395DAF9}"/>
    <cellStyle name="一般 4 2" xfId="77" xr:uid="{427DA58D-769C-4C5C-9D56-1F95EDB9D6A4}"/>
    <cellStyle name="一般 40" xfId="85" xr:uid="{FE488351-491D-4896-9CF7-F8CBAF8F3A9F}"/>
    <cellStyle name="一般 41" xfId="86" xr:uid="{F97FA0C0-B4FB-44A6-9D5C-C23BD91C003A}"/>
    <cellStyle name="一般 42" xfId="88" xr:uid="{F92961A8-FE82-42F3-8136-C4C408F722C0}"/>
    <cellStyle name="一般 43" xfId="87" xr:uid="{3C180FEB-9B58-4B71-B371-E4C34FE59F7C}"/>
    <cellStyle name="一般 44" xfId="441" xr:uid="{C3A645F0-7588-4DA6-AC9F-984C89B4B0A3}"/>
    <cellStyle name="一般 45" xfId="447" xr:uid="{4A0542DB-E3A7-4541-AA79-1D48028F13FB}"/>
    <cellStyle name="一般 46" xfId="446" xr:uid="{6E7CF927-769C-43CC-9859-27E60CAAC648}"/>
    <cellStyle name="一般 47" xfId="638" xr:uid="{809415AB-27FA-41C7-824D-AEF5599DD4E9}"/>
    <cellStyle name="一般 48" xfId="636" xr:uid="{7D286FA5-4F68-4D1C-A466-FA130B59ABAB}"/>
    <cellStyle name="一般 49" xfId="639" xr:uid="{03657DA6-7B25-41AA-9E69-3DF44E4B7209}"/>
    <cellStyle name="一般 5" xfId="13" xr:uid="{F3AD3742-0BE3-4093-BDBD-F4B4ADCAB173}"/>
    <cellStyle name="一般 5 2" xfId="79" xr:uid="{1C321F67-E1B9-4D09-83E7-0B8877EA4C4B}"/>
    <cellStyle name="一般 50" xfId="640" xr:uid="{6E53F7F8-E633-40A5-821C-CDF892EE456A}"/>
    <cellStyle name="一般 51" xfId="637" xr:uid="{4378DCA9-CBFF-4A2C-BF5B-0D44A4CB6C5C}"/>
    <cellStyle name="一般 52" xfId="641" xr:uid="{0A5256BF-AF7E-4F95-A33E-BB46B48F533B}"/>
    <cellStyle name="一般 53" xfId="642" xr:uid="{12B3BDD2-6B25-4BB5-9CBB-3C810939086E}"/>
    <cellStyle name="一般 54" xfId="643" xr:uid="{E00FE618-B52C-476E-AD05-A2418A22D4FA}"/>
    <cellStyle name="一般 56" xfId="1254" xr:uid="{6EEFA924-6F15-4682-AB0C-0B6E89A00242}"/>
    <cellStyle name="一般 57" xfId="1252" xr:uid="{D7F9489B-4D2F-4860-B894-07B5EF9CBFD0}"/>
    <cellStyle name="一般 59" xfId="1255" xr:uid="{7E800149-EA5B-4FB2-8A72-2877E2F1B5AA}"/>
    <cellStyle name="一般 6" xfId="7" xr:uid="{538DCF1D-E9F0-4695-87D3-F71CAE59EA85}"/>
    <cellStyle name="一般 6 2" xfId="80" xr:uid="{DC4DA027-6799-4B11-9210-859051CEC806}"/>
    <cellStyle name="一般 60" xfId="1253" xr:uid="{F8B79F05-968F-4243-B5AF-3134950215E8}"/>
    <cellStyle name="一般 7" xfId="15" xr:uid="{5574C220-BC44-4215-B7F9-1B5AE9335E4A}"/>
    <cellStyle name="一般 7 2" xfId="82" xr:uid="{12AF7FA4-45B4-4206-966A-B20DA0128520}"/>
    <cellStyle name="一般 8" xfId="14" xr:uid="{A817451C-4735-419C-8F59-ED5BDA1513C6}"/>
    <cellStyle name="一般 8 2" xfId="81" xr:uid="{76516BBA-0763-40DC-A03D-42AEAF6EED55}"/>
    <cellStyle name="一般 9" xfId="16" xr:uid="{3AF6354C-373B-4E5D-A968-CD6D12CFAF00}"/>
    <cellStyle name="一般 9 2" xfId="75" xr:uid="{015FEB66-369D-4213-9B9F-81E9F8C9A001}"/>
    <cellStyle name="超連結" xfId="1" builtinId="8"/>
    <cellStyle name="超連結 2" xfId="4" xr:uid="{D4EA3FBE-515C-4698-90A9-67C59CFF2A39}"/>
  </cellStyles>
  <dxfs count="310">
    <dxf>
      <fill>
        <patternFill patternType="solid">
          <fgColor indexed="10"/>
          <bgColor indexed="17"/>
        </patternFill>
      </fill>
    </dxf>
    <dxf>
      <fill>
        <patternFill patternType="solid">
          <fgColor indexed="10"/>
          <bgColor indexed="10"/>
        </patternFill>
      </fill>
    </dxf>
    <dxf>
      <fill>
        <patternFill patternType="solid">
          <fgColor indexed="10"/>
          <bgColor indexed="51"/>
        </patternFill>
      </fill>
    </dxf>
    <dxf>
      <fill>
        <patternFill patternType="solid">
          <fgColor indexed="10"/>
          <bgColor indexed="53"/>
        </patternFill>
      </fill>
    </dxf>
    <dxf>
      <fill>
        <patternFill patternType="solid">
          <fgColor indexed="10"/>
          <bgColor indexed="6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2"/>
          <bgColor indexed="2"/>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22"/>
        </patternFill>
      </fill>
    </dxf>
    <dxf>
      <fill>
        <patternFill patternType="solid">
          <fgColor indexed="2"/>
          <bgColor indexed="31"/>
        </patternFill>
      </fill>
    </dxf>
    <dxf>
      <fill>
        <patternFill patternType="solid">
          <fgColor indexed="2"/>
          <bgColor indexed="22"/>
        </patternFill>
      </fill>
    </dxf>
    <dxf>
      <fill>
        <patternFill patternType="solid">
          <fgColor indexed="2"/>
          <bgColor indexed="2"/>
        </patternFill>
      </fill>
    </dxf>
    <dxf>
      <fill>
        <patternFill patternType="solid">
          <fgColor indexed="2"/>
          <bgColor indexed="31"/>
        </patternFill>
      </fill>
    </dxf>
    <dxf>
      <fill>
        <patternFill patternType="solid">
          <fgColor indexed="2"/>
          <bgColor indexed="2"/>
        </patternFill>
      </fill>
    </dxf>
    <dxf>
      <fill>
        <patternFill patternType="solid">
          <fgColor indexed="2"/>
          <bgColor indexed="22"/>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31"/>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31"/>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31"/>
        </patternFill>
      </fill>
    </dxf>
    <dxf>
      <fill>
        <patternFill patternType="solid">
          <fgColor indexed="10"/>
          <bgColor indexed="31"/>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31"/>
        </patternFill>
      </fill>
    </dxf>
    <dxf>
      <fill>
        <patternFill patternType="solid">
          <fgColor indexed="10"/>
          <bgColor indexed="22"/>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31"/>
        </patternFill>
      </fill>
    </dxf>
    <dxf>
      <fill>
        <patternFill>
          <bgColor rgb="FFFF0000"/>
        </patternFill>
      </fill>
    </dxf>
    <dxf>
      <fill>
        <patternFill>
          <bgColor theme="0" tint="-0.34998626667073579"/>
        </patternFill>
      </fill>
    </dxf>
    <dxf>
      <fill>
        <patternFill>
          <bgColor theme="0" tint="-0.34998626667073579"/>
        </patternFill>
      </fill>
    </dxf>
    <dxf>
      <fill>
        <patternFill>
          <bgColor rgb="FFFF0000"/>
        </patternFill>
      </fill>
    </dxf>
    <dxf>
      <fill>
        <patternFill>
          <bgColor theme="0" tint="-0.34998626667073579"/>
        </patternFill>
      </fill>
    </dxf>
    <dxf>
      <fill>
        <patternFill>
          <bgColor rgb="FFFF0000"/>
        </patternFill>
      </fill>
    </dxf>
    <dxf>
      <fill>
        <patternFill>
          <bgColor theme="0" tint="-0.34998626667073579"/>
        </patternFill>
      </fill>
    </dxf>
    <dxf>
      <fill>
        <patternFill>
          <bgColor rgb="FFFF0000"/>
        </patternFill>
      </fill>
    </dxf>
    <dxf>
      <fill>
        <patternFill>
          <bgColor theme="0" tint="-0.34998626667073579"/>
        </patternFill>
      </fill>
    </dxf>
    <dxf>
      <fill>
        <patternFill>
          <bgColor rgb="FFFF0000"/>
        </patternFill>
      </fill>
    </dxf>
    <dxf>
      <fill>
        <patternFill>
          <bgColor theme="0" tint="-0.34998626667073579"/>
        </patternFill>
      </fill>
    </dxf>
    <dxf>
      <fill>
        <patternFill>
          <bgColor rgb="FFFF000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31"/>
        </patternFill>
      </fill>
    </dxf>
    <dxf>
      <fill>
        <patternFill patternType="solid">
          <fgColor indexed="10"/>
          <bgColor indexed="22"/>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31"/>
        </patternFill>
      </fill>
    </dxf>
    <dxf>
      <fill>
        <patternFill patternType="solid">
          <fgColor indexed="10"/>
          <bgColor indexed="22"/>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31"/>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31"/>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51"/>
        </patternFill>
      </fill>
    </dxf>
    <dxf>
      <fill>
        <patternFill patternType="solid">
          <fgColor indexed="10"/>
          <bgColor indexed="9"/>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31"/>
        </patternFill>
      </fill>
    </dxf>
    <dxf>
      <fill>
        <patternFill patternType="solid">
          <fgColor indexed="10"/>
          <bgColor indexed="51"/>
        </patternFill>
      </fill>
    </dxf>
    <dxf>
      <fill>
        <patternFill patternType="solid">
          <fgColor indexed="10"/>
          <bgColor indexed="9"/>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31"/>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9"/>
        </patternFill>
      </fill>
    </dxf>
    <dxf>
      <fill>
        <patternFill patternType="solid">
          <fgColor indexed="10"/>
          <bgColor indexed="51"/>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9"/>
        </patternFill>
      </fill>
    </dxf>
    <dxf>
      <fill>
        <patternFill patternType="solid">
          <fgColor indexed="10"/>
          <bgColor indexed="51"/>
        </patternFill>
      </fill>
    </dxf>
    <dxf>
      <fill>
        <patternFill patternType="solid">
          <fgColor indexed="10"/>
          <bgColor indexed="10"/>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9"/>
        </patternFill>
      </fill>
    </dxf>
    <dxf>
      <fill>
        <patternFill patternType="solid">
          <fgColor indexed="10"/>
          <bgColor indexed="51"/>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31"/>
        </patternFill>
      </fill>
    </dxf>
    <dxf>
      <fill>
        <patternFill patternType="solid">
          <fgColor indexed="10"/>
          <bgColor indexed="10"/>
        </patternFill>
      </fill>
    </dxf>
    <dxf>
      <fill>
        <patternFill>
          <bgColor theme="0" tint="-0.34998626667073579"/>
        </patternFill>
      </fill>
    </dxf>
    <dxf>
      <fill>
        <patternFill>
          <bgColor theme="0" tint="-0.34998626667073579"/>
        </patternFill>
      </fill>
    </dxf>
    <dxf>
      <fill>
        <patternFill patternType="solid">
          <bgColor rgb="FF92D050"/>
        </patternFill>
      </fill>
    </dxf>
    <dxf>
      <fill>
        <patternFill patternType="solid">
          <bgColor theme="5" tint="0.59999389629810485"/>
        </patternFill>
      </fill>
    </dxf>
    <dxf>
      <fill>
        <patternFill patternType="solid">
          <bgColor rgb="FF92D050"/>
        </patternFill>
      </fill>
    </dxf>
    <dxf>
      <fill>
        <patternFill patternType="solid">
          <bgColor theme="5" tint="0.59999389629810485"/>
        </patternFill>
      </fill>
    </dxf>
    <dxf>
      <fill>
        <patternFill patternType="solid">
          <bgColor rgb="FF92D050"/>
        </patternFill>
      </fill>
    </dxf>
    <dxf>
      <fill>
        <patternFill patternType="solid">
          <bgColor theme="5" tint="0.59999389629810485"/>
        </patternFill>
      </fill>
    </dxf>
    <dxf>
      <fill>
        <patternFill>
          <bgColor theme="0" tint="-0.34998626667073579"/>
        </patternFill>
      </fill>
    </dxf>
    <dxf>
      <fill>
        <patternFill>
          <bgColor theme="0" tint="-0.34998626667073579"/>
        </patternFill>
      </fill>
    </dxf>
    <dxf>
      <fill>
        <patternFill patternType="solid">
          <bgColor rgb="FF92D050"/>
        </patternFill>
      </fill>
    </dxf>
    <dxf>
      <fill>
        <patternFill patternType="solid">
          <bgColor theme="5" tint="0.59999389629810485"/>
        </patternFill>
      </fill>
    </dxf>
    <dxf>
      <fill>
        <patternFill patternType="solid">
          <bgColor rgb="FF92D050"/>
        </patternFill>
      </fill>
    </dxf>
    <dxf>
      <fill>
        <patternFill patternType="solid">
          <bgColor theme="5" tint="0.59999389629810485"/>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22"/>
        </patternFill>
      </fill>
    </dxf>
    <dxf>
      <fill>
        <patternFill patternType="solid">
          <fgColor indexed="10"/>
          <bgColor indexed="10"/>
        </patternFill>
      </fill>
    </dxf>
    <dxf>
      <fill>
        <patternFill patternType="solid">
          <fgColor indexed="10"/>
          <bgColor indexed="31"/>
        </patternFill>
      </fill>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xdr:from>
      <xdr:col>3</xdr:col>
      <xdr:colOff>123825</xdr:colOff>
      <xdr:row>3</xdr:row>
      <xdr:rowOff>57150</xdr:rowOff>
    </xdr:from>
    <xdr:to>
      <xdr:col>4</xdr:col>
      <xdr:colOff>1399235</xdr:colOff>
      <xdr:row>4</xdr:row>
      <xdr:rowOff>1095376</xdr:rowOff>
    </xdr:to>
    <xdr:pic>
      <xdr:nvPicPr>
        <xdr:cNvPr id="2" name="Picture 291">
          <a:extLst>
            <a:ext uri="{FF2B5EF4-FFF2-40B4-BE49-F238E27FC236}">
              <a16:creationId xmlns:a16="http://schemas.microsoft.com/office/drawing/2014/main" id="{45BD248E-576E-4676-93A6-57256B7136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5" t="-8" r="-5" b="-8"/>
        <a:stretch>
          <a:fillRect/>
        </a:stretch>
      </xdr:blipFill>
      <xdr:spPr bwMode="auto">
        <a:xfrm>
          <a:off x="4638675" y="657225"/>
          <a:ext cx="1999310" cy="1495426"/>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492026</xdr:colOff>
      <xdr:row>55</xdr:row>
      <xdr:rowOff>304800</xdr:rowOff>
    </xdr:from>
    <xdr:to>
      <xdr:col>13</xdr:col>
      <xdr:colOff>952500</xdr:colOff>
      <xdr:row>121</xdr:row>
      <xdr:rowOff>347576</xdr:rowOff>
    </xdr:to>
    <xdr:pic>
      <xdr:nvPicPr>
        <xdr:cNvPr id="2" name="圖片 1">
          <a:extLst>
            <a:ext uri="{FF2B5EF4-FFF2-40B4-BE49-F238E27FC236}">
              <a16:creationId xmlns:a16="http://schemas.microsoft.com/office/drawing/2014/main" id="{AECAB9F4-D032-47A6-BC02-0000A78FD4E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6947" t="6191" r="22007" b="7561"/>
        <a:stretch/>
      </xdr:blipFill>
      <xdr:spPr>
        <a:xfrm>
          <a:off x="17446526" y="16954500"/>
          <a:ext cx="5375374" cy="20241491"/>
        </a:xfrm>
        <a:prstGeom prst="rect">
          <a:avLst/>
        </a:prstGeom>
      </xdr:spPr>
    </xdr:pic>
    <xdr:clientData/>
  </xdr:twoCellAnchor>
  <xdr:twoCellAnchor>
    <xdr:from>
      <xdr:col>2</xdr:col>
      <xdr:colOff>1247775</xdr:colOff>
      <xdr:row>24</xdr:row>
      <xdr:rowOff>152399</xdr:rowOff>
    </xdr:from>
    <xdr:to>
      <xdr:col>3</xdr:col>
      <xdr:colOff>2486025</xdr:colOff>
      <xdr:row>29</xdr:row>
      <xdr:rowOff>342899</xdr:rowOff>
    </xdr:to>
    <xdr:sp macro="" textlink="">
      <xdr:nvSpPr>
        <xdr:cNvPr id="3" name="雙波浪 2">
          <a:extLst>
            <a:ext uri="{FF2B5EF4-FFF2-40B4-BE49-F238E27FC236}">
              <a16:creationId xmlns:a16="http://schemas.microsoft.com/office/drawing/2014/main" id="{CDC859C6-314F-47AA-9D7D-D117F77DB4C2}"/>
            </a:ext>
          </a:extLst>
        </xdr:cNvPr>
        <xdr:cNvSpPr/>
      </xdr:nvSpPr>
      <xdr:spPr>
        <a:xfrm>
          <a:off x="4086225" y="2409824"/>
          <a:ext cx="3648075" cy="1190625"/>
        </a:xfrm>
        <a:prstGeom prst="doubleWave">
          <a:avLst/>
        </a:prstGeom>
        <a:gradFill rotWithShape="0">
          <a:gsLst>
            <a:gs pos="0">
              <a:srgbClr val="BBD5F0"/>
            </a:gs>
            <a:gs pos="100000">
              <a:srgbClr val="9CBEE0"/>
            </a:gs>
          </a:gsLst>
          <a:lin ang="5400000" scaled="0"/>
        </a:gradFill>
        <a:ln w="15875" cap="flat" cmpd="sng" algn="ctr">
          <a:solidFill>
            <a:srgbClr val="739CC3">
              <a:alpha val="100000"/>
            </a:srgbClr>
          </a:solidFill>
          <a:prstDash val="solid"/>
          <a:miter lim="200000"/>
        </a:ln>
      </xdr:spPr>
      <xdr:txBody>
        <a:bodyPr rot="0" vertOverflow="overflow" vert="horz" rtlCol="0" anchor="ctr"/>
        <a:lstStyle/>
        <a:p>
          <a:pPr algn="ctr"/>
          <a:r>
            <a:rPr lang="zh-TW" altLang="en-US" sz="4000"/>
            <a:t>可與</a:t>
          </a:r>
          <a:r>
            <a:rPr lang="en-US" altLang="zh-TW" sz="4000"/>
            <a:t>APS</a:t>
          </a:r>
          <a:r>
            <a:rPr lang="zh-TW" altLang="en-US" sz="4000"/>
            <a:t>合併執行</a:t>
          </a:r>
        </a:p>
      </xdr:txBody>
    </xdr:sp>
    <xdr:clientData/>
  </xdr:twoCellAnchor>
  <xdr:twoCellAnchor>
    <xdr:from>
      <xdr:col>5</xdr:col>
      <xdr:colOff>1804147</xdr:colOff>
      <xdr:row>90</xdr:row>
      <xdr:rowOff>1003436</xdr:rowOff>
    </xdr:from>
    <xdr:to>
      <xdr:col>7</xdr:col>
      <xdr:colOff>972874</xdr:colOff>
      <xdr:row>99</xdr:row>
      <xdr:rowOff>168088</xdr:rowOff>
    </xdr:to>
    <xdr:sp macro="" textlink="">
      <xdr:nvSpPr>
        <xdr:cNvPr id="4" name="文字方塊 3">
          <a:extLst>
            <a:ext uri="{FF2B5EF4-FFF2-40B4-BE49-F238E27FC236}">
              <a16:creationId xmlns:a16="http://schemas.microsoft.com/office/drawing/2014/main" id="{0FA1B3EE-DF87-42E9-941D-E79DCB92C14F}"/>
            </a:ext>
          </a:extLst>
        </xdr:cNvPr>
        <xdr:cNvSpPr txBox="1"/>
      </xdr:nvSpPr>
      <xdr:spPr>
        <a:xfrm>
          <a:off x="14119972" y="25215986"/>
          <a:ext cx="4483677" cy="207930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zh-TW" altLang="en-US" sz="1400">
              <a:solidFill>
                <a:schemeClr val="dk1"/>
              </a:solidFill>
              <a:effectLst/>
              <a:latin typeface="微軟正黑體" panose="020B0604030504040204" pitchFamily="34" charset="-120"/>
              <a:ea typeface="微軟正黑體" panose="020B0604030504040204" pitchFamily="34" charset="-120"/>
              <a:cs typeface="+mn-cs"/>
            </a:rPr>
            <a:t>參照 </a:t>
          </a:r>
          <a:r>
            <a:rPr lang="en-US" altLang="zh-TW" sz="1400">
              <a:solidFill>
                <a:schemeClr val="dk1"/>
              </a:solidFill>
              <a:effectLst/>
              <a:latin typeface="微軟正黑體" panose="020B0604030504040204" pitchFamily="34" charset="-120"/>
              <a:ea typeface="微軟正黑體" panose="020B0604030504040204" pitchFamily="34" charset="-120"/>
              <a:cs typeface="+mn-cs"/>
            </a:rPr>
            <a:t>Model Code </a:t>
          </a:r>
          <a:r>
            <a:rPr lang="zh-TW" altLang="en-US" sz="1400" baseline="0">
              <a:latin typeface="微軟正黑體" panose="020B0604030504040204" pitchFamily="34" charset="-120"/>
              <a:ea typeface="微軟正黑體" panose="020B0604030504040204" pitchFamily="34" charset="-120"/>
            </a:rPr>
            <a:t>第七碼 </a:t>
          </a:r>
          <a:r>
            <a:rPr lang="en-US" altLang="zh-TW" sz="1400" baseline="0">
              <a:latin typeface="微軟正黑體" panose="020B0604030504040204" pitchFamily="34" charset="-120"/>
              <a:ea typeface="微軟正黑體" panose="020B0604030504040204" pitchFamily="34" charset="-120"/>
            </a:rPr>
            <a:t>(A</a:t>
          </a:r>
          <a:r>
            <a:rPr lang="zh-TW" altLang="en-US" sz="1400" baseline="0">
              <a:latin typeface="微軟正黑體" panose="020B0604030504040204" pitchFamily="34" charset="-120"/>
              <a:ea typeface="微軟正黑體" panose="020B0604030504040204" pitchFamily="34" charset="-120"/>
            </a:rPr>
            <a:t>、</a:t>
          </a:r>
          <a:r>
            <a:rPr lang="en-US" altLang="zh-TW" sz="1400" baseline="0">
              <a:latin typeface="微軟正黑體" panose="020B0604030504040204" pitchFamily="34" charset="-120"/>
              <a:ea typeface="微軟正黑體" panose="020B0604030504040204" pitchFamily="34" charset="-120"/>
            </a:rPr>
            <a:t>B</a:t>
          </a:r>
          <a:r>
            <a:rPr lang="zh-TW" altLang="en-US" sz="1400" baseline="0">
              <a:latin typeface="微軟正黑體" panose="020B0604030504040204" pitchFamily="34" charset="-120"/>
              <a:ea typeface="微軟正黑體" panose="020B0604030504040204" pitchFamily="34" charset="-120"/>
            </a:rPr>
            <a:t>、</a:t>
          </a:r>
          <a:r>
            <a:rPr lang="en-US" altLang="zh-TW" sz="1400" baseline="0">
              <a:latin typeface="微軟正黑體" panose="020B0604030504040204" pitchFamily="34" charset="-120"/>
              <a:ea typeface="微軟正黑體" panose="020B0604030504040204" pitchFamily="34" charset="-120"/>
            </a:rPr>
            <a:t>C)</a:t>
          </a:r>
          <a:r>
            <a:rPr lang="zh-TW" altLang="en-US" sz="1400" baseline="0">
              <a:latin typeface="微軟正黑體" panose="020B0604030504040204" pitchFamily="34" charset="-120"/>
              <a:ea typeface="微軟正黑體" panose="020B0604030504040204" pitchFamily="34" charset="-120"/>
            </a:rPr>
            <a:t> ，設定參數值</a:t>
          </a:r>
          <a:br>
            <a:rPr lang="en-US" altLang="zh-TW" sz="1400" baseline="0">
              <a:latin typeface="微軟正黑體" panose="020B0604030504040204" pitchFamily="34" charset="-120"/>
              <a:ea typeface="微軟正黑體" panose="020B0604030504040204" pitchFamily="34" charset="-120"/>
            </a:rPr>
          </a:br>
          <a:r>
            <a:rPr lang="en-US" altLang="zh-TW" sz="1400" baseline="0">
              <a:latin typeface="微軟正黑體" panose="020B0604030504040204" pitchFamily="34" charset="-120"/>
              <a:ea typeface="微軟正黑體" panose="020B0604030504040204" pitchFamily="34" charset="-120"/>
            </a:rPr>
            <a:t>A:</a:t>
          </a:r>
          <a:r>
            <a:rPr lang="zh-TW" altLang="en-US" sz="1400" baseline="0">
              <a:latin typeface="微軟正黑體" panose="020B0604030504040204" pitchFamily="34" charset="-120"/>
              <a:ea typeface="微軟正黑體" panose="020B0604030504040204" pitchFamily="34" charset="-120"/>
            </a:rPr>
            <a:t> </a:t>
          </a:r>
          <a:r>
            <a:rPr lang="en-US" altLang="zh-TW" sz="1400">
              <a:solidFill>
                <a:schemeClr val="dk1"/>
              </a:solidFill>
              <a:effectLst/>
              <a:latin typeface="微軟正黑體" panose="020B0604030504040204" pitchFamily="34" charset="-120"/>
              <a:ea typeface="微軟正黑體" panose="020B0604030504040204" pitchFamily="34" charset="-120"/>
              <a:cs typeface="+mn-cs"/>
            </a:rPr>
            <a:t>0x01 (FWD) </a:t>
          </a:r>
          <a:endParaRPr lang="zh-TW" altLang="zh-TW" sz="1400">
            <a:effectLst/>
            <a:latin typeface="微軟正黑體" panose="020B0604030504040204" pitchFamily="34" charset="-120"/>
            <a:ea typeface="微軟正黑體" panose="020B0604030504040204" pitchFamily="34" charset="-120"/>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zh-TW" sz="1400" baseline="0">
              <a:latin typeface="微軟正黑體" panose="020B0604030504040204" pitchFamily="34" charset="-120"/>
              <a:ea typeface="微軟正黑體" panose="020B0604030504040204" pitchFamily="34" charset="-120"/>
            </a:rPr>
            <a:t>B:</a:t>
          </a:r>
          <a:r>
            <a:rPr lang="zh-TW" altLang="en-US" sz="1400" baseline="0">
              <a:latin typeface="微軟正黑體" panose="020B0604030504040204" pitchFamily="34" charset="-120"/>
              <a:ea typeface="微軟正黑體" panose="020B0604030504040204" pitchFamily="34" charset="-120"/>
            </a:rPr>
            <a:t> </a:t>
          </a:r>
          <a:r>
            <a:rPr lang="en-US" altLang="zh-TW" sz="1400">
              <a:solidFill>
                <a:schemeClr val="dk1"/>
              </a:solidFill>
              <a:effectLst/>
              <a:latin typeface="微軟正黑體" panose="020B0604030504040204" pitchFamily="34" charset="-120"/>
              <a:ea typeface="微軟正黑體" panose="020B0604030504040204" pitchFamily="34" charset="-120"/>
              <a:cs typeface="+mn-cs"/>
            </a:rPr>
            <a:t>0x02 (AWD)</a:t>
          </a:r>
          <a:endParaRPr lang="zh-TW" altLang="zh-TW" sz="1400">
            <a:effectLst/>
            <a:latin typeface="微軟正黑體" panose="020B0604030504040204" pitchFamily="34" charset="-120"/>
            <a:ea typeface="微軟正黑體" panose="020B0604030504040204" pitchFamily="34" charset="-120"/>
          </a:endParaRPr>
        </a:p>
        <a:p>
          <a:r>
            <a:rPr lang="en-US" altLang="zh-TW" sz="1400">
              <a:latin typeface="微軟正黑體" panose="020B0604030504040204" pitchFamily="34" charset="-120"/>
              <a:ea typeface="微軟正黑體" panose="020B0604030504040204" pitchFamily="34" charset="-120"/>
            </a:rPr>
            <a:t>C:</a:t>
          </a:r>
          <a:r>
            <a:rPr lang="zh-TW" altLang="en-US" sz="1400">
              <a:latin typeface="微軟正黑體" panose="020B0604030504040204" pitchFamily="34" charset="-120"/>
              <a:ea typeface="微軟正黑體" panose="020B0604030504040204" pitchFamily="34" charset="-120"/>
            </a:rPr>
            <a:t> </a:t>
          </a:r>
          <a:r>
            <a:rPr lang="en-US" altLang="zh-TW" sz="1400">
              <a:latin typeface="微軟正黑體" panose="020B0604030504040204" pitchFamily="34" charset="-120"/>
              <a:ea typeface="微軟正黑體" panose="020B0604030504040204" pitchFamily="34" charset="-120"/>
            </a:rPr>
            <a:t>0x00</a:t>
          </a:r>
          <a:r>
            <a:rPr lang="en-US" altLang="zh-TW" sz="1400" baseline="0">
              <a:latin typeface="微軟正黑體" panose="020B0604030504040204" pitchFamily="34" charset="-120"/>
              <a:ea typeface="微軟正黑體" panose="020B0604030504040204" pitchFamily="34" charset="-120"/>
            </a:rPr>
            <a:t> (</a:t>
          </a:r>
          <a:r>
            <a:rPr lang="en-US" altLang="zh-TW" sz="1400">
              <a:latin typeface="微軟正黑體" panose="020B0604030504040204" pitchFamily="34" charset="-120"/>
              <a:ea typeface="微軟正黑體" panose="020B0604030504040204" pitchFamily="34" charset="-120"/>
            </a:rPr>
            <a:t>RWD) </a:t>
          </a:r>
        </a:p>
        <a:p>
          <a:endParaRPr lang="en-US" altLang="zh-TW" sz="1400">
            <a:latin typeface="微軟正黑體" panose="020B0604030504040204" pitchFamily="34" charset="-120"/>
            <a:ea typeface="微軟正黑體" panose="020B0604030504040204" pitchFamily="34" charset="-120"/>
          </a:endParaRPr>
        </a:p>
        <a:p>
          <a:r>
            <a:rPr lang="en-US" altLang="zh-TW" sz="1400">
              <a:latin typeface="微軟正黑體" panose="020B0604030504040204" pitchFamily="34" charset="-120"/>
              <a:ea typeface="微軟正黑體" panose="020B0604030504040204" pitchFamily="34" charset="-120"/>
            </a:rPr>
            <a:t>ex: model code  = D31JHPC B11B-----</a:t>
          </a:r>
        </a:p>
        <a:p>
          <a:r>
            <a:rPr lang="en-US" altLang="zh-TW" sz="1400">
              <a:latin typeface="微軟正黑體" panose="020B0604030504040204" pitchFamily="34" charset="-120"/>
              <a:ea typeface="微軟正黑體" panose="020B0604030504040204" pitchFamily="34" charset="-120"/>
            </a:rPr>
            <a:t>tester: 2E 02 01 00</a:t>
          </a:r>
        </a:p>
        <a:p>
          <a:endParaRPr lang="zh-TW" altLang="en-US" sz="1400">
            <a:latin typeface="微軟正黑體" panose="020B0604030504040204" pitchFamily="34" charset="-120"/>
            <a:ea typeface="微軟正黑體" panose="020B0604030504040204" pitchFamily="34" charset="-120"/>
          </a:endParaRPr>
        </a:p>
      </xdr:txBody>
    </xdr:sp>
    <xdr:clientData/>
  </xdr:twoCellAnchor>
  <xdr:twoCellAnchor>
    <xdr:from>
      <xdr:col>3</xdr:col>
      <xdr:colOff>3300150</xdr:colOff>
      <xdr:row>98</xdr:row>
      <xdr:rowOff>142985</xdr:rowOff>
    </xdr:from>
    <xdr:to>
      <xdr:col>5</xdr:col>
      <xdr:colOff>1809535</xdr:colOff>
      <xdr:row>99</xdr:row>
      <xdr:rowOff>175261</xdr:rowOff>
    </xdr:to>
    <xdr:sp macro="" textlink="">
      <xdr:nvSpPr>
        <xdr:cNvPr id="5" name="箭號: 向下 4">
          <a:extLst>
            <a:ext uri="{FF2B5EF4-FFF2-40B4-BE49-F238E27FC236}">
              <a16:creationId xmlns:a16="http://schemas.microsoft.com/office/drawing/2014/main" id="{FB28E89C-2F21-4198-8278-645CE05CC6C6}"/>
            </a:ext>
          </a:extLst>
        </xdr:cNvPr>
        <xdr:cNvSpPr/>
      </xdr:nvSpPr>
      <xdr:spPr>
        <a:xfrm rot="4911730" flipH="1">
          <a:off x="11225505" y="24402605"/>
          <a:ext cx="222776" cy="5576935"/>
        </a:xfrm>
        <a:prstGeom prst="downArrow">
          <a:avLst/>
        </a:prstGeom>
        <a:gradFill rotWithShape="0">
          <a:gsLst>
            <a:gs pos="0">
              <a:srgbClr val="BBD5F0"/>
            </a:gs>
            <a:gs pos="100000">
              <a:srgbClr val="9CBEE0"/>
            </a:gs>
          </a:gsLst>
          <a:lin ang="5400000" scaled="0"/>
        </a:gradFill>
        <a:ln w="15875" cap="flat" cmpd="sng" algn="ctr">
          <a:solidFill>
            <a:srgbClr val="739CC3">
              <a:alpha val="100000"/>
            </a:srgbClr>
          </a:solidFill>
          <a:prstDash val="solid"/>
          <a:miter lim="200000"/>
        </a:ln>
      </xdr:spPr>
      <xdr:txBody>
        <a:bodyPr rot="0" vertOverflow="overflow" vert="horz" rtlCol="0" anchor="t"/>
        <a:lstStyle/>
        <a:p>
          <a:pPr algn="l"/>
          <a:endParaRPr lang="zh-TW" altLang="en-US" sz="1100"/>
        </a:p>
      </xdr:txBody>
    </xdr:sp>
    <xdr:clientData/>
  </xdr:twoCellAnchor>
  <xdr:twoCellAnchor>
    <xdr:from>
      <xdr:col>6</xdr:col>
      <xdr:colOff>50618</xdr:colOff>
      <xdr:row>123</xdr:row>
      <xdr:rowOff>19867</xdr:rowOff>
    </xdr:from>
    <xdr:to>
      <xdr:col>6</xdr:col>
      <xdr:colOff>2086746</xdr:colOff>
      <xdr:row>124</xdr:row>
      <xdr:rowOff>40159</xdr:rowOff>
    </xdr:to>
    <xdr:sp macro="" textlink="">
      <xdr:nvSpPr>
        <xdr:cNvPr id="6" name="文字方塊 5">
          <a:extLst>
            <a:ext uri="{FF2B5EF4-FFF2-40B4-BE49-F238E27FC236}">
              <a16:creationId xmlns:a16="http://schemas.microsoft.com/office/drawing/2014/main" id="{DAAFB87E-A0EC-45A8-9696-5D051D350E8B}"/>
            </a:ext>
          </a:extLst>
        </xdr:cNvPr>
        <xdr:cNvSpPr txBox="1"/>
      </xdr:nvSpPr>
      <xdr:spPr>
        <a:xfrm>
          <a:off x="14938193" y="32785867"/>
          <a:ext cx="2036128" cy="439392"/>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 was</a:t>
          </a:r>
          <a:r>
            <a:rPr lang="en-US" altLang="zh-TW" sz="1100" baseline="0">
              <a:solidFill>
                <a:srgbClr val="FF0000"/>
              </a:solidFill>
            </a:rPr>
            <a:t> generated by OPENSSL or HSE.</a:t>
          </a:r>
          <a:endParaRPr lang="zh-TW" altLang="en-US" sz="1100">
            <a:solidFill>
              <a:srgbClr val="FF0000"/>
            </a:solidFill>
          </a:endParaRPr>
        </a:p>
      </xdr:txBody>
    </xdr:sp>
    <xdr:clientData/>
  </xdr:twoCellAnchor>
  <xdr:twoCellAnchor>
    <xdr:from>
      <xdr:col>6</xdr:col>
      <xdr:colOff>110763</xdr:colOff>
      <xdr:row>144</xdr:row>
      <xdr:rowOff>57241</xdr:rowOff>
    </xdr:from>
    <xdr:to>
      <xdr:col>6</xdr:col>
      <xdr:colOff>2015889</xdr:colOff>
      <xdr:row>145</xdr:row>
      <xdr:rowOff>100104</xdr:rowOff>
    </xdr:to>
    <xdr:sp macro="" textlink="">
      <xdr:nvSpPr>
        <xdr:cNvPr id="7" name="文字方塊 6">
          <a:extLst>
            <a:ext uri="{FF2B5EF4-FFF2-40B4-BE49-F238E27FC236}">
              <a16:creationId xmlns:a16="http://schemas.microsoft.com/office/drawing/2014/main" id="{D78AE1A3-0EBF-472C-AAF8-DBD9CE37FADD}"/>
            </a:ext>
          </a:extLst>
        </xdr:cNvPr>
        <xdr:cNvSpPr txBox="1"/>
      </xdr:nvSpPr>
      <xdr:spPr>
        <a:xfrm>
          <a:off x="14998338" y="38395366"/>
          <a:ext cx="1905126" cy="461963"/>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a:t>
          </a:r>
          <a:r>
            <a:rPr lang="zh-TW" altLang="en-US" sz="1100">
              <a:solidFill>
                <a:srgbClr val="FF0000"/>
              </a:solidFill>
            </a:rPr>
            <a:t> </a:t>
          </a:r>
          <a:r>
            <a:rPr lang="en-US" altLang="zh-TW" sz="1100">
              <a:solidFill>
                <a:srgbClr val="FF0000"/>
              </a:solidFill>
            </a:rPr>
            <a:t>was</a:t>
          </a:r>
          <a:r>
            <a:rPr lang="en-US" altLang="zh-TW" sz="1100" baseline="0">
              <a:solidFill>
                <a:srgbClr val="FF0000"/>
              </a:solidFill>
            </a:rPr>
            <a:t> generated by VND Server itself</a:t>
          </a:r>
          <a:endParaRPr lang="zh-TW" altLang="en-US" sz="1100">
            <a:solidFill>
              <a:srgbClr val="FF0000"/>
            </a:solidFill>
          </a:endParaRPr>
        </a:p>
      </xdr:txBody>
    </xdr:sp>
    <xdr:clientData/>
  </xdr:twoCellAnchor>
  <xdr:twoCellAnchor>
    <xdr:from>
      <xdr:col>6</xdr:col>
      <xdr:colOff>135617</xdr:colOff>
      <xdr:row>191</xdr:row>
      <xdr:rowOff>19504</xdr:rowOff>
    </xdr:from>
    <xdr:to>
      <xdr:col>7</xdr:col>
      <xdr:colOff>680356</xdr:colOff>
      <xdr:row>192</xdr:row>
      <xdr:rowOff>72875</xdr:rowOff>
    </xdr:to>
    <xdr:sp macro="" textlink="">
      <xdr:nvSpPr>
        <xdr:cNvPr id="8" name="文字方塊 7">
          <a:extLst>
            <a:ext uri="{FF2B5EF4-FFF2-40B4-BE49-F238E27FC236}">
              <a16:creationId xmlns:a16="http://schemas.microsoft.com/office/drawing/2014/main" id="{FAA91D87-4332-440A-A922-48083B89B763}"/>
            </a:ext>
          </a:extLst>
        </xdr:cNvPr>
        <xdr:cNvSpPr txBox="1"/>
      </xdr:nvSpPr>
      <xdr:spPr>
        <a:xfrm>
          <a:off x="15023192" y="51054454"/>
          <a:ext cx="3287939" cy="472471"/>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 was</a:t>
          </a:r>
          <a:r>
            <a:rPr lang="en-US" altLang="zh-TW" sz="1100" baseline="0">
              <a:solidFill>
                <a:srgbClr val="FF0000"/>
              </a:solidFill>
            </a:rPr>
            <a:t> generated by Connectivity Client itself</a:t>
          </a:r>
        </a:p>
        <a:p>
          <a:endParaRPr lang="zh-TW" altLang="en-US" sz="1100">
            <a:solidFill>
              <a:srgbClr val="FF0000"/>
            </a:solidFill>
          </a:endParaRPr>
        </a:p>
      </xdr:txBody>
    </xdr:sp>
    <xdr:clientData/>
  </xdr:twoCellAnchor>
  <xdr:twoCellAnchor>
    <xdr:from>
      <xdr:col>6</xdr:col>
      <xdr:colOff>136525</xdr:colOff>
      <xdr:row>196</xdr:row>
      <xdr:rowOff>132895</xdr:rowOff>
    </xdr:from>
    <xdr:to>
      <xdr:col>7</xdr:col>
      <xdr:colOff>1279070</xdr:colOff>
      <xdr:row>197</xdr:row>
      <xdr:rowOff>244927</xdr:rowOff>
    </xdr:to>
    <xdr:sp macro="" textlink="">
      <xdr:nvSpPr>
        <xdr:cNvPr id="9" name="文字方塊 8">
          <a:extLst>
            <a:ext uri="{FF2B5EF4-FFF2-40B4-BE49-F238E27FC236}">
              <a16:creationId xmlns:a16="http://schemas.microsoft.com/office/drawing/2014/main" id="{59BB75E0-F1E2-48EC-9CE9-E007B2190C56}"/>
            </a:ext>
            <a:ext uri="{147F2762-F138-4A5C-976F-8EAC2B608ADB}">
              <a16:predDERef xmlns:a16="http://schemas.microsoft.com/office/drawing/2014/main" pred="{76D74CF3-965A-41C6-ACE7-E83E4E0275A3}"/>
            </a:ext>
          </a:extLst>
        </xdr:cNvPr>
        <xdr:cNvSpPr txBox="1"/>
      </xdr:nvSpPr>
      <xdr:spPr>
        <a:xfrm>
          <a:off x="15024100" y="52844245"/>
          <a:ext cx="3885745" cy="531132"/>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 was generated by Connectivity Client itself</a:t>
          </a:r>
        </a:p>
      </xdr:txBody>
    </xdr:sp>
    <xdr:clientData/>
  </xdr:twoCellAnchor>
  <xdr:twoCellAnchor>
    <xdr:from>
      <xdr:col>6</xdr:col>
      <xdr:colOff>249374</xdr:colOff>
      <xdr:row>217</xdr:row>
      <xdr:rowOff>6713</xdr:rowOff>
    </xdr:from>
    <xdr:to>
      <xdr:col>7</xdr:col>
      <xdr:colOff>798286</xdr:colOff>
      <xdr:row>218</xdr:row>
      <xdr:rowOff>136073</xdr:rowOff>
    </xdr:to>
    <xdr:sp macro="" textlink="">
      <xdr:nvSpPr>
        <xdr:cNvPr id="10" name="文字方塊 9">
          <a:extLst>
            <a:ext uri="{FF2B5EF4-FFF2-40B4-BE49-F238E27FC236}">
              <a16:creationId xmlns:a16="http://schemas.microsoft.com/office/drawing/2014/main" id="{EE6EC068-ED51-49B4-93F7-EEBB365710CC}"/>
            </a:ext>
          </a:extLst>
        </xdr:cNvPr>
        <xdr:cNvSpPr txBox="1"/>
      </xdr:nvSpPr>
      <xdr:spPr>
        <a:xfrm>
          <a:off x="15136949" y="58290188"/>
          <a:ext cx="3292112" cy="54846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a:t>
          </a:r>
          <a:r>
            <a:rPr lang="zh-TW" altLang="en-US" sz="1100">
              <a:solidFill>
                <a:srgbClr val="FF0000"/>
              </a:solidFill>
            </a:rPr>
            <a:t> </a:t>
          </a:r>
          <a:r>
            <a:rPr lang="en-US" altLang="zh-TW" sz="1100">
              <a:solidFill>
                <a:srgbClr val="FF0000"/>
              </a:solidFill>
            </a:rPr>
            <a:t>was</a:t>
          </a:r>
          <a:r>
            <a:rPr lang="en-US" altLang="zh-TW" sz="1100" baseline="0">
              <a:solidFill>
                <a:srgbClr val="FF0000"/>
              </a:solidFill>
            </a:rPr>
            <a:t> generated by OPENSSL or HSE.</a:t>
          </a:r>
          <a:endParaRPr lang="zh-TW" altLang="en-US" sz="1100">
            <a:solidFill>
              <a:srgbClr val="FF0000"/>
            </a:solidFill>
          </a:endParaRPr>
        </a:p>
      </xdr:txBody>
    </xdr:sp>
    <xdr:clientData/>
  </xdr:twoCellAnchor>
  <xdr:twoCellAnchor>
    <xdr:from>
      <xdr:col>6</xdr:col>
      <xdr:colOff>247922</xdr:colOff>
      <xdr:row>228</xdr:row>
      <xdr:rowOff>139337</xdr:rowOff>
    </xdr:from>
    <xdr:to>
      <xdr:col>7</xdr:col>
      <xdr:colOff>1052285</xdr:colOff>
      <xdr:row>229</xdr:row>
      <xdr:rowOff>172357</xdr:rowOff>
    </xdr:to>
    <xdr:sp macro="" textlink="">
      <xdr:nvSpPr>
        <xdr:cNvPr id="11" name="文字方塊 10">
          <a:extLst>
            <a:ext uri="{FF2B5EF4-FFF2-40B4-BE49-F238E27FC236}">
              <a16:creationId xmlns:a16="http://schemas.microsoft.com/office/drawing/2014/main" id="{37B117D9-9F0D-49F5-81CE-B18F9C29CB06}"/>
            </a:ext>
            <a:ext uri="{147F2762-F138-4A5C-976F-8EAC2B608ADB}">
              <a16:predDERef xmlns:a16="http://schemas.microsoft.com/office/drawing/2014/main" pred="{507353D0-0CF4-4393-B570-6B8DDEE525BD}"/>
            </a:ext>
          </a:extLst>
        </xdr:cNvPr>
        <xdr:cNvSpPr txBox="1"/>
      </xdr:nvSpPr>
      <xdr:spPr>
        <a:xfrm>
          <a:off x="15135497" y="61985162"/>
          <a:ext cx="3547563" cy="45212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a:t>
          </a:r>
          <a:r>
            <a:rPr lang="zh-TW" altLang="en-US" sz="1100">
              <a:solidFill>
                <a:srgbClr val="FF0000"/>
              </a:solidFill>
            </a:rPr>
            <a:t> </a:t>
          </a:r>
          <a:r>
            <a:rPr lang="en-US" altLang="zh-TW" sz="1100">
              <a:solidFill>
                <a:srgbClr val="FF0000"/>
              </a:solidFill>
            </a:rPr>
            <a:t>was</a:t>
          </a:r>
          <a:r>
            <a:rPr lang="en-US" altLang="zh-TW" sz="1100" baseline="0">
              <a:solidFill>
                <a:srgbClr val="FF0000"/>
              </a:solidFill>
            </a:rPr>
            <a:t> generated by OPENSSL or HSE.</a:t>
          </a:r>
          <a:endParaRPr lang="zh-TW" altLang="en-US" sz="1100">
            <a:solidFill>
              <a:srgbClr val="FF0000"/>
            </a:solidFill>
          </a:endParaRPr>
        </a:p>
      </xdr:txBody>
    </xdr:sp>
    <xdr:clientData/>
  </xdr:twoCellAnchor>
  <xdr:twoCellAnchor>
    <xdr:from>
      <xdr:col>5</xdr:col>
      <xdr:colOff>1784849</xdr:colOff>
      <xdr:row>254</xdr:row>
      <xdr:rowOff>26370</xdr:rowOff>
    </xdr:from>
    <xdr:to>
      <xdr:col>6</xdr:col>
      <xdr:colOff>1605244</xdr:colOff>
      <xdr:row>255</xdr:row>
      <xdr:rowOff>25624</xdr:rowOff>
    </xdr:to>
    <xdr:sp macro="" textlink="">
      <xdr:nvSpPr>
        <xdr:cNvPr id="12" name="文字方塊 11">
          <a:extLst>
            <a:ext uri="{FF2B5EF4-FFF2-40B4-BE49-F238E27FC236}">
              <a16:creationId xmlns:a16="http://schemas.microsoft.com/office/drawing/2014/main" id="{AF10122C-A56B-4504-AD54-56A56224879F}"/>
            </a:ext>
            <a:ext uri="{147F2762-F138-4A5C-976F-8EAC2B608ADB}">
              <a16:predDERef xmlns:a16="http://schemas.microsoft.com/office/drawing/2014/main" pred="{78C8B5DF-084A-4D5E-9AE2-ACD5AF3B2C28}"/>
            </a:ext>
          </a:extLst>
        </xdr:cNvPr>
        <xdr:cNvSpPr txBox="1"/>
      </xdr:nvSpPr>
      <xdr:spPr>
        <a:xfrm>
          <a:off x="14100674" y="69120720"/>
          <a:ext cx="2392145" cy="41835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a:t>
          </a:r>
          <a:r>
            <a:rPr lang="zh-TW" altLang="en-US" sz="1100">
              <a:solidFill>
                <a:srgbClr val="FF0000"/>
              </a:solidFill>
            </a:rPr>
            <a:t> </a:t>
          </a:r>
          <a:r>
            <a:rPr lang="en-US" altLang="zh-TW" sz="1100">
              <a:solidFill>
                <a:srgbClr val="FF0000"/>
              </a:solidFill>
            </a:rPr>
            <a:t>was</a:t>
          </a:r>
          <a:r>
            <a:rPr lang="en-US" altLang="zh-TW" sz="1100" baseline="0">
              <a:solidFill>
                <a:srgbClr val="FF0000"/>
              </a:solidFill>
            </a:rPr>
            <a:t> generated by OTA Service</a:t>
          </a:r>
        </a:p>
        <a:p>
          <a:endParaRPr lang="zh-TW" altLang="en-US" sz="1100">
            <a:solidFill>
              <a:srgbClr val="FF0000"/>
            </a:solidFill>
          </a:endParaRPr>
        </a:p>
      </xdr:txBody>
    </xdr:sp>
    <xdr:clientData/>
  </xdr:twoCellAnchor>
  <xdr:twoCellAnchor>
    <xdr:from>
      <xdr:col>6</xdr:col>
      <xdr:colOff>50617</xdr:colOff>
      <xdr:row>172</xdr:row>
      <xdr:rowOff>19867</xdr:rowOff>
    </xdr:from>
    <xdr:to>
      <xdr:col>7</xdr:col>
      <xdr:colOff>734784</xdr:colOff>
      <xdr:row>175</xdr:row>
      <xdr:rowOff>18142</xdr:rowOff>
    </xdr:to>
    <xdr:sp macro="" textlink="">
      <xdr:nvSpPr>
        <xdr:cNvPr id="13" name="文字方塊 12">
          <a:extLst>
            <a:ext uri="{FF2B5EF4-FFF2-40B4-BE49-F238E27FC236}">
              <a16:creationId xmlns:a16="http://schemas.microsoft.com/office/drawing/2014/main" id="{185865BB-9863-41C8-85D7-86A330D9566C}"/>
            </a:ext>
          </a:extLst>
        </xdr:cNvPr>
        <xdr:cNvSpPr txBox="1"/>
      </xdr:nvSpPr>
      <xdr:spPr>
        <a:xfrm>
          <a:off x="14938192" y="46530442"/>
          <a:ext cx="3427367" cy="98887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 was</a:t>
          </a:r>
          <a:r>
            <a:rPr lang="en-US" altLang="zh-TW" sz="1100" baseline="0">
              <a:solidFill>
                <a:srgbClr val="FF0000"/>
              </a:solidFill>
            </a:rPr>
            <a:t> generated by OPENSSL or HSE.</a:t>
          </a:r>
          <a:endParaRPr lang="zh-TW" altLang="en-US" sz="1100">
            <a:solidFill>
              <a:srgbClr val="FF0000"/>
            </a:solidFill>
          </a:endParaRPr>
        </a:p>
      </xdr:txBody>
    </xdr:sp>
    <xdr:clientData/>
  </xdr:twoCellAnchor>
  <xdr:twoCellAnchor>
    <xdr:from>
      <xdr:col>6</xdr:col>
      <xdr:colOff>354965</xdr:colOff>
      <xdr:row>233</xdr:row>
      <xdr:rowOff>83094</xdr:rowOff>
    </xdr:from>
    <xdr:to>
      <xdr:col>7</xdr:col>
      <xdr:colOff>1159328</xdr:colOff>
      <xdr:row>234</xdr:row>
      <xdr:rowOff>116114</xdr:rowOff>
    </xdr:to>
    <xdr:sp macro="" textlink="">
      <xdr:nvSpPr>
        <xdr:cNvPr id="14" name="文字方塊 13">
          <a:extLst>
            <a:ext uri="{FF2B5EF4-FFF2-40B4-BE49-F238E27FC236}">
              <a16:creationId xmlns:a16="http://schemas.microsoft.com/office/drawing/2014/main" id="{F00BB22A-6FA7-4C90-8971-2F0E1538D326}"/>
            </a:ext>
            <a:ext uri="{147F2762-F138-4A5C-976F-8EAC2B608ADB}">
              <a16:predDERef xmlns:a16="http://schemas.microsoft.com/office/drawing/2014/main" pred="{507353D0-0CF4-4393-B570-6B8DDEE525BD}"/>
            </a:ext>
          </a:extLst>
        </xdr:cNvPr>
        <xdr:cNvSpPr txBox="1"/>
      </xdr:nvSpPr>
      <xdr:spPr>
        <a:xfrm>
          <a:off x="15242540" y="63814869"/>
          <a:ext cx="3547563" cy="45212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a:t>
          </a:r>
          <a:r>
            <a:rPr lang="zh-TW" altLang="en-US" sz="1100">
              <a:solidFill>
                <a:srgbClr val="FF0000"/>
              </a:solidFill>
            </a:rPr>
            <a:t> </a:t>
          </a:r>
          <a:r>
            <a:rPr lang="en-US" altLang="zh-TW" sz="1100">
              <a:solidFill>
                <a:srgbClr val="FF0000"/>
              </a:solidFill>
            </a:rPr>
            <a:t>was</a:t>
          </a:r>
          <a:r>
            <a:rPr lang="en-US" altLang="zh-TW" sz="1100" baseline="0">
              <a:solidFill>
                <a:srgbClr val="FF0000"/>
              </a:solidFill>
            </a:rPr>
            <a:t> generated by OPENSSL or HSE.</a:t>
          </a:r>
          <a:endParaRPr lang="zh-TW" altLang="en-US" sz="1100">
            <a:solidFill>
              <a:srgbClr val="FF0000"/>
            </a:solidFill>
          </a:endParaRPr>
        </a:p>
      </xdr:txBody>
    </xdr:sp>
    <xdr:clientData/>
  </xdr:twoCellAnchor>
  <xdr:twoCellAnchor editAs="oneCell">
    <xdr:from>
      <xdr:col>7</xdr:col>
      <xdr:colOff>1004207</xdr:colOff>
      <xdr:row>387</xdr:row>
      <xdr:rowOff>394135</xdr:rowOff>
    </xdr:from>
    <xdr:to>
      <xdr:col>14</xdr:col>
      <xdr:colOff>258261</xdr:colOff>
      <xdr:row>400</xdr:row>
      <xdr:rowOff>102</xdr:rowOff>
    </xdr:to>
    <xdr:pic>
      <xdr:nvPicPr>
        <xdr:cNvPr id="15" name="圖片 14" descr="一張含有 文字, 圖表, 方案, 工程製圖 的圖片&#10;&#10;自動產生的描述">
          <a:extLst>
            <a:ext uri="{FF2B5EF4-FFF2-40B4-BE49-F238E27FC236}">
              <a16:creationId xmlns:a16="http://schemas.microsoft.com/office/drawing/2014/main" id="{4E550A97-9921-431E-8A94-07A7EC9279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43314" y="139608814"/>
          <a:ext cx="9037863" cy="5920161"/>
        </a:xfrm>
        <a:prstGeom prst="rect">
          <a:avLst/>
        </a:prstGeom>
      </xdr:spPr>
    </xdr:pic>
    <xdr:clientData/>
  </xdr:twoCellAnchor>
  <xdr:twoCellAnchor>
    <xdr:from>
      <xdr:col>6</xdr:col>
      <xdr:colOff>50618</xdr:colOff>
      <xdr:row>297</xdr:row>
      <xdr:rowOff>19867</xdr:rowOff>
    </xdr:from>
    <xdr:to>
      <xdr:col>6</xdr:col>
      <xdr:colOff>2086746</xdr:colOff>
      <xdr:row>298</xdr:row>
      <xdr:rowOff>40159</xdr:rowOff>
    </xdr:to>
    <xdr:sp macro="" textlink="">
      <xdr:nvSpPr>
        <xdr:cNvPr id="16" name="文字方塊 15">
          <a:extLst>
            <a:ext uri="{FF2B5EF4-FFF2-40B4-BE49-F238E27FC236}">
              <a16:creationId xmlns:a16="http://schemas.microsoft.com/office/drawing/2014/main" id="{860A123E-8C6A-466E-AF56-F95FC202426E}"/>
            </a:ext>
          </a:extLst>
        </xdr:cNvPr>
        <xdr:cNvSpPr txBox="1"/>
      </xdr:nvSpPr>
      <xdr:spPr>
        <a:xfrm>
          <a:off x="14938193" y="79753642"/>
          <a:ext cx="2036128" cy="439392"/>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 was</a:t>
          </a:r>
          <a:r>
            <a:rPr lang="en-US" altLang="zh-TW" sz="1100" baseline="0">
              <a:solidFill>
                <a:srgbClr val="FF0000"/>
              </a:solidFill>
            </a:rPr>
            <a:t> generated by OPENSSL or HSE.</a:t>
          </a:r>
          <a:endParaRPr lang="zh-TW" altLang="en-US" sz="1100">
            <a:solidFill>
              <a:srgbClr val="FF0000"/>
            </a:solidFill>
          </a:endParaRPr>
        </a:p>
      </xdr:txBody>
    </xdr:sp>
    <xdr:clientData/>
  </xdr:twoCellAnchor>
  <xdr:twoCellAnchor>
    <xdr:from>
      <xdr:col>6</xdr:col>
      <xdr:colOff>50618</xdr:colOff>
      <xdr:row>370</xdr:row>
      <xdr:rowOff>19867</xdr:rowOff>
    </xdr:from>
    <xdr:to>
      <xdr:col>6</xdr:col>
      <xdr:colOff>2086746</xdr:colOff>
      <xdr:row>371</xdr:row>
      <xdr:rowOff>40159</xdr:rowOff>
    </xdr:to>
    <xdr:sp macro="" textlink="">
      <xdr:nvSpPr>
        <xdr:cNvPr id="17" name="文字方塊 16">
          <a:extLst>
            <a:ext uri="{FF2B5EF4-FFF2-40B4-BE49-F238E27FC236}">
              <a16:creationId xmlns:a16="http://schemas.microsoft.com/office/drawing/2014/main" id="{882340D4-6DD4-4FD2-B69F-F0374DB1C3FD}"/>
            </a:ext>
          </a:extLst>
        </xdr:cNvPr>
        <xdr:cNvSpPr txBox="1"/>
      </xdr:nvSpPr>
      <xdr:spPr>
        <a:xfrm>
          <a:off x="14938193" y="99879967"/>
          <a:ext cx="2036128" cy="439392"/>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 was</a:t>
          </a:r>
          <a:r>
            <a:rPr lang="en-US" altLang="zh-TW" sz="1100" baseline="0">
              <a:solidFill>
                <a:srgbClr val="FF0000"/>
              </a:solidFill>
            </a:rPr>
            <a:t> generated by OPENSSL or HSE.</a:t>
          </a:r>
          <a:endParaRPr lang="zh-TW" altLang="en-US" sz="1100">
            <a:solidFill>
              <a:srgbClr val="FF0000"/>
            </a:solidFill>
          </a:endParaRPr>
        </a:p>
      </xdr:txBody>
    </xdr:sp>
    <xdr:clientData/>
  </xdr:twoCellAnchor>
  <xdr:twoCellAnchor>
    <xdr:from>
      <xdr:col>6</xdr:col>
      <xdr:colOff>50618</xdr:colOff>
      <xdr:row>321</xdr:row>
      <xdr:rowOff>19867</xdr:rowOff>
    </xdr:from>
    <xdr:to>
      <xdr:col>6</xdr:col>
      <xdr:colOff>2086746</xdr:colOff>
      <xdr:row>322</xdr:row>
      <xdr:rowOff>40159</xdr:rowOff>
    </xdr:to>
    <xdr:sp macro="" textlink="">
      <xdr:nvSpPr>
        <xdr:cNvPr id="18" name="文字方塊 17">
          <a:extLst>
            <a:ext uri="{FF2B5EF4-FFF2-40B4-BE49-F238E27FC236}">
              <a16:creationId xmlns:a16="http://schemas.microsoft.com/office/drawing/2014/main" id="{F9BDE748-3212-4EED-8FA0-6F8E3C12A9F4}"/>
            </a:ext>
          </a:extLst>
        </xdr:cNvPr>
        <xdr:cNvSpPr txBox="1"/>
      </xdr:nvSpPr>
      <xdr:spPr>
        <a:xfrm>
          <a:off x="14938193" y="86402092"/>
          <a:ext cx="2036128" cy="439392"/>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 was</a:t>
          </a:r>
          <a:r>
            <a:rPr lang="en-US" altLang="zh-TW" sz="1100" baseline="0">
              <a:solidFill>
                <a:srgbClr val="FF0000"/>
              </a:solidFill>
            </a:rPr>
            <a:t> generated by OPENSSL or HSE.</a:t>
          </a:r>
          <a:endParaRPr lang="zh-TW" altLang="en-US" sz="1100">
            <a:solidFill>
              <a:srgbClr val="FF0000"/>
            </a:solidFill>
          </a:endParaRPr>
        </a:p>
      </xdr:txBody>
    </xdr:sp>
    <xdr:clientData/>
  </xdr:twoCellAnchor>
  <xdr:twoCellAnchor>
    <xdr:from>
      <xdr:col>6</xdr:col>
      <xdr:colOff>50618</xdr:colOff>
      <xdr:row>345</xdr:row>
      <xdr:rowOff>19867</xdr:rowOff>
    </xdr:from>
    <xdr:to>
      <xdr:col>6</xdr:col>
      <xdr:colOff>2086746</xdr:colOff>
      <xdr:row>346</xdr:row>
      <xdr:rowOff>40159</xdr:rowOff>
    </xdr:to>
    <xdr:sp macro="" textlink="">
      <xdr:nvSpPr>
        <xdr:cNvPr id="19" name="文字方塊 18">
          <a:extLst>
            <a:ext uri="{FF2B5EF4-FFF2-40B4-BE49-F238E27FC236}">
              <a16:creationId xmlns:a16="http://schemas.microsoft.com/office/drawing/2014/main" id="{796F4576-B393-4D9F-A458-7562A0E5F15A}"/>
            </a:ext>
          </a:extLst>
        </xdr:cNvPr>
        <xdr:cNvSpPr txBox="1"/>
      </xdr:nvSpPr>
      <xdr:spPr>
        <a:xfrm>
          <a:off x="14938193" y="93050542"/>
          <a:ext cx="2036128" cy="439392"/>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 was</a:t>
          </a:r>
          <a:r>
            <a:rPr lang="en-US" altLang="zh-TW" sz="1100" baseline="0">
              <a:solidFill>
                <a:srgbClr val="FF0000"/>
              </a:solidFill>
            </a:rPr>
            <a:t> generated by OPENSSL or HSE.</a:t>
          </a:r>
          <a:endParaRPr lang="zh-TW" altLang="en-US" sz="1100">
            <a:solidFill>
              <a:srgbClr val="FF0000"/>
            </a:solidFill>
          </a:endParaRPr>
        </a:p>
      </xdr:txBody>
    </xdr:sp>
    <xdr:clientData/>
  </xdr:twoCellAnchor>
  <xdr:twoCellAnchor editAs="oneCell">
    <xdr:from>
      <xdr:col>0</xdr:col>
      <xdr:colOff>605876</xdr:colOff>
      <xdr:row>404</xdr:row>
      <xdr:rowOff>125091</xdr:rowOff>
    </xdr:from>
    <xdr:to>
      <xdr:col>5</xdr:col>
      <xdr:colOff>1520612</xdr:colOff>
      <xdr:row>443</xdr:row>
      <xdr:rowOff>185827</xdr:rowOff>
    </xdr:to>
    <xdr:pic>
      <xdr:nvPicPr>
        <xdr:cNvPr id="20" name="圖片 19">
          <a:extLst>
            <a:ext uri="{FF2B5EF4-FFF2-40B4-BE49-F238E27FC236}">
              <a16:creationId xmlns:a16="http://schemas.microsoft.com/office/drawing/2014/main" id="{F838A586-5FD0-20F8-F5F3-82A043A5267E}"/>
            </a:ext>
          </a:extLst>
        </xdr:cNvPr>
        <xdr:cNvPicPr>
          <a:picLocks noChangeAspect="1"/>
        </xdr:cNvPicPr>
      </xdr:nvPicPr>
      <xdr:blipFill>
        <a:blip xmlns:r="http://schemas.openxmlformats.org/officeDocument/2006/relationships" r:embed="rId3"/>
        <a:stretch>
          <a:fillRect/>
        </a:stretch>
      </xdr:blipFill>
      <xdr:spPr>
        <a:xfrm>
          <a:off x="605876" y="148603032"/>
          <a:ext cx="10544175" cy="7467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492026</xdr:colOff>
      <xdr:row>55</xdr:row>
      <xdr:rowOff>304800</xdr:rowOff>
    </xdr:from>
    <xdr:to>
      <xdr:col>13</xdr:col>
      <xdr:colOff>952500</xdr:colOff>
      <xdr:row>159</xdr:row>
      <xdr:rowOff>187556</xdr:rowOff>
    </xdr:to>
    <xdr:pic>
      <xdr:nvPicPr>
        <xdr:cNvPr id="2" name="圖片 1">
          <a:extLst>
            <a:ext uri="{FF2B5EF4-FFF2-40B4-BE49-F238E27FC236}">
              <a16:creationId xmlns:a16="http://schemas.microsoft.com/office/drawing/2014/main" id="{3D3C2481-0029-4D0D-AC44-333D2F87A2B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6947" t="6191" r="22007" b="7561"/>
        <a:stretch/>
      </xdr:blipFill>
      <xdr:spPr>
        <a:xfrm>
          <a:off x="17446526" y="16735425"/>
          <a:ext cx="5375374" cy="19803341"/>
        </a:xfrm>
        <a:prstGeom prst="rect">
          <a:avLst/>
        </a:prstGeom>
      </xdr:spPr>
    </xdr:pic>
    <xdr:clientData/>
  </xdr:twoCellAnchor>
  <xdr:twoCellAnchor>
    <xdr:from>
      <xdr:col>2</xdr:col>
      <xdr:colOff>1247775</xdr:colOff>
      <xdr:row>24</xdr:row>
      <xdr:rowOff>152399</xdr:rowOff>
    </xdr:from>
    <xdr:to>
      <xdr:col>3</xdr:col>
      <xdr:colOff>2486025</xdr:colOff>
      <xdr:row>29</xdr:row>
      <xdr:rowOff>342899</xdr:rowOff>
    </xdr:to>
    <xdr:sp macro="" textlink="">
      <xdr:nvSpPr>
        <xdr:cNvPr id="3" name="雙波浪 2">
          <a:extLst>
            <a:ext uri="{FF2B5EF4-FFF2-40B4-BE49-F238E27FC236}">
              <a16:creationId xmlns:a16="http://schemas.microsoft.com/office/drawing/2014/main" id="{46AC43AA-17A6-4902-85FD-DD9AD5B44B80}"/>
            </a:ext>
          </a:extLst>
        </xdr:cNvPr>
        <xdr:cNvSpPr/>
      </xdr:nvSpPr>
      <xdr:spPr>
        <a:xfrm>
          <a:off x="2390775" y="5010149"/>
          <a:ext cx="4410075" cy="1190625"/>
        </a:xfrm>
        <a:prstGeom prst="doubleWave">
          <a:avLst/>
        </a:prstGeom>
        <a:gradFill rotWithShape="0">
          <a:gsLst>
            <a:gs pos="0">
              <a:srgbClr val="BBD5F0"/>
            </a:gs>
            <a:gs pos="100000">
              <a:srgbClr val="9CBEE0"/>
            </a:gs>
          </a:gsLst>
          <a:lin ang="5400000" scaled="0"/>
        </a:gradFill>
        <a:ln w="15875" cap="flat" cmpd="sng" algn="ctr">
          <a:solidFill>
            <a:srgbClr val="739CC3">
              <a:alpha val="100000"/>
            </a:srgbClr>
          </a:solidFill>
          <a:prstDash val="solid"/>
          <a:miter lim="200000"/>
        </a:ln>
      </xdr:spPr>
      <xdr:txBody>
        <a:bodyPr rot="0" vertOverflow="overflow" vert="horz" rtlCol="0" anchor="ctr"/>
        <a:lstStyle/>
        <a:p>
          <a:pPr algn="ctr"/>
          <a:r>
            <a:rPr lang="zh-TW" altLang="en-US" sz="4000"/>
            <a:t>可與</a:t>
          </a:r>
          <a:r>
            <a:rPr lang="en-US" altLang="zh-TW" sz="4000"/>
            <a:t>APS</a:t>
          </a:r>
          <a:r>
            <a:rPr lang="zh-TW" altLang="en-US" sz="4000"/>
            <a:t>合併執行</a:t>
          </a:r>
        </a:p>
      </xdr:txBody>
    </xdr:sp>
    <xdr:clientData/>
  </xdr:twoCellAnchor>
  <xdr:twoCellAnchor>
    <xdr:from>
      <xdr:col>5</xdr:col>
      <xdr:colOff>1804147</xdr:colOff>
      <xdr:row>90</xdr:row>
      <xdr:rowOff>1003436</xdr:rowOff>
    </xdr:from>
    <xdr:to>
      <xdr:col>7</xdr:col>
      <xdr:colOff>972874</xdr:colOff>
      <xdr:row>99</xdr:row>
      <xdr:rowOff>168088</xdr:rowOff>
    </xdr:to>
    <xdr:sp macro="" textlink="">
      <xdr:nvSpPr>
        <xdr:cNvPr id="4" name="文字方塊 3">
          <a:extLst>
            <a:ext uri="{FF2B5EF4-FFF2-40B4-BE49-F238E27FC236}">
              <a16:creationId xmlns:a16="http://schemas.microsoft.com/office/drawing/2014/main" id="{3A293803-2C3B-49C9-9F73-BFDEFAF3612A}"/>
            </a:ext>
          </a:extLst>
        </xdr:cNvPr>
        <xdr:cNvSpPr txBox="1"/>
      </xdr:nvSpPr>
      <xdr:spPr>
        <a:xfrm>
          <a:off x="10481422" y="28864061"/>
          <a:ext cx="4045527" cy="207930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zh-TW" altLang="en-US" sz="1400">
              <a:solidFill>
                <a:schemeClr val="dk1"/>
              </a:solidFill>
              <a:effectLst/>
              <a:latin typeface="微軟正黑體" panose="020B0604030504040204" pitchFamily="34" charset="-120"/>
              <a:ea typeface="微軟正黑體" panose="020B0604030504040204" pitchFamily="34" charset="-120"/>
              <a:cs typeface="+mn-cs"/>
            </a:rPr>
            <a:t>參照 </a:t>
          </a:r>
          <a:r>
            <a:rPr lang="en-US" altLang="zh-TW" sz="1400">
              <a:solidFill>
                <a:schemeClr val="dk1"/>
              </a:solidFill>
              <a:effectLst/>
              <a:latin typeface="微軟正黑體" panose="020B0604030504040204" pitchFamily="34" charset="-120"/>
              <a:ea typeface="微軟正黑體" panose="020B0604030504040204" pitchFamily="34" charset="-120"/>
              <a:cs typeface="+mn-cs"/>
            </a:rPr>
            <a:t>Model Code </a:t>
          </a:r>
          <a:r>
            <a:rPr lang="zh-TW" altLang="en-US" sz="1400" baseline="0">
              <a:latin typeface="微軟正黑體" panose="020B0604030504040204" pitchFamily="34" charset="-120"/>
              <a:ea typeface="微軟正黑體" panose="020B0604030504040204" pitchFamily="34" charset="-120"/>
            </a:rPr>
            <a:t>第七碼 </a:t>
          </a:r>
          <a:r>
            <a:rPr lang="en-US" altLang="zh-TW" sz="1400" baseline="0">
              <a:latin typeface="微軟正黑體" panose="020B0604030504040204" pitchFamily="34" charset="-120"/>
              <a:ea typeface="微軟正黑體" panose="020B0604030504040204" pitchFamily="34" charset="-120"/>
            </a:rPr>
            <a:t>(A</a:t>
          </a:r>
          <a:r>
            <a:rPr lang="zh-TW" altLang="en-US" sz="1400" baseline="0">
              <a:latin typeface="微軟正黑體" panose="020B0604030504040204" pitchFamily="34" charset="-120"/>
              <a:ea typeface="微軟正黑體" panose="020B0604030504040204" pitchFamily="34" charset="-120"/>
            </a:rPr>
            <a:t>、</a:t>
          </a:r>
          <a:r>
            <a:rPr lang="en-US" altLang="zh-TW" sz="1400" baseline="0">
              <a:latin typeface="微軟正黑體" panose="020B0604030504040204" pitchFamily="34" charset="-120"/>
              <a:ea typeface="微軟正黑體" panose="020B0604030504040204" pitchFamily="34" charset="-120"/>
            </a:rPr>
            <a:t>B</a:t>
          </a:r>
          <a:r>
            <a:rPr lang="zh-TW" altLang="en-US" sz="1400" baseline="0">
              <a:latin typeface="微軟正黑體" panose="020B0604030504040204" pitchFamily="34" charset="-120"/>
              <a:ea typeface="微軟正黑體" panose="020B0604030504040204" pitchFamily="34" charset="-120"/>
            </a:rPr>
            <a:t>、</a:t>
          </a:r>
          <a:r>
            <a:rPr lang="en-US" altLang="zh-TW" sz="1400" baseline="0">
              <a:latin typeface="微軟正黑體" panose="020B0604030504040204" pitchFamily="34" charset="-120"/>
              <a:ea typeface="微軟正黑體" panose="020B0604030504040204" pitchFamily="34" charset="-120"/>
            </a:rPr>
            <a:t>C)</a:t>
          </a:r>
          <a:r>
            <a:rPr lang="zh-TW" altLang="en-US" sz="1400" baseline="0">
              <a:latin typeface="微軟正黑體" panose="020B0604030504040204" pitchFamily="34" charset="-120"/>
              <a:ea typeface="微軟正黑體" panose="020B0604030504040204" pitchFamily="34" charset="-120"/>
            </a:rPr>
            <a:t> ，設定參數值</a:t>
          </a:r>
          <a:br>
            <a:rPr lang="en-US" altLang="zh-TW" sz="1400" baseline="0">
              <a:latin typeface="微軟正黑體" panose="020B0604030504040204" pitchFamily="34" charset="-120"/>
              <a:ea typeface="微軟正黑體" panose="020B0604030504040204" pitchFamily="34" charset="-120"/>
            </a:rPr>
          </a:br>
          <a:r>
            <a:rPr lang="en-US" altLang="zh-TW" sz="1400" baseline="0">
              <a:latin typeface="微軟正黑體" panose="020B0604030504040204" pitchFamily="34" charset="-120"/>
              <a:ea typeface="微軟正黑體" panose="020B0604030504040204" pitchFamily="34" charset="-120"/>
            </a:rPr>
            <a:t>A:</a:t>
          </a:r>
          <a:r>
            <a:rPr lang="zh-TW" altLang="en-US" sz="1400" baseline="0">
              <a:latin typeface="微軟正黑體" panose="020B0604030504040204" pitchFamily="34" charset="-120"/>
              <a:ea typeface="微軟正黑體" panose="020B0604030504040204" pitchFamily="34" charset="-120"/>
            </a:rPr>
            <a:t> </a:t>
          </a:r>
          <a:r>
            <a:rPr lang="en-US" altLang="zh-TW" sz="1400">
              <a:solidFill>
                <a:schemeClr val="dk1"/>
              </a:solidFill>
              <a:effectLst/>
              <a:latin typeface="微軟正黑體" panose="020B0604030504040204" pitchFamily="34" charset="-120"/>
              <a:ea typeface="微軟正黑體" panose="020B0604030504040204" pitchFamily="34" charset="-120"/>
              <a:cs typeface="+mn-cs"/>
            </a:rPr>
            <a:t>0x01 (FWD) </a:t>
          </a:r>
          <a:endParaRPr lang="zh-TW" altLang="zh-TW" sz="1400">
            <a:effectLst/>
            <a:latin typeface="微軟正黑體" panose="020B0604030504040204" pitchFamily="34" charset="-120"/>
            <a:ea typeface="微軟正黑體" panose="020B0604030504040204" pitchFamily="34" charset="-120"/>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zh-TW" sz="1400" baseline="0">
              <a:latin typeface="微軟正黑體" panose="020B0604030504040204" pitchFamily="34" charset="-120"/>
              <a:ea typeface="微軟正黑體" panose="020B0604030504040204" pitchFamily="34" charset="-120"/>
            </a:rPr>
            <a:t>B:</a:t>
          </a:r>
          <a:r>
            <a:rPr lang="zh-TW" altLang="en-US" sz="1400" baseline="0">
              <a:latin typeface="微軟正黑體" panose="020B0604030504040204" pitchFamily="34" charset="-120"/>
              <a:ea typeface="微軟正黑體" panose="020B0604030504040204" pitchFamily="34" charset="-120"/>
            </a:rPr>
            <a:t> </a:t>
          </a:r>
          <a:r>
            <a:rPr lang="en-US" altLang="zh-TW" sz="1400">
              <a:solidFill>
                <a:schemeClr val="dk1"/>
              </a:solidFill>
              <a:effectLst/>
              <a:latin typeface="微軟正黑體" panose="020B0604030504040204" pitchFamily="34" charset="-120"/>
              <a:ea typeface="微軟正黑體" panose="020B0604030504040204" pitchFamily="34" charset="-120"/>
              <a:cs typeface="+mn-cs"/>
            </a:rPr>
            <a:t>0x02 (AWD)</a:t>
          </a:r>
          <a:endParaRPr lang="zh-TW" altLang="zh-TW" sz="1400">
            <a:effectLst/>
            <a:latin typeface="微軟正黑體" panose="020B0604030504040204" pitchFamily="34" charset="-120"/>
            <a:ea typeface="微軟正黑體" panose="020B0604030504040204" pitchFamily="34" charset="-120"/>
          </a:endParaRPr>
        </a:p>
        <a:p>
          <a:r>
            <a:rPr lang="en-US" altLang="zh-TW" sz="1400">
              <a:latin typeface="微軟正黑體" panose="020B0604030504040204" pitchFamily="34" charset="-120"/>
              <a:ea typeface="微軟正黑體" panose="020B0604030504040204" pitchFamily="34" charset="-120"/>
            </a:rPr>
            <a:t>C:</a:t>
          </a:r>
          <a:r>
            <a:rPr lang="zh-TW" altLang="en-US" sz="1400">
              <a:latin typeface="微軟正黑體" panose="020B0604030504040204" pitchFamily="34" charset="-120"/>
              <a:ea typeface="微軟正黑體" panose="020B0604030504040204" pitchFamily="34" charset="-120"/>
            </a:rPr>
            <a:t> </a:t>
          </a:r>
          <a:r>
            <a:rPr lang="en-US" altLang="zh-TW" sz="1400">
              <a:latin typeface="微軟正黑體" panose="020B0604030504040204" pitchFamily="34" charset="-120"/>
              <a:ea typeface="微軟正黑體" panose="020B0604030504040204" pitchFamily="34" charset="-120"/>
            </a:rPr>
            <a:t>0x00</a:t>
          </a:r>
          <a:r>
            <a:rPr lang="en-US" altLang="zh-TW" sz="1400" baseline="0">
              <a:latin typeface="微軟正黑體" panose="020B0604030504040204" pitchFamily="34" charset="-120"/>
              <a:ea typeface="微軟正黑體" panose="020B0604030504040204" pitchFamily="34" charset="-120"/>
            </a:rPr>
            <a:t> (</a:t>
          </a:r>
          <a:r>
            <a:rPr lang="en-US" altLang="zh-TW" sz="1400">
              <a:latin typeface="微軟正黑體" panose="020B0604030504040204" pitchFamily="34" charset="-120"/>
              <a:ea typeface="微軟正黑體" panose="020B0604030504040204" pitchFamily="34" charset="-120"/>
            </a:rPr>
            <a:t>RWD) </a:t>
          </a:r>
        </a:p>
        <a:p>
          <a:endParaRPr lang="en-US" altLang="zh-TW" sz="1400">
            <a:latin typeface="微軟正黑體" panose="020B0604030504040204" pitchFamily="34" charset="-120"/>
            <a:ea typeface="微軟正黑體" panose="020B0604030504040204" pitchFamily="34" charset="-120"/>
          </a:endParaRPr>
        </a:p>
        <a:p>
          <a:r>
            <a:rPr lang="en-US" altLang="zh-TW" sz="1400">
              <a:latin typeface="微軟正黑體" panose="020B0604030504040204" pitchFamily="34" charset="-120"/>
              <a:ea typeface="微軟正黑體" panose="020B0604030504040204" pitchFamily="34" charset="-120"/>
            </a:rPr>
            <a:t>ex: model code  = D31JHPC B11B-----</a:t>
          </a:r>
        </a:p>
        <a:p>
          <a:r>
            <a:rPr lang="en-US" altLang="zh-TW" sz="1400">
              <a:latin typeface="微軟正黑體" panose="020B0604030504040204" pitchFamily="34" charset="-120"/>
              <a:ea typeface="微軟正黑體" panose="020B0604030504040204" pitchFamily="34" charset="-120"/>
            </a:rPr>
            <a:t>tester: 2E 02 01 00</a:t>
          </a:r>
        </a:p>
        <a:p>
          <a:endParaRPr lang="zh-TW" altLang="en-US" sz="1400">
            <a:latin typeface="微軟正黑體" panose="020B0604030504040204" pitchFamily="34" charset="-120"/>
            <a:ea typeface="微軟正黑體" panose="020B0604030504040204" pitchFamily="34" charset="-120"/>
          </a:endParaRPr>
        </a:p>
      </xdr:txBody>
    </xdr:sp>
    <xdr:clientData/>
  </xdr:twoCellAnchor>
  <xdr:twoCellAnchor>
    <xdr:from>
      <xdr:col>3</xdr:col>
      <xdr:colOff>3300150</xdr:colOff>
      <xdr:row>98</xdr:row>
      <xdr:rowOff>142985</xdr:rowOff>
    </xdr:from>
    <xdr:to>
      <xdr:col>5</xdr:col>
      <xdr:colOff>1809535</xdr:colOff>
      <xdr:row>99</xdr:row>
      <xdr:rowOff>175261</xdr:rowOff>
    </xdr:to>
    <xdr:sp macro="" textlink="">
      <xdr:nvSpPr>
        <xdr:cNvPr id="5" name="箭號: 向下 4">
          <a:extLst>
            <a:ext uri="{FF2B5EF4-FFF2-40B4-BE49-F238E27FC236}">
              <a16:creationId xmlns:a16="http://schemas.microsoft.com/office/drawing/2014/main" id="{4E4E81C8-8CF7-4EB4-8B88-15706CED5320}"/>
            </a:ext>
          </a:extLst>
        </xdr:cNvPr>
        <xdr:cNvSpPr/>
      </xdr:nvSpPr>
      <xdr:spPr>
        <a:xfrm rot="4911730" flipH="1">
          <a:off x="8663280" y="29136530"/>
          <a:ext cx="222776" cy="3405235"/>
        </a:xfrm>
        <a:prstGeom prst="downArrow">
          <a:avLst/>
        </a:prstGeom>
        <a:gradFill rotWithShape="0">
          <a:gsLst>
            <a:gs pos="0">
              <a:srgbClr val="BBD5F0"/>
            </a:gs>
            <a:gs pos="100000">
              <a:srgbClr val="9CBEE0"/>
            </a:gs>
          </a:gsLst>
          <a:lin ang="5400000" scaled="0"/>
        </a:gradFill>
        <a:ln w="15875" cap="flat" cmpd="sng" algn="ctr">
          <a:solidFill>
            <a:srgbClr val="739CC3">
              <a:alpha val="100000"/>
            </a:srgbClr>
          </a:solidFill>
          <a:prstDash val="solid"/>
          <a:miter lim="200000"/>
        </a:ln>
      </xdr:spPr>
      <xdr:txBody>
        <a:bodyPr rot="0" vertOverflow="overflow" vert="horz" rtlCol="0" anchor="t"/>
        <a:lstStyle/>
        <a:p>
          <a:pPr algn="l"/>
          <a:endParaRPr lang="zh-TW" altLang="en-US" sz="1100"/>
        </a:p>
      </xdr:txBody>
    </xdr:sp>
    <xdr:clientData/>
  </xdr:twoCellAnchor>
  <xdr:twoCellAnchor>
    <xdr:from>
      <xdr:col>6</xdr:col>
      <xdr:colOff>50618</xdr:colOff>
      <xdr:row>123</xdr:row>
      <xdr:rowOff>19867</xdr:rowOff>
    </xdr:from>
    <xdr:to>
      <xdr:col>6</xdr:col>
      <xdr:colOff>2086746</xdr:colOff>
      <xdr:row>124</xdr:row>
      <xdr:rowOff>40159</xdr:rowOff>
    </xdr:to>
    <xdr:sp macro="" textlink="">
      <xdr:nvSpPr>
        <xdr:cNvPr id="6" name="文字方塊 5">
          <a:extLst>
            <a:ext uri="{FF2B5EF4-FFF2-40B4-BE49-F238E27FC236}">
              <a16:creationId xmlns:a16="http://schemas.microsoft.com/office/drawing/2014/main" id="{D743F6D9-2029-47AD-BCA9-FE4D98C61B40}"/>
            </a:ext>
          </a:extLst>
        </xdr:cNvPr>
        <xdr:cNvSpPr txBox="1"/>
      </xdr:nvSpPr>
      <xdr:spPr>
        <a:xfrm>
          <a:off x="10528118" y="38300842"/>
          <a:ext cx="2036128" cy="648942"/>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 was</a:t>
          </a:r>
          <a:r>
            <a:rPr lang="en-US" altLang="zh-TW" sz="1100" baseline="0">
              <a:solidFill>
                <a:srgbClr val="FF0000"/>
              </a:solidFill>
            </a:rPr>
            <a:t> generated by OPENSSL or HSE.</a:t>
          </a:r>
          <a:endParaRPr lang="zh-TW" altLang="en-US" sz="1100">
            <a:solidFill>
              <a:srgbClr val="FF0000"/>
            </a:solidFill>
          </a:endParaRPr>
        </a:p>
      </xdr:txBody>
    </xdr:sp>
    <xdr:clientData/>
  </xdr:twoCellAnchor>
  <xdr:twoCellAnchor>
    <xdr:from>
      <xdr:col>6</xdr:col>
      <xdr:colOff>110763</xdr:colOff>
      <xdr:row>144</xdr:row>
      <xdr:rowOff>57241</xdr:rowOff>
    </xdr:from>
    <xdr:to>
      <xdr:col>6</xdr:col>
      <xdr:colOff>2015889</xdr:colOff>
      <xdr:row>145</xdr:row>
      <xdr:rowOff>100104</xdr:rowOff>
    </xdr:to>
    <xdr:sp macro="" textlink="">
      <xdr:nvSpPr>
        <xdr:cNvPr id="7" name="文字方塊 6">
          <a:extLst>
            <a:ext uri="{FF2B5EF4-FFF2-40B4-BE49-F238E27FC236}">
              <a16:creationId xmlns:a16="http://schemas.microsoft.com/office/drawing/2014/main" id="{3DAA65D4-4B5C-4A3F-8845-3B9E6D42E8B5}"/>
            </a:ext>
          </a:extLst>
        </xdr:cNvPr>
        <xdr:cNvSpPr txBox="1"/>
      </xdr:nvSpPr>
      <xdr:spPr>
        <a:xfrm>
          <a:off x="10588263" y="44748541"/>
          <a:ext cx="1905126" cy="671513"/>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a:t>
          </a:r>
          <a:r>
            <a:rPr lang="zh-TW" altLang="en-US" sz="1100">
              <a:solidFill>
                <a:srgbClr val="FF0000"/>
              </a:solidFill>
            </a:rPr>
            <a:t> </a:t>
          </a:r>
          <a:r>
            <a:rPr lang="en-US" altLang="zh-TW" sz="1100">
              <a:solidFill>
                <a:srgbClr val="FF0000"/>
              </a:solidFill>
            </a:rPr>
            <a:t>was</a:t>
          </a:r>
          <a:r>
            <a:rPr lang="en-US" altLang="zh-TW" sz="1100" baseline="0">
              <a:solidFill>
                <a:srgbClr val="FF0000"/>
              </a:solidFill>
            </a:rPr>
            <a:t> generated by VND Server itself</a:t>
          </a:r>
          <a:endParaRPr lang="zh-TW" altLang="en-US" sz="1100">
            <a:solidFill>
              <a:srgbClr val="FF0000"/>
            </a:solidFill>
          </a:endParaRPr>
        </a:p>
      </xdr:txBody>
    </xdr:sp>
    <xdr:clientData/>
  </xdr:twoCellAnchor>
  <xdr:twoCellAnchor>
    <xdr:from>
      <xdr:col>6</xdr:col>
      <xdr:colOff>135617</xdr:colOff>
      <xdr:row>191</xdr:row>
      <xdr:rowOff>19504</xdr:rowOff>
    </xdr:from>
    <xdr:to>
      <xdr:col>7</xdr:col>
      <xdr:colOff>680356</xdr:colOff>
      <xdr:row>192</xdr:row>
      <xdr:rowOff>72875</xdr:rowOff>
    </xdr:to>
    <xdr:sp macro="" textlink="">
      <xdr:nvSpPr>
        <xdr:cNvPr id="8" name="文字方塊 7">
          <a:extLst>
            <a:ext uri="{FF2B5EF4-FFF2-40B4-BE49-F238E27FC236}">
              <a16:creationId xmlns:a16="http://schemas.microsoft.com/office/drawing/2014/main" id="{A745CB77-899F-481B-B72C-51A4D958D7F4}"/>
            </a:ext>
          </a:extLst>
        </xdr:cNvPr>
        <xdr:cNvSpPr txBox="1"/>
      </xdr:nvSpPr>
      <xdr:spPr>
        <a:xfrm>
          <a:off x="10613117" y="63751279"/>
          <a:ext cx="3621314" cy="891571"/>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 was</a:t>
          </a:r>
          <a:r>
            <a:rPr lang="en-US" altLang="zh-TW" sz="1100" baseline="0">
              <a:solidFill>
                <a:srgbClr val="FF0000"/>
              </a:solidFill>
            </a:rPr>
            <a:t> generated by Connectivity Client itself</a:t>
          </a:r>
        </a:p>
        <a:p>
          <a:endParaRPr lang="zh-TW" altLang="en-US" sz="1100">
            <a:solidFill>
              <a:srgbClr val="FF0000"/>
            </a:solidFill>
          </a:endParaRPr>
        </a:p>
      </xdr:txBody>
    </xdr:sp>
    <xdr:clientData/>
  </xdr:twoCellAnchor>
  <xdr:twoCellAnchor>
    <xdr:from>
      <xdr:col>6</xdr:col>
      <xdr:colOff>136525</xdr:colOff>
      <xdr:row>196</xdr:row>
      <xdr:rowOff>132895</xdr:rowOff>
    </xdr:from>
    <xdr:to>
      <xdr:col>7</xdr:col>
      <xdr:colOff>1279070</xdr:colOff>
      <xdr:row>197</xdr:row>
      <xdr:rowOff>244927</xdr:rowOff>
    </xdr:to>
    <xdr:sp macro="" textlink="">
      <xdr:nvSpPr>
        <xdr:cNvPr id="9" name="文字方塊 8">
          <a:extLst>
            <a:ext uri="{FF2B5EF4-FFF2-40B4-BE49-F238E27FC236}">
              <a16:creationId xmlns:a16="http://schemas.microsoft.com/office/drawing/2014/main" id="{31B28ABF-9EC9-4621-AD56-C2CDD14A1091}"/>
            </a:ext>
            <a:ext uri="{147F2762-F138-4A5C-976F-8EAC2B608ADB}">
              <a16:predDERef xmlns:a16="http://schemas.microsoft.com/office/drawing/2014/main" pred="{76D74CF3-965A-41C6-ACE7-E83E4E0275A3}"/>
            </a:ext>
          </a:extLst>
        </xdr:cNvPr>
        <xdr:cNvSpPr txBox="1"/>
      </xdr:nvSpPr>
      <xdr:spPr>
        <a:xfrm>
          <a:off x="10614025" y="67846120"/>
          <a:ext cx="4219120" cy="740682"/>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 was generated by Connectivity Client itself</a:t>
          </a:r>
        </a:p>
      </xdr:txBody>
    </xdr:sp>
    <xdr:clientData/>
  </xdr:twoCellAnchor>
  <xdr:twoCellAnchor>
    <xdr:from>
      <xdr:col>6</xdr:col>
      <xdr:colOff>249374</xdr:colOff>
      <xdr:row>217</xdr:row>
      <xdr:rowOff>6713</xdr:rowOff>
    </xdr:from>
    <xdr:to>
      <xdr:col>7</xdr:col>
      <xdr:colOff>798286</xdr:colOff>
      <xdr:row>218</xdr:row>
      <xdr:rowOff>136073</xdr:rowOff>
    </xdr:to>
    <xdr:sp macro="" textlink="">
      <xdr:nvSpPr>
        <xdr:cNvPr id="10" name="文字方塊 9">
          <a:extLst>
            <a:ext uri="{FF2B5EF4-FFF2-40B4-BE49-F238E27FC236}">
              <a16:creationId xmlns:a16="http://schemas.microsoft.com/office/drawing/2014/main" id="{AE8C1E2A-7F97-4462-AA57-4BB4876447FC}"/>
            </a:ext>
          </a:extLst>
        </xdr:cNvPr>
        <xdr:cNvSpPr txBox="1"/>
      </xdr:nvSpPr>
      <xdr:spPr>
        <a:xfrm>
          <a:off x="10726874" y="74130263"/>
          <a:ext cx="3625487" cy="85326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a:t>
          </a:r>
          <a:r>
            <a:rPr lang="zh-TW" altLang="en-US" sz="1100">
              <a:solidFill>
                <a:srgbClr val="FF0000"/>
              </a:solidFill>
            </a:rPr>
            <a:t> </a:t>
          </a:r>
          <a:r>
            <a:rPr lang="en-US" altLang="zh-TW" sz="1100">
              <a:solidFill>
                <a:srgbClr val="FF0000"/>
              </a:solidFill>
            </a:rPr>
            <a:t>was</a:t>
          </a:r>
          <a:r>
            <a:rPr lang="en-US" altLang="zh-TW" sz="1100" baseline="0">
              <a:solidFill>
                <a:srgbClr val="FF0000"/>
              </a:solidFill>
            </a:rPr>
            <a:t> generated by OPENSSL or HSE.</a:t>
          </a:r>
          <a:endParaRPr lang="zh-TW" altLang="en-US" sz="1100">
            <a:solidFill>
              <a:srgbClr val="FF0000"/>
            </a:solidFill>
          </a:endParaRPr>
        </a:p>
      </xdr:txBody>
    </xdr:sp>
    <xdr:clientData/>
  </xdr:twoCellAnchor>
  <xdr:twoCellAnchor>
    <xdr:from>
      <xdr:col>6</xdr:col>
      <xdr:colOff>247922</xdr:colOff>
      <xdr:row>228</xdr:row>
      <xdr:rowOff>139337</xdr:rowOff>
    </xdr:from>
    <xdr:to>
      <xdr:col>7</xdr:col>
      <xdr:colOff>1052285</xdr:colOff>
      <xdr:row>229</xdr:row>
      <xdr:rowOff>172357</xdr:rowOff>
    </xdr:to>
    <xdr:sp macro="" textlink="">
      <xdr:nvSpPr>
        <xdr:cNvPr id="11" name="文字方塊 10">
          <a:extLst>
            <a:ext uri="{FF2B5EF4-FFF2-40B4-BE49-F238E27FC236}">
              <a16:creationId xmlns:a16="http://schemas.microsoft.com/office/drawing/2014/main" id="{22219015-A7DF-40E6-8094-3C4648BBA6B3}"/>
            </a:ext>
            <a:ext uri="{147F2762-F138-4A5C-976F-8EAC2B608ADB}">
              <a16:predDERef xmlns:a16="http://schemas.microsoft.com/office/drawing/2014/main" pred="{507353D0-0CF4-4393-B570-6B8DDEE525BD}"/>
            </a:ext>
          </a:extLst>
        </xdr:cNvPr>
        <xdr:cNvSpPr txBox="1"/>
      </xdr:nvSpPr>
      <xdr:spPr>
        <a:xfrm>
          <a:off x="10725422" y="81044687"/>
          <a:ext cx="3880938" cy="129032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a:t>
          </a:r>
          <a:r>
            <a:rPr lang="zh-TW" altLang="en-US" sz="1100">
              <a:solidFill>
                <a:srgbClr val="FF0000"/>
              </a:solidFill>
            </a:rPr>
            <a:t> </a:t>
          </a:r>
          <a:r>
            <a:rPr lang="en-US" altLang="zh-TW" sz="1100">
              <a:solidFill>
                <a:srgbClr val="FF0000"/>
              </a:solidFill>
            </a:rPr>
            <a:t>was</a:t>
          </a:r>
          <a:r>
            <a:rPr lang="en-US" altLang="zh-TW" sz="1100" baseline="0">
              <a:solidFill>
                <a:srgbClr val="FF0000"/>
              </a:solidFill>
            </a:rPr>
            <a:t> generated by OPENSSL or HSE.</a:t>
          </a:r>
          <a:endParaRPr lang="zh-TW" altLang="en-US" sz="1100">
            <a:solidFill>
              <a:srgbClr val="FF0000"/>
            </a:solidFill>
          </a:endParaRPr>
        </a:p>
      </xdr:txBody>
    </xdr:sp>
    <xdr:clientData/>
  </xdr:twoCellAnchor>
  <xdr:twoCellAnchor>
    <xdr:from>
      <xdr:col>5</xdr:col>
      <xdr:colOff>1784849</xdr:colOff>
      <xdr:row>254</xdr:row>
      <xdr:rowOff>26370</xdr:rowOff>
    </xdr:from>
    <xdr:to>
      <xdr:col>6</xdr:col>
      <xdr:colOff>1605244</xdr:colOff>
      <xdr:row>255</xdr:row>
      <xdr:rowOff>25624</xdr:rowOff>
    </xdr:to>
    <xdr:sp macro="" textlink="">
      <xdr:nvSpPr>
        <xdr:cNvPr id="12" name="文字方塊 11">
          <a:extLst>
            <a:ext uri="{FF2B5EF4-FFF2-40B4-BE49-F238E27FC236}">
              <a16:creationId xmlns:a16="http://schemas.microsoft.com/office/drawing/2014/main" id="{6699BB16-8B33-4B73-B61D-5072AF62FDFE}"/>
            </a:ext>
            <a:ext uri="{147F2762-F138-4A5C-976F-8EAC2B608ADB}">
              <a16:predDERef xmlns:a16="http://schemas.microsoft.com/office/drawing/2014/main" pred="{78C8B5DF-084A-4D5E-9AE2-ACD5AF3B2C28}"/>
            </a:ext>
          </a:extLst>
        </xdr:cNvPr>
        <xdr:cNvSpPr txBox="1"/>
      </xdr:nvSpPr>
      <xdr:spPr>
        <a:xfrm>
          <a:off x="10481174" y="92361720"/>
          <a:ext cx="1601570" cy="62790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a:t>
          </a:r>
          <a:r>
            <a:rPr lang="zh-TW" altLang="en-US" sz="1100">
              <a:solidFill>
                <a:srgbClr val="FF0000"/>
              </a:solidFill>
            </a:rPr>
            <a:t> </a:t>
          </a:r>
          <a:r>
            <a:rPr lang="en-US" altLang="zh-TW" sz="1100">
              <a:solidFill>
                <a:srgbClr val="FF0000"/>
              </a:solidFill>
            </a:rPr>
            <a:t>was</a:t>
          </a:r>
          <a:r>
            <a:rPr lang="en-US" altLang="zh-TW" sz="1100" baseline="0">
              <a:solidFill>
                <a:srgbClr val="FF0000"/>
              </a:solidFill>
            </a:rPr>
            <a:t> generated by OTA Service</a:t>
          </a:r>
        </a:p>
        <a:p>
          <a:endParaRPr lang="zh-TW" altLang="en-US" sz="1100">
            <a:solidFill>
              <a:srgbClr val="FF0000"/>
            </a:solidFill>
          </a:endParaRPr>
        </a:p>
      </xdr:txBody>
    </xdr:sp>
    <xdr:clientData/>
  </xdr:twoCellAnchor>
  <xdr:twoCellAnchor>
    <xdr:from>
      <xdr:col>6</xdr:col>
      <xdr:colOff>50617</xdr:colOff>
      <xdr:row>172</xdr:row>
      <xdr:rowOff>19867</xdr:rowOff>
    </xdr:from>
    <xdr:to>
      <xdr:col>7</xdr:col>
      <xdr:colOff>734784</xdr:colOff>
      <xdr:row>175</xdr:row>
      <xdr:rowOff>18142</xdr:rowOff>
    </xdr:to>
    <xdr:sp macro="" textlink="">
      <xdr:nvSpPr>
        <xdr:cNvPr id="13" name="文字方塊 12">
          <a:extLst>
            <a:ext uri="{FF2B5EF4-FFF2-40B4-BE49-F238E27FC236}">
              <a16:creationId xmlns:a16="http://schemas.microsoft.com/office/drawing/2014/main" id="{D22C1F0C-EDE0-43CE-8FC6-A5C0E1B89B91}"/>
            </a:ext>
          </a:extLst>
        </xdr:cNvPr>
        <xdr:cNvSpPr txBox="1"/>
      </xdr:nvSpPr>
      <xdr:spPr>
        <a:xfrm>
          <a:off x="10528117" y="58122367"/>
          <a:ext cx="3760742" cy="146512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 was</a:t>
          </a:r>
          <a:r>
            <a:rPr lang="en-US" altLang="zh-TW" sz="1100" baseline="0">
              <a:solidFill>
                <a:srgbClr val="FF0000"/>
              </a:solidFill>
            </a:rPr>
            <a:t> generated by OPENSSL or HSE.</a:t>
          </a:r>
          <a:endParaRPr lang="zh-TW" altLang="en-US" sz="1100">
            <a:solidFill>
              <a:srgbClr val="FF0000"/>
            </a:solidFill>
          </a:endParaRPr>
        </a:p>
      </xdr:txBody>
    </xdr:sp>
    <xdr:clientData/>
  </xdr:twoCellAnchor>
  <xdr:twoCellAnchor>
    <xdr:from>
      <xdr:col>6</xdr:col>
      <xdr:colOff>354965</xdr:colOff>
      <xdr:row>233</xdr:row>
      <xdr:rowOff>83094</xdr:rowOff>
    </xdr:from>
    <xdr:to>
      <xdr:col>7</xdr:col>
      <xdr:colOff>1159328</xdr:colOff>
      <xdr:row>234</xdr:row>
      <xdr:rowOff>116114</xdr:rowOff>
    </xdr:to>
    <xdr:sp macro="" textlink="">
      <xdr:nvSpPr>
        <xdr:cNvPr id="14" name="文字方塊 13">
          <a:extLst>
            <a:ext uri="{FF2B5EF4-FFF2-40B4-BE49-F238E27FC236}">
              <a16:creationId xmlns:a16="http://schemas.microsoft.com/office/drawing/2014/main" id="{516D80E9-03CF-44DC-B614-14288735EE97}"/>
            </a:ext>
            <a:ext uri="{147F2762-F138-4A5C-976F-8EAC2B608ADB}">
              <a16:predDERef xmlns:a16="http://schemas.microsoft.com/office/drawing/2014/main" pred="{507353D0-0CF4-4393-B570-6B8DDEE525BD}"/>
            </a:ext>
          </a:extLst>
        </xdr:cNvPr>
        <xdr:cNvSpPr txBox="1"/>
      </xdr:nvSpPr>
      <xdr:spPr>
        <a:xfrm>
          <a:off x="10832465" y="84407919"/>
          <a:ext cx="3880938" cy="93789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a:t>
          </a:r>
          <a:r>
            <a:rPr lang="zh-TW" altLang="en-US" sz="1100">
              <a:solidFill>
                <a:srgbClr val="FF0000"/>
              </a:solidFill>
            </a:rPr>
            <a:t> </a:t>
          </a:r>
          <a:r>
            <a:rPr lang="en-US" altLang="zh-TW" sz="1100">
              <a:solidFill>
                <a:srgbClr val="FF0000"/>
              </a:solidFill>
            </a:rPr>
            <a:t>was</a:t>
          </a:r>
          <a:r>
            <a:rPr lang="en-US" altLang="zh-TW" sz="1100" baseline="0">
              <a:solidFill>
                <a:srgbClr val="FF0000"/>
              </a:solidFill>
            </a:rPr>
            <a:t> generated by OPENSSL or HSE.</a:t>
          </a:r>
          <a:endParaRPr lang="zh-TW" altLang="en-US" sz="1100">
            <a:solidFill>
              <a:srgbClr val="FF0000"/>
            </a:solidFill>
          </a:endParaRPr>
        </a:p>
      </xdr:txBody>
    </xdr:sp>
    <xdr:clientData/>
  </xdr:twoCellAnchor>
  <xdr:twoCellAnchor editAs="oneCell">
    <xdr:from>
      <xdr:col>7</xdr:col>
      <xdr:colOff>1004207</xdr:colOff>
      <xdr:row>387</xdr:row>
      <xdr:rowOff>394135</xdr:rowOff>
    </xdr:from>
    <xdr:to>
      <xdr:col>14</xdr:col>
      <xdr:colOff>256357</xdr:colOff>
      <xdr:row>419</xdr:row>
      <xdr:rowOff>72156</xdr:rowOff>
    </xdr:to>
    <xdr:pic>
      <xdr:nvPicPr>
        <xdr:cNvPr id="15" name="圖片 14" descr="一張含有 文字, 圖表, 方案, 工程製圖 的圖片&#10;&#10;自動產生的描述">
          <a:extLst>
            <a:ext uri="{FF2B5EF4-FFF2-40B4-BE49-F238E27FC236}">
              <a16:creationId xmlns:a16="http://schemas.microsoft.com/office/drawing/2014/main" id="{F380885C-3D68-4BDF-B4EC-3F9514467D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58282" y="140659285"/>
          <a:ext cx="9041945" cy="5966426"/>
        </a:xfrm>
        <a:prstGeom prst="rect">
          <a:avLst/>
        </a:prstGeom>
      </xdr:spPr>
    </xdr:pic>
    <xdr:clientData/>
  </xdr:twoCellAnchor>
  <xdr:twoCellAnchor>
    <xdr:from>
      <xdr:col>6</xdr:col>
      <xdr:colOff>50618</xdr:colOff>
      <xdr:row>297</xdr:row>
      <xdr:rowOff>19867</xdr:rowOff>
    </xdr:from>
    <xdr:to>
      <xdr:col>6</xdr:col>
      <xdr:colOff>2086746</xdr:colOff>
      <xdr:row>298</xdr:row>
      <xdr:rowOff>40159</xdr:rowOff>
    </xdr:to>
    <xdr:sp macro="" textlink="">
      <xdr:nvSpPr>
        <xdr:cNvPr id="16" name="文字方塊 15">
          <a:extLst>
            <a:ext uri="{FF2B5EF4-FFF2-40B4-BE49-F238E27FC236}">
              <a16:creationId xmlns:a16="http://schemas.microsoft.com/office/drawing/2014/main" id="{FA0D5EEA-C750-4FC9-8601-26DD9FA48283}"/>
            </a:ext>
          </a:extLst>
        </xdr:cNvPr>
        <xdr:cNvSpPr txBox="1"/>
      </xdr:nvSpPr>
      <xdr:spPr>
        <a:xfrm>
          <a:off x="10528118" y="107157067"/>
          <a:ext cx="2036128" cy="648942"/>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 was</a:t>
          </a:r>
          <a:r>
            <a:rPr lang="en-US" altLang="zh-TW" sz="1100" baseline="0">
              <a:solidFill>
                <a:srgbClr val="FF0000"/>
              </a:solidFill>
            </a:rPr>
            <a:t> generated by OPENSSL or HSE.</a:t>
          </a:r>
          <a:endParaRPr lang="zh-TW" altLang="en-US" sz="1100">
            <a:solidFill>
              <a:srgbClr val="FF0000"/>
            </a:solidFill>
          </a:endParaRPr>
        </a:p>
      </xdr:txBody>
    </xdr:sp>
    <xdr:clientData/>
  </xdr:twoCellAnchor>
  <xdr:twoCellAnchor>
    <xdr:from>
      <xdr:col>6</xdr:col>
      <xdr:colOff>50618</xdr:colOff>
      <xdr:row>370</xdr:row>
      <xdr:rowOff>19867</xdr:rowOff>
    </xdr:from>
    <xdr:to>
      <xdr:col>6</xdr:col>
      <xdr:colOff>2086746</xdr:colOff>
      <xdr:row>371</xdr:row>
      <xdr:rowOff>40159</xdr:rowOff>
    </xdr:to>
    <xdr:sp macro="" textlink="">
      <xdr:nvSpPr>
        <xdr:cNvPr id="17" name="文字方塊 16">
          <a:extLst>
            <a:ext uri="{FF2B5EF4-FFF2-40B4-BE49-F238E27FC236}">
              <a16:creationId xmlns:a16="http://schemas.microsoft.com/office/drawing/2014/main" id="{24529242-F5CD-4D1E-B0F9-471C7E6D8127}"/>
            </a:ext>
          </a:extLst>
        </xdr:cNvPr>
        <xdr:cNvSpPr txBox="1"/>
      </xdr:nvSpPr>
      <xdr:spPr>
        <a:xfrm>
          <a:off x="10528118" y="134827192"/>
          <a:ext cx="2036128" cy="648942"/>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 was</a:t>
          </a:r>
          <a:r>
            <a:rPr lang="en-US" altLang="zh-TW" sz="1100" baseline="0">
              <a:solidFill>
                <a:srgbClr val="FF0000"/>
              </a:solidFill>
            </a:rPr>
            <a:t> generated by OPENSSL or HSE.</a:t>
          </a:r>
          <a:endParaRPr lang="zh-TW" altLang="en-US" sz="1100">
            <a:solidFill>
              <a:srgbClr val="FF0000"/>
            </a:solidFill>
          </a:endParaRPr>
        </a:p>
      </xdr:txBody>
    </xdr:sp>
    <xdr:clientData/>
  </xdr:twoCellAnchor>
  <xdr:twoCellAnchor>
    <xdr:from>
      <xdr:col>6</xdr:col>
      <xdr:colOff>50618</xdr:colOff>
      <xdr:row>321</xdr:row>
      <xdr:rowOff>19867</xdr:rowOff>
    </xdr:from>
    <xdr:to>
      <xdr:col>6</xdr:col>
      <xdr:colOff>2086746</xdr:colOff>
      <xdr:row>322</xdr:row>
      <xdr:rowOff>40159</xdr:rowOff>
    </xdr:to>
    <xdr:sp macro="" textlink="">
      <xdr:nvSpPr>
        <xdr:cNvPr id="18" name="文字方塊 17">
          <a:extLst>
            <a:ext uri="{FF2B5EF4-FFF2-40B4-BE49-F238E27FC236}">
              <a16:creationId xmlns:a16="http://schemas.microsoft.com/office/drawing/2014/main" id="{D2E217A6-717E-4783-B60A-6FD68997A30D}"/>
            </a:ext>
          </a:extLst>
        </xdr:cNvPr>
        <xdr:cNvSpPr txBox="1"/>
      </xdr:nvSpPr>
      <xdr:spPr>
        <a:xfrm>
          <a:off x="10528118" y="116320117"/>
          <a:ext cx="2036128" cy="648942"/>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 was</a:t>
          </a:r>
          <a:r>
            <a:rPr lang="en-US" altLang="zh-TW" sz="1100" baseline="0">
              <a:solidFill>
                <a:srgbClr val="FF0000"/>
              </a:solidFill>
            </a:rPr>
            <a:t> generated by OPENSSL or HSE.</a:t>
          </a:r>
          <a:endParaRPr lang="zh-TW" altLang="en-US" sz="1100">
            <a:solidFill>
              <a:srgbClr val="FF0000"/>
            </a:solidFill>
          </a:endParaRPr>
        </a:p>
      </xdr:txBody>
    </xdr:sp>
    <xdr:clientData/>
  </xdr:twoCellAnchor>
  <xdr:twoCellAnchor>
    <xdr:from>
      <xdr:col>6</xdr:col>
      <xdr:colOff>50618</xdr:colOff>
      <xdr:row>345</xdr:row>
      <xdr:rowOff>19867</xdr:rowOff>
    </xdr:from>
    <xdr:to>
      <xdr:col>6</xdr:col>
      <xdr:colOff>2086746</xdr:colOff>
      <xdr:row>346</xdr:row>
      <xdr:rowOff>40159</xdr:rowOff>
    </xdr:to>
    <xdr:sp macro="" textlink="">
      <xdr:nvSpPr>
        <xdr:cNvPr id="19" name="文字方塊 18">
          <a:extLst>
            <a:ext uri="{FF2B5EF4-FFF2-40B4-BE49-F238E27FC236}">
              <a16:creationId xmlns:a16="http://schemas.microsoft.com/office/drawing/2014/main" id="{3DA160A6-9FEF-48E0-A6A4-D203C68BBC90}"/>
            </a:ext>
          </a:extLst>
        </xdr:cNvPr>
        <xdr:cNvSpPr txBox="1"/>
      </xdr:nvSpPr>
      <xdr:spPr>
        <a:xfrm>
          <a:off x="10528118" y="125483167"/>
          <a:ext cx="2036128" cy="648942"/>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solidFill>
                <a:srgbClr val="FF0000"/>
              </a:solidFill>
            </a:rPr>
            <a:t>This CSR was</a:t>
          </a:r>
          <a:r>
            <a:rPr lang="en-US" altLang="zh-TW" sz="1100" baseline="0">
              <a:solidFill>
                <a:srgbClr val="FF0000"/>
              </a:solidFill>
            </a:rPr>
            <a:t> generated by OPENSSL or HSE.</a:t>
          </a:r>
          <a:endParaRPr lang="zh-TW" altLang="en-US" sz="1100">
            <a:solidFill>
              <a:srgbClr val="FF0000"/>
            </a:solidFill>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download\FVT_DiagnosticSpecificaion_FoxPi%20(2)%20&#30340;&#35079;&#26412;.xlsx" TargetMode="External"/><Relationship Id="rId1" Type="http://schemas.openxmlformats.org/officeDocument/2006/relationships/externalLinkPath" Target="https://foxtronev-my.sharepoint.com/download/FVT_DiagnosticSpecificaion_FoxPi%20(2)%20&#30340;&#35079;&#264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Introduction"/>
      <sheetName val="Revision"/>
      <sheetName val="GeneralInfo"/>
      <sheetName val="Services"/>
      <sheetName val="27Service"/>
      <sheetName val="28Service"/>
      <sheetName val="DTCInfo"/>
      <sheetName val="DTCList"/>
      <sheetName val="DTCData"/>
      <sheetName val="Snapshot"/>
      <sheetName val="SnapshotList"/>
      <sheetName val="ExtendedData"/>
      <sheetName val="DIDList"/>
      <sheetName val="DIDData"/>
      <sheetName val="2FService"/>
      <sheetName val="31Service"/>
      <sheetName val="23_3DService"/>
      <sheetName val="2AService"/>
      <sheetName val="Bootloader"/>
      <sheetName val="EOL"/>
      <sheetName val="Calibration"/>
      <sheetName val="NRC"/>
      <sheetName val="OI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persons/person.xml><?xml version="1.0" encoding="utf-8"?>
<personList xmlns="http://schemas.microsoft.com/office/spreadsheetml/2018/threadedcomments" xmlns:x="http://schemas.openxmlformats.org/spreadsheetml/2006/main">
  <person displayName="姚冠延(Andy.KY.Yao)" id="{78774662-2A25-49B8-9A2D-2B30A79A9105}" userId="S::Andy.KY.Yao@foxtronev.com::b313cd04-367d-4a1a-9653-c6ec0a444ed9" providerId="AD"/>
</personList>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ahLst/>
          <a:cxnLst/>
          <a:rect l="0" t="0" r="0" b="0"/>
          <a:pathLst>
            <a:path w="21600" h="21600" stroke="0" extrusionOk="0"/>
          </a:pathLst>
        </a:custGeom>
        <a:gradFill rotWithShape="0">
          <a:gsLst>
            <a:gs pos="0">
              <a:srgbClr val="BBD5F0"/>
            </a:gs>
            <a:gs pos="100000">
              <a:srgbClr val="9CBEE0"/>
            </a:gs>
          </a:gsLst>
          <a:lin ang="5400000" scaled="0"/>
        </a:gradFill>
        <a:ln w="15875" cap="flat" cmpd="sng" algn="ctr">
          <a:solidFill>
            <a:srgbClr val="739CC3">
              <a:alpha val="100000"/>
            </a:srgbClr>
          </a:solidFill>
          <a:prstDash val="solid"/>
          <a:miter lim="200000"/>
        </a:ln>
      </a:spPr>
      <a:bodyPr rot="0" vertOverflow="overflow" vert="horz" rtlCol="0" anchor="t"/>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L258" dT="2024-09-27T02:20:23.89" personId="{78774662-2A25-49B8-9A2D-2B30A79A9105}" id="{FD862DD0-4FA7-43C3-A933-E782392CE3D4}">
    <text>未填寫</text>
  </threadedComment>
  <threadedComment ref="L258" dT="2024-09-30T08:35:17.86" personId="{78774662-2A25-49B8-9A2D-2B30A79A9105}" id="{798FA68B-6690-4778-BCD9-BB87BD7A6A1F}" parentId="{FD862DD0-4FA7-43C3-A933-E782392CE3D4}">
    <text>Unsigned修改為Hex</text>
  </threadedComment>
  <threadedComment ref="O258" dT="2024-09-30T08:36:25.17" personId="{78774662-2A25-49B8-9A2D-2B30A79A9105}" id="{233669D0-915E-4F1C-9162-25B13B89F238}">
    <text>Offset為0</text>
  </threadedComment>
  <threadedComment ref="L259" dT="2024-09-27T02:20:23.89" personId="{78774662-2A25-49B8-9A2D-2B30A79A9105}" id="{24991DDC-7709-4C0D-964B-7FA1A7C56A20}">
    <text>未填寫</text>
  </threadedComment>
  <threadedComment ref="L259" dT="2024-09-30T08:35:17.86" personId="{78774662-2A25-49B8-9A2D-2B30A79A9105}" id="{5D60CAE7-FF08-4EFE-BAE3-F446F3283C9B}" parentId="{24991DDC-7709-4C0D-964B-7FA1A7C56A20}">
    <text>Unsigned修改為Hex</text>
  </threadedComment>
  <threadedComment ref="O259" dT="2024-09-30T08:36:25.17" personId="{78774662-2A25-49B8-9A2D-2B30A79A9105}" id="{606FB45C-0E03-4009-ABE2-7DA61AE80AFD}">
    <text>Offset為0</text>
  </threadedComment>
  <threadedComment ref="L260" dT="2024-09-27T02:20:23.89" personId="{78774662-2A25-49B8-9A2D-2B30A79A9105}" id="{03FD8F05-E0A4-458D-A4C4-25BB75416FEA}">
    <text>未填寫</text>
  </threadedComment>
  <threadedComment ref="O260" dT="2024-09-30T08:36:25.17" personId="{78774662-2A25-49B8-9A2D-2B30A79A9105}" id="{7D81C31C-C1B3-435F-8CF9-29CDDF418437}">
    <text>Offset為0</text>
  </threadedComment>
  <threadedComment ref="L261" dT="2024-09-27T02:20:23.89" personId="{78774662-2A25-49B8-9A2D-2B30A79A9105}" id="{D35722AD-CB6A-4FAA-93BF-1B52FF0F5C72}">
    <text>未填寫</text>
  </threadedComment>
  <threadedComment ref="O261" dT="2024-09-30T08:36:25.17" personId="{78774662-2A25-49B8-9A2D-2B30A79A9105}" id="{A7BBC138-8180-48DC-90E9-5E01A911B510}">
    <text>Offset為0</text>
  </threadedComment>
  <threadedComment ref="L262" dT="2024-09-27T02:20:23.89" personId="{78774662-2A25-49B8-9A2D-2B30A79A9105}" id="{B1B955B9-9D97-41ED-BEEA-39B2D613ACFC}">
    <text>未填寫</text>
  </threadedComment>
  <threadedComment ref="O262" dT="2024-09-30T08:36:25.17" personId="{78774662-2A25-49B8-9A2D-2B30A79A9105}" id="{5298749D-22E6-4193-A7BF-E9218B3630A2}">
    <text>Offset為0</text>
  </threadedComment>
  <threadedComment ref="L264" dT="2024-09-27T02:20:23.89" personId="{78774662-2A25-49B8-9A2D-2B30A79A9105}" id="{FC2551CF-F420-4146-B7B6-A26F29A2459F}">
    <text>未填寫</text>
  </threadedComment>
  <threadedComment ref="L264" dT="2024-09-30T08:35:17.86" personId="{78774662-2A25-49B8-9A2D-2B30A79A9105}" id="{3D2A64E7-348B-4E41-9F2D-1910DFB7BE15}" parentId="{FC2551CF-F420-4146-B7B6-A26F29A2459F}">
    <text>Unsigned修改為Hex</text>
  </threadedComment>
  <threadedComment ref="O264" dT="2024-09-30T08:36:25.17" personId="{78774662-2A25-49B8-9A2D-2B30A79A9105}" id="{486C388C-C101-4F18-94A7-27FD3FE6060D}">
    <text>Offset為0</text>
  </threadedComment>
  <threadedComment ref="L265" dT="2024-09-27T02:20:23.89" personId="{78774662-2A25-49B8-9A2D-2B30A79A9105}" id="{2E575915-5ACB-4551-B2AE-A4DB74E5CE3B}">
    <text>未填寫</text>
  </threadedComment>
  <threadedComment ref="L265" dT="2024-09-30T08:35:17.86" personId="{78774662-2A25-49B8-9A2D-2B30A79A9105}" id="{5590360E-1161-459B-9CAD-42E7DE56D550}" parentId="{2E575915-5ACB-4551-B2AE-A4DB74E5CE3B}">
    <text>Unsigned修改為Hex</text>
  </threadedComment>
  <threadedComment ref="O265" dT="2024-09-30T08:36:25.17" personId="{78774662-2A25-49B8-9A2D-2B30A79A9105}" id="{B6C55A73-08FE-4A05-8106-2C87CD73615B}">
    <text>Offset為0</text>
  </threadedComment>
  <threadedComment ref="L266" dT="2024-09-27T02:20:23.89" personId="{78774662-2A25-49B8-9A2D-2B30A79A9105}" id="{03DB7B2B-8CA1-47DC-8BD3-DB0AD61A8EB7}">
    <text>未填寫</text>
  </threadedComment>
  <threadedComment ref="O266" dT="2024-09-30T08:36:25.17" personId="{78774662-2A25-49B8-9A2D-2B30A79A9105}" id="{86CD5B0B-4620-4F87-9ECB-93C352300257}">
    <text>Offset為0</text>
  </threadedComment>
  <threadedComment ref="L267" dT="2024-09-27T02:20:23.89" personId="{78774662-2A25-49B8-9A2D-2B30A79A9105}" id="{F3153824-AB04-431F-9BD3-33561F23F97A}">
    <text>未填寫</text>
  </threadedComment>
  <threadedComment ref="O267" dT="2024-09-30T08:36:25.17" personId="{78774662-2A25-49B8-9A2D-2B30A79A9105}" id="{4D99A6A1-E2F4-4054-8554-1DAA8A96C97C}">
    <text>Offset為0</text>
  </threadedComment>
  <threadedComment ref="L268" dT="2024-09-27T02:20:23.89" personId="{78774662-2A25-49B8-9A2D-2B30A79A9105}" id="{ABF5A2C5-7368-4F6B-88E4-77CC160C33D4}">
    <text>未填寫</text>
  </threadedComment>
  <threadedComment ref="O268" dT="2024-09-30T08:36:25.17" personId="{78774662-2A25-49B8-9A2D-2B30A79A9105}" id="{7A6F04EC-020E-4B15-9994-72BB69BAF796}">
    <text>Offset為0</text>
  </threadedComment>
  <threadedComment ref="L269" dT="2024-09-27T02:20:23.89" personId="{78774662-2A25-49B8-9A2D-2B30A79A9105}" id="{EF99C0E4-FC73-4E5E-AE8F-4F2A8AC82629}">
    <text>未填寫</text>
  </threadedComment>
  <threadedComment ref="L270" dT="2024-09-27T02:20:23.89" personId="{78774662-2A25-49B8-9A2D-2B30A79A9105}" id="{CF9692E7-9F01-4593-B3D6-04A32AE56EAA}">
    <text>未填寫</text>
  </threadedComment>
  <threadedComment ref="L271" dT="2024-09-27T02:20:23.89" personId="{78774662-2A25-49B8-9A2D-2B30A79A9105}" id="{F0B53483-261B-4044-9461-6A8DCCC86BF7}">
    <text>未填寫</text>
  </threadedComment>
  <threadedComment ref="L272" dT="2024-09-27T02:20:23.89" personId="{78774662-2A25-49B8-9A2D-2B30A79A9105}" id="{C72646BC-B375-4C9F-8D26-865F074F6D69}">
    <text>未填寫</text>
  </threadedComment>
  <threadedComment ref="L273" dT="2024-09-27T02:20:23.89" personId="{78774662-2A25-49B8-9A2D-2B30A79A9105}" id="{0C43E42D-4EC2-4B5E-AACA-731B6398DBC4}">
    <text>未填寫</text>
  </threadedComment>
  <threadedComment ref="L274" dT="2024-09-27T02:20:23.89" personId="{78774662-2A25-49B8-9A2D-2B30A79A9105}" id="{79439C49-8D63-41E4-AE2E-FD4B6F5C8307}">
    <text>未填寫</text>
  </threadedComment>
  <threadedComment ref="L275" dT="2024-09-27T02:20:23.89" personId="{78774662-2A25-49B8-9A2D-2B30A79A9105}" id="{F452B85C-4187-46A5-A642-B7937FD60BB5}">
    <text>未填寫</text>
  </threadedComment>
  <threadedComment ref="L276" dT="2024-09-27T02:20:23.89" personId="{78774662-2A25-49B8-9A2D-2B30A79A9105}" id="{33357B5D-4F36-4294-B7F3-E73CF2B2CC5A}">
    <text>未填寫</text>
  </threadedComment>
  <threadedComment ref="L277" dT="2024-09-27T02:20:23.89" personId="{78774662-2A25-49B8-9A2D-2B30A79A9105}" id="{05B81297-C04C-4B96-AFBD-D8C2E95332AD}">
    <text>未填寫</text>
  </threadedComment>
  <threadedComment ref="L278" dT="2024-09-27T02:20:23.89" personId="{78774662-2A25-49B8-9A2D-2B30A79A9105}" id="{7E56CFEA-0161-44A8-BA8F-87DEE466BD1C}">
    <text>未填寫</text>
  </threadedComment>
  <threadedComment ref="L279" dT="2024-09-27T02:20:23.89" personId="{78774662-2A25-49B8-9A2D-2B30A79A9105}" id="{74513779-DD99-4063-88A2-D980E1694F61}">
    <text>未填寫</text>
  </threadedComment>
  <threadedComment ref="L280" dT="2024-09-27T02:20:23.89" personId="{78774662-2A25-49B8-9A2D-2B30A79A9105}" id="{8F336330-5D54-4385-9EDD-0F2602100827}">
    <text>未填寫</text>
  </threadedComment>
  <threadedComment ref="L281" dT="2024-09-27T02:20:23.89" personId="{78774662-2A25-49B8-9A2D-2B30A79A9105}" id="{23C7F0A6-6E36-4768-B698-186538BA8A82}">
    <text>未填寫</text>
  </threadedComment>
  <threadedComment ref="L282" dT="2024-09-27T02:20:23.89" personId="{78774662-2A25-49B8-9A2D-2B30A79A9105}" id="{91CD66B0-0837-46BF-B59C-C181B7A1E02F}">
    <text>未填寫</text>
  </threadedComment>
  <threadedComment ref="L283" dT="2024-09-27T02:20:23.89" personId="{78774662-2A25-49B8-9A2D-2B30A79A9105}" id="{8B18C106-3A64-482B-B8A9-A11A5AE6CD00}">
    <text>未填寫</text>
  </threadedComment>
  <threadedComment ref="L284" dT="2024-09-27T02:20:23.89" personId="{78774662-2A25-49B8-9A2D-2B30A79A9105}" id="{60F53649-5825-4CAA-97F6-D183BFBF4F1F}">
    <text>未填寫</text>
  </threadedComment>
  <threadedComment ref="L285" dT="2024-09-27T02:20:23.89" personId="{78774662-2A25-49B8-9A2D-2B30A79A9105}" id="{413D5B7F-D04E-474B-B290-56F5283DE663}">
    <text>未填寫</text>
  </threadedComment>
  <threadedComment ref="L286" dT="2024-09-27T02:20:23.89" personId="{78774662-2A25-49B8-9A2D-2B30A79A9105}" id="{267C9311-6EBD-42A9-95E7-F3014810DF88}">
    <text>未填寫</text>
  </threadedComment>
  <threadedComment ref="L287" dT="2024-09-27T02:20:23.89" personId="{78774662-2A25-49B8-9A2D-2B30A79A9105}" id="{195B37F5-414E-4BB3-86A0-E81B1F1127CE}">
    <text>未填寫</text>
  </threadedComment>
  <threadedComment ref="L288" dT="2024-09-27T02:20:23.89" personId="{78774662-2A25-49B8-9A2D-2B30A79A9105}" id="{2A18837E-4A99-4746-96D6-E782871AD01C}">
    <text>未填寫</text>
  </threadedComment>
  <threadedComment ref="L289" dT="2024-09-27T02:20:23.89" personId="{78774662-2A25-49B8-9A2D-2B30A79A9105}" id="{BE4E0848-0D22-4163-A671-8C506F531714}">
    <text>未填寫</text>
  </threadedComment>
  <threadedComment ref="L290" dT="2024-09-27T02:20:23.89" personId="{78774662-2A25-49B8-9A2D-2B30A79A9105}" id="{7ADEC157-B4A7-4FB8-9C7F-B4B50CA192C8}">
    <text>未填寫</text>
  </threadedComment>
  <threadedComment ref="L291" dT="2024-09-27T02:20:23.89" personId="{78774662-2A25-49B8-9A2D-2B30A79A9105}" id="{C3CBB405-8CCE-4783-AE2D-DAD57D30AB3E}">
    <text>未填寫</text>
  </threadedComment>
  <threadedComment ref="L292" dT="2024-09-27T02:20:23.89" personId="{78774662-2A25-49B8-9A2D-2B30A79A9105}" id="{9C602CD9-C82C-41B2-A31A-0A81938285FF}">
    <text>未填寫</text>
  </threadedComment>
  <threadedComment ref="L293" dT="2024-09-27T02:20:23.89" personId="{78774662-2A25-49B8-9A2D-2B30A79A9105}" id="{BFD6CCA7-B8EB-4671-895D-C8A0E4C95ED2}">
    <text>未填寫</text>
  </threadedComment>
  <threadedComment ref="L294" dT="2024-09-27T02:20:23.89" personId="{78774662-2A25-49B8-9A2D-2B30A79A9105}" id="{D799C110-BF58-498C-B76F-27346E73821C}">
    <text>未填寫</text>
  </threadedComment>
  <threadedComment ref="L295" dT="2024-09-27T02:20:23.89" personId="{78774662-2A25-49B8-9A2D-2B30A79A9105}" id="{4A702DC7-EF91-4B67-AE71-C589FF07F707}">
    <text>未填寫</text>
  </threadedComment>
  <threadedComment ref="L296" dT="2024-09-27T02:20:23.89" personId="{78774662-2A25-49B8-9A2D-2B30A79A9105}" id="{F5085BAA-4E90-4642-872A-67B9DB23CD50}">
    <text>未填寫</text>
  </threadedComment>
  <threadedComment ref="L297" dT="2024-09-27T02:20:23.89" personId="{78774662-2A25-49B8-9A2D-2B30A79A9105}" id="{2D4F37E2-7C4F-4E91-9C11-44D3FC2D0ACC}">
    <text>未填寫</text>
  </threadedComment>
  <threadedComment ref="L298" dT="2024-09-27T02:20:23.89" personId="{78774662-2A25-49B8-9A2D-2B30A79A9105}" id="{A81C9248-CB31-4855-AC9F-EECBB71A992E}">
    <text>未填寫</text>
  </threadedComment>
  <threadedComment ref="L299" dT="2024-09-27T02:20:23.89" personId="{78774662-2A25-49B8-9A2D-2B30A79A9105}" id="{530E5119-5AAD-4101-AED2-7C3E8D20C5DB}">
    <text>未填寫</text>
  </threadedComment>
  <threadedComment ref="L300" dT="2024-09-27T02:20:23.89" personId="{78774662-2A25-49B8-9A2D-2B30A79A9105}" id="{4B099601-B7E0-48A8-B00D-992C6BF304DC}">
    <text>未填寫</text>
  </threadedComment>
  <threadedComment ref="L301" dT="2024-09-27T02:20:23.89" personId="{78774662-2A25-49B8-9A2D-2B30A79A9105}" id="{C2EF8CFA-C562-4AF3-8882-6E536772D0ED}">
    <text>未填寫</text>
  </threadedComment>
  <threadedComment ref="L302" dT="2024-09-27T02:20:23.89" personId="{78774662-2A25-49B8-9A2D-2B30A79A9105}" id="{2690D324-8727-4EF3-A569-0F082FD1F566}">
    <text>未填寫</text>
  </threadedComment>
  <threadedComment ref="L303" dT="2024-09-27T02:20:23.89" personId="{78774662-2A25-49B8-9A2D-2B30A79A9105}" id="{19F3E20D-4C07-4828-9C35-59C9776D2FB9}">
    <text>未填寫</text>
  </threadedComment>
  <threadedComment ref="L304" dT="2024-09-27T02:20:23.89" personId="{78774662-2A25-49B8-9A2D-2B30A79A9105}" id="{019C4A84-99E7-4BDC-B2F6-786CADDFF42E}">
    <text>未填寫</text>
  </threadedComment>
  <threadedComment ref="L305" dT="2024-09-27T02:20:23.89" personId="{78774662-2A25-49B8-9A2D-2B30A79A9105}" id="{2D9BCBEB-E71D-456B-BD8B-64D89FDBB53E}">
    <text>未填寫</text>
  </threadedComment>
  <threadedComment ref="L306" dT="2024-09-27T02:20:23.89" personId="{78774662-2A25-49B8-9A2D-2B30A79A9105}" id="{6FD18741-6A35-4DCF-8A7A-01EF45949582}">
    <text>未填寫</text>
  </threadedComment>
  <threadedComment ref="L307" dT="2024-09-27T02:20:23.89" personId="{78774662-2A25-49B8-9A2D-2B30A79A9105}" id="{11650B18-E117-4663-B624-500FA7AEA83F}">
    <text>未填寫</text>
  </threadedComment>
  <threadedComment ref="L308" dT="2024-09-27T02:20:23.89" personId="{78774662-2A25-49B8-9A2D-2B30A79A9105}" id="{A36C8AD1-293A-4037-BF24-2B414365B9B8}">
    <text>未填寫</text>
  </threadedComment>
  <threadedComment ref="L309" dT="2024-09-27T02:20:23.89" personId="{78774662-2A25-49B8-9A2D-2B30A79A9105}" id="{823B1651-2145-4BC3-88FF-BE1E424B5A29}">
    <text>未填寫</text>
  </threadedComment>
  <threadedComment ref="L310" dT="2024-09-27T02:20:23.89" personId="{78774662-2A25-49B8-9A2D-2B30A79A9105}" id="{9757D46A-A1AB-4CCA-8A98-BAC7D53B40ED}">
    <text>未填寫</text>
  </threadedComment>
  <threadedComment ref="L311" dT="2024-09-27T02:20:23.89" personId="{78774662-2A25-49B8-9A2D-2B30A79A9105}" id="{A3B0CEFF-1FBD-4F06-A27F-B0903538F233}">
    <text>未填寫</text>
  </threadedComment>
  <threadedComment ref="L312" dT="2024-09-27T02:20:23.89" personId="{78774662-2A25-49B8-9A2D-2B30A79A9105}" id="{4F3E5002-E45A-44EC-AC60-5F82DF1A84E3}">
    <text>未填寫</text>
  </threadedComment>
  <threadedComment ref="L313" dT="2024-09-27T02:20:23.89" personId="{78774662-2A25-49B8-9A2D-2B30A79A9105}" id="{4C6EBFD5-81EC-4E10-AC96-49E68EAA9058}">
    <text>未填寫</text>
  </threadedComment>
  <threadedComment ref="L314" dT="2024-09-27T02:20:23.89" personId="{78774662-2A25-49B8-9A2D-2B30A79A9105}" id="{1193E427-4C51-468B-8FED-233D98B3DE16}">
    <text>未填寫</text>
  </threadedComment>
  <threadedComment ref="L315" dT="2024-09-27T02:20:23.89" personId="{78774662-2A25-49B8-9A2D-2B30A79A9105}" id="{FC93F658-3B72-4E62-8364-A426FB788184}">
    <text>未填寫</text>
  </threadedComment>
  <threadedComment ref="L316" dT="2024-09-27T02:20:23.89" personId="{78774662-2A25-49B8-9A2D-2B30A79A9105}" id="{514336EE-7F0F-4E6F-AE4B-90ACCA5D97E6}">
    <text>未填寫</text>
  </threadedComment>
  <threadedComment ref="L317" dT="2024-09-27T02:20:23.89" personId="{78774662-2A25-49B8-9A2D-2B30A79A9105}" id="{73B504D0-D7FD-475A-9ED8-CF02B02B5FC0}">
    <text>未填寫</text>
  </threadedComment>
  <threadedComment ref="L318" dT="2024-09-27T02:20:23.89" personId="{78774662-2A25-49B8-9A2D-2B30A79A9105}" id="{3B83B857-6F53-4A01-80B5-5CD19610D2EE}">
    <text>未填寫</text>
  </threadedComment>
  <threadedComment ref="L319" dT="2024-09-27T02:20:23.89" personId="{78774662-2A25-49B8-9A2D-2B30A79A9105}" id="{AF7874AA-3ADA-413B-B150-44871804D425}">
    <text>未填寫</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7.bin"/><Relationship Id="rId4" Type="http://schemas.microsoft.com/office/2017/10/relationships/threadedComment" Target="../threadedComments/threadedComment1.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EF8E7-BF17-4CDC-8CC5-34F6F82B036C}">
  <dimension ref="A1:F25"/>
  <sheetViews>
    <sheetView topLeftCell="A13" zoomScale="130" zoomScaleNormal="130" workbookViewId="0">
      <selection activeCell="C49" sqref="C49"/>
    </sheetView>
  </sheetViews>
  <sheetFormatPr defaultColWidth="9" defaultRowHeight="15"/>
  <cols>
    <col min="1" max="1" width="8.875" style="379" customWidth="1"/>
    <col min="2" max="2" width="26" style="379" customWidth="1"/>
    <col min="3" max="3" width="20.75" style="379" bestFit="1" customWidth="1"/>
    <col min="4" max="4" width="19.25" style="379" customWidth="1"/>
    <col min="5" max="5" width="14.75" style="379" customWidth="1"/>
    <col min="6" max="16384" width="9" style="379"/>
  </cols>
  <sheetData>
    <row r="1" spans="1:6" ht="17.25" customHeight="1">
      <c r="A1" s="327" t="s">
        <v>0</v>
      </c>
      <c r="B1" s="378"/>
      <c r="C1" s="378"/>
      <c r="D1" s="378"/>
      <c r="E1" s="378"/>
    </row>
    <row r="2" spans="1:6" ht="15.75">
      <c r="A2" s="798" t="s">
        <v>1</v>
      </c>
      <c r="B2" s="798"/>
      <c r="C2" s="798"/>
      <c r="D2" s="798"/>
      <c r="E2" s="798"/>
    </row>
    <row r="3" spans="1:6" ht="15.75">
      <c r="A3" s="797"/>
      <c r="B3" s="797"/>
      <c r="C3" s="797"/>
      <c r="D3" s="797"/>
      <c r="E3" s="797"/>
    </row>
    <row r="4" spans="1:6" ht="9" customHeight="1">
      <c r="A4" s="361"/>
      <c r="B4" s="361"/>
      <c r="C4" s="361"/>
      <c r="D4" s="361"/>
      <c r="E4" s="361"/>
    </row>
    <row r="5" spans="1:6" s="263" customFormat="1" ht="33" customHeight="1">
      <c r="A5" s="795" t="s">
        <v>2</v>
      </c>
      <c r="B5" s="795" t="s">
        <v>3</v>
      </c>
      <c r="C5" s="795" t="s">
        <v>4</v>
      </c>
      <c r="D5" s="795" t="s">
        <v>5</v>
      </c>
      <c r="E5" s="795" t="s">
        <v>6</v>
      </c>
      <c r="F5" s="795" t="s">
        <v>7</v>
      </c>
    </row>
    <row r="6" spans="1:6" s="263" customFormat="1" ht="38.25" customHeight="1">
      <c r="A6" s="795"/>
      <c r="B6" s="795"/>
      <c r="C6" s="795"/>
      <c r="D6" s="795"/>
      <c r="E6" s="795"/>
      <c r="F6" s="795"/>
    </row>
    <row r="7" spans="1:6" s="263" customFormat="1" ht="11.25">
      <c r="A7" s="796" t="s">
        <v>8</v>
      </c>
      <c r="B7" s="349" t="s">
        <v>9</v>
      </c>
      <c r="C7" s="349" t="s">
        <v>10</v>
      </c>
      <c r="D7" s="381" t="s">
        <v>11</v>
      </c>
      <c r="E7" s="349"/>
      <c r="F7" s="346" t="s">
        <v>12</v>
      </c>
    </row>
    <row r="8" spans="1:6" s="263" customFormat="1" ht="11.25">
      <c r="A8" s="796"/>
      <c r="B8" s="349" t="s">
        <v>13</v>
      </c>
      <c r="C8" s="349" t="s">
        <v>14</v>
      </c>
      <c r="D8" s="381" t="s">
        <v>11</v>
      </c>
      <c r="E8" s="349" t="s">
        <v>15</v>
      </c>
      <c r="F8" s="346" t="s">
        <v>12</v>
      </c>
    </row>
    <row r="9" spans="1:6" s="263" customFormat="1" ht="11.25">
      <c r="A9" s="796"/>
      <c r="B9" s="349" t="s">
        <v>16</v>
      </c>
      <c r="C9" s="349" t="s">
        <v>17</v>
      </c>
      <c r="D9" s="381" t="s">
        <v>11</v>
      </c>
      <c r="E9" s="349" t="s">
        <v>15</v>
      </c>
      <c r="F9" s="346" t="s">
        <v>12</v>
      </c>
    </row>
    <row r="10" spans="1:6" s="263" customFormat="1" ht="11.25">
      <c r="A10" s="796"/>
      <c r="B10" s="349" t="s">
        <v>18</v>
      </c>
      <c r="C10" s="349" t="s">
        <v>19</v>
      </c>
      <c r="D10" s="381" t="s">
        <v>11</v>
      </c>
      <c r="E10" s="349" t="s">
        <v>15</v>
      </c>
      <c r="F10" s="346" t="s">
        <v>12</v>
      </c>
    </row>
    <row r="11" spans="1:6" s="263" customFormat="1" ht="11.25">
      <c r="A11" s="796"/>
      <c r="B11" s="349" t="s">
        <v>20</v>
      </c>
      <c r="C11" s="349" t="s">
        <v>21</v>
      </c>
      <c r="D11" s="381" t="s">
        <v>11</v>
      </c>
      <c r="E11" s="349" t="s">
        <v>15</v>
      </c>
      <c r="F11" s="346" t="s">
        <v>12</v>
      </c>
    </row>
    <row r="12" spans="1:6" s="263" customFormat="1" ht="11.25">
      <c r="A12" s="796"/>
      <c r="B12" s="349" t="s">
        <v>22</v>
      </c>
      <c r="C12" s="349" t="s">
        <v>23</v>
      </c>
      <c r="D12" s="381" t="s">
        <v>24</v>
      </c>
      <c r="E12" s="349" t="s">
        <v>15</v>
      </c>
      <c r="F12" s="346" t="s">
        <v>25</v>
      </c>
    </row>
    <row r="13" spans="1:6" s="263" customFormat="1" ht="16.149999999999999" customHeight="1"/>
    <row r="14" spans="1:6" s="263" customFormat="1" ht="15" customHeight="1">
      <c r="A14" s="797" t="s">
        <v>26</v>
      </c>
      <c r="B14" s="797"/>
      <c r="C14" s="797"/>
      <c r="D14" s="797"/>
      <c r="E14" s="797"/>
    </row>
    <row r="15" spans="1:6" ht="15.75">
      <c r="A15" s="797"/>
      <c r="B15" s="797"/>
      <c r="C15" s="797"/>
      <c r="D15" s="797"/>
      <c r="E15" s="797"/>
    </row>
    <row r="16" spans="1:6" ht="12" customHeight="1">
      <c r="A16" s="382"/>
      <c r="B16" s="382"/>
      <c r="C16" s="382"/>
      <c r="D16" s="382"/>
      <c r="E16" s="382"/>
    </row>
    <row r="17" spans="1:6" ht="15" customHeight="1">
      <c r="A17" s="380" t="s">
        <v>27</v>
      </c>
      <c r="B17" s="380" t="s">
        <v>28</v>
      </c>
      <c r="C17" s="380" t="s">
        <v>29</v>
      </c>
      <c r="D17" s="380" t="s">
        <v>5</v>
      </c>
      <c r="E17" s="380" t="s">
        <v>6</v>
      </c>
      <c r="F17" s="380" t="s">
        <v>7</v>
      </c>
    </row>
    <row r="18" spans="1:6" ht="22.5">
      <c r="A18" s="342" t="s">
        <v>30</v>
      </c>
      <c r="B18" s="349" t="s">
        <v>31</v>
      </c>
      <c r="C18" s="349" t="s">
        <v>32</v>
      </c>
      <c r="D18" s="381" t="s">
        <v>24</v>
      </c>
      <c r="E18" s="342" t="s">
        <v>15</v>
      </c>
      <c r="F18" s="346" t="s">
        <v>25</v>
      </c>
    </row>
    <row r="19" spans="1:6" ht="22.5">
      <c r="A19" s="342" t="s">
        <v>33</v>
      </c>
      <c r="B19" s="349" t="s">
        <v>34</v>
      </c>
      <c r="C19" s="349" t="s">
        <v>35</v>
      </c>
      <c r="D19" s="381" t="s">
        <v>24</v>
      </c>
      <c r="E19" s="342" t="s">
        <v>15</v>
      </c>
      <c r="F19" s="346" t="s">
        <v>12</v>
      </c>
    </row>
    <row r="20" spans="1:6" ht="22.5">
      <c r="A20" s="342" t="s">
        <v>36</v>
      </c>
      <c r="B20" s="349" t="s">
        <v>37</v>
      </c>
      <c r="C20" s="349" t="s">
        <v>32</v>
      </c>
      <c r="D20" s="381" t="s">
        <v>24</v>
      </c>
      <c r="E20" s="342" t="s">
        <v>15</v>
      </c>
      <c r="F20" s="346" t="s">
        <v>25</v>
      </c>
    </row>
    <row r="21" spans="1:6" ht="22.5">
      <c r="A21" s="342" t="s">
        <v>38</v>
      </c>
      <c r="B21" s="349" t="s">
        <v>39</v>
      </c>
      <c r="C21" s="349" t="s">
        <v>32</v>
      </c>
      <c r="D21" s="381" t="s">
        <v>24</v>
      </c>
      <c r="E21" s="342" t="s">
        <v>15</v>
      </c>
      <c r="F21" s="346" t="s">
        <v>25</v>
      </c>
    </row>
    <row r="22" spans="1:6" ht="22.5">
      <c r="A22" s="342" t="s">
        <v>40</v>
      </c>
      <c r="B22" s="349" t="s">
        <v>41</v>
      </c>
      <c r="C22" s="349" t="s">
        <v>32</v>
      </c>
      <c r="D22" s="381" t="s">
        <v>11</v>
      </c>
      <c r="E22" s="342" t="s">
        <v>15</v>
      </c>
      <c r="F22" s="346" t="s">
        <v>12</v>
      </c>
    </row>
    <row r="23" spans="1:6" ht="22.5">
      <c r="A23" s="342" t="s">
        <v>42</v>
      </c>
      <c r="B23" s="349" t="s">
        <v>43</v>
      </c>
      <c r="C23" s="349" t="s">
        <v>32</v>
      </c>
      <c r="D23" s="381" t="s">
        <v>11</v>
      </c>
      <c r="E23" s="342" t="s">
        <v>15</v>
      </c>
      <c r="F23" s="346" t="s">
        <v>12</v>
      </c>
    </row>
    <row r="24" spans="1:6" ht="22.5">
      <c r="A24" s="342" t="s">
        <v>44</v>
      </c>
      <c r="B24" s="349" t="s">
        <v>45</v>
      </c>
      <c r="C24" s="349" t="s">
        <v>32</v>
      </c>
      <c r="D24" s="381" t="s">
        <v>24</v>
      </c>
      <c r="E24" s="342" t="s">
        <v>15</v>
      </c>
      <c r="F24" s="346" t="s">
        <v>12</v>
      </c>
    </row>
    <row r="25" spans="1:6" ht="22.5">
      <c r="A25" s="342" t="s">
        <v>46</v>
      </c>
      <c r="B25" s="349" t="s">
        <v>47</v>
      </c>
      <c r="C25" s="349" t="s">
        <v>32</v>
      </c>
      <c r="D25" s="381" t="s">
        <v>11</v>
      </c>
      <c r="E25" s="342" t="s">
        <v>15</v>
      </c>
      <c r="F25" s="346" t="s">
        <v>12</v>
      </c>
    </row>
  </sheetData>
  <sheetProtection formatCells="0" formatColumns="0" formatRows="0"/>
  <protectedRanges>
    <protectedRange sqref="D7:E12 D18:E25" name="範圍1"/>
  </protectedRanges>
  <mergeCells count="11">
    <mergeCell ref="F5:F6"/>
    <mergeCell ref="A7:A12"/>
    <mergeCell ref="A14:E14"/>
    <mergeCell ref="A15:E15"/>
    <mergeCell ref="A2:E2"/>
    <mergeCell ref="A3:E3"/>
    <mergeCell ref="A5:A6"/>
    <mergeCell ref="B5:B6"/>
    <mergeCell ref="C5:C6"/>
    <mergeCell ref="D5:D6"/>
    <mergeCell ref="E5:E6"/>
  </mergeCells>
  <phoneticPr fontId="45" type="noConversion"/>
  <conditionalFormatting sqref="B7:E12">
    <cfRule type="cellIs" dxfId="309" priority="13" stopIfTrue="1" operator="equal">
      <formula>"-"</formula>
    </cfRule>
    <cfRule type="cellIs" dxfId="308" priority="14" stopIfTrue="1" operator="equal">
      <formula>"tbd"</formula>
    </cfRule>
  </conditionalFormatting>
  <conditionalFormatting sqref="D7:D12">
    <cfRule type="cellIs" dxfId="307" priority="15" stopIfTrue="1" operator="equal">
      <formula>"-"</formula>
    </cfRule>
    <cfRule type="cellIs" dxfId="306" priority="16" stopIfTrue="1" operator="equal">
      <formula>"tbd"</formula>
    </cfRule>
  </conditionalFormatting>
  <conditionalFormatting sqref="D19">
    <cfRule type="cellIs" dxfId="305" priority="9" stopIfTrue="1" operator="equal">
      <formula>"-"</formula>
    </cfRule>
    <cfRule type="cellIs" dxfId="304" priority="10" stopIfTrue="1" operator="equal">
      <formula>"tbd"</formula>
    </cfRule>
  </conditionalFormatting>
  <conditionalFormatting sqref="D19:D21">
    <cfRule type="cellIs" dxfId="303" priority="11" stopIfTrue="1" operator="equal">
      <formula>"-"</formula>
    </cfRule>
    <cfRule type="cellIs" dxfId="302" priority="12" stopIfTrue="1" operator="equal">
      <formula>"tbd"</formula>
    </cfRule>
  </conditionalFormatting>
  <conditionalFormatting sqref="D22">
    <cfRule type="cellIs" dxfId="301" priority="7" stopIfTrue="1" operator="equal">
      <formula>"-"</formula>
    </cfRule>
    <cfRule type="cellIs" dxfId="300" priority="8" stopIfTrue="1" operator="equal">
      <formula>"tbd"</formula>
    </cfRule>
  </conditionalFormatting>
  <conditionalFormatting sqref="D22:D23">
    <cfRule type="cellIs" dxfId="299" priority="6" stopIfTrue="1" operator="equal">
      <formula>"tbd"</formula>
    </cfRule>
  </conditionalFormatting>
  <conditionalFormatting sqref="D22:D24">
    <cfRule type="cellIs" dxfId="298" priority="1" stopIfTrue="1" operator="equal">
      <formula>"-"</formula>
    </cfRule>
  </conditionalFormatting>
  <conditionalFormatting sqref="D23">
    <cfRule type="cellIs" dxfId="297" priority="5" stopIfTrue="1" operator="equal">
      <formula>"-"</formula>
    </cfRule>
  </conditionalFormatting>
  <conditionalFormatting sqref="D23:D25">
    <cfRule type="cellIs" dxfId="296" priority="4" stopIfTrue="1" operator="equal">
      <formula>"tbd"</formula>
    </cfRule>
  </conditionalFormatting>
  <conditionalFormatting sqref="D24">
    <cfRule type="cellIs" dxfId="295" priority="2" stopIfTrue="1" operator="equal">
      <formula>"tbd"</formula>
    </cfRule>
  </conditionalFormatting>
  <conditionalFormatting sqref="D24:D25">
    <cfRule type="cellIs" dxfId="294" priority="3" stopIfTrue="1" operator="equal">
      <formula>"-"</formula>
    </cfRule>
  </conditionalFormatting>
  <hyperlinks>
    <hyperlink ref="A1" location="_0x14" display="Return" xr:uid="{65417CE4-AD89-4DED-8077-4E2EA906F9FA}"/>
  </hyperlinks>
  <pageMargins left="0.69930555555555596" right="0.69930555555555596"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EB7C1-E170-4E17-8FEE-E419AE75273D}">
  <dimension ref="A2:J63"/>
  <sheetViews>
    <sheetView zoomScale="70" zoomScaleNormal="70" workbookViewId="0">
      <selection activeCell="I27" sqref="I27"/>
    </sheetView>
  </sheetViews>
  <sheetFormatPr defaultColWidth="9" defaultRowHeight="20.25"/>
  <cols>
    <col min="1" max="1" width="41.375" style="374" customWidth="1"/>
    <col min="2" max="2" width="16.5" style="374" customWidth="1"/>
    <col min="3" max="3" width="28.625" style="364" customWidth="1"/>
    <col min="4" max="4" width="8.875" style="364" bestFit="1" customWidth="1"/>
    <col min="5" max="5" width="10.5" style="364" bestFit="1" customWidth="1"/>
    <col min="6" max="16384" width="9" style="364"/>
  </cols>
  <sheetData>
    <row r="2" spans="1:10" ht="22.15" customHeight="1">
      <c r="A2" s="802" t="s">
        <v>48</v>
      </c>
      <c r="B2" s="802"/>
      <c r="C2" s="802"/>
      <c r="D2" s="802"/>
      <c r="E2" s="362"/>
      <c r="F2" s="363"/>
      <c r="G2" s="363"/>
      <c r="H2" s="363"/>
      <c r="I2" s="363"/>
      <c r="J2" s="363"/>
    </row>
    <row r="3" spans="1:10" ht="21" customHeight="1">
      <c r="A3" s="365"/>
      <c r="B3" s="365"/>
      <c r="C3" s="366"/>
      <c r="D3" s="366"/>
      <c r="E3" s="362"/>
      <c r="F3" s="363"/>
      <c r="G3" s="363"/>
      <c r="H3" s="363"/>
      <c r="I3" s="363"/>
      <c r="J3" s="363"/>
    </row>
    <row r="4" spans="1:10" ht="16.5" customHeight="1">
      <c r="A4" s="365"/>
      <c r="B4" s="365"/>
      <c r="C4" s="366"/>
      <c r="D4" s="366"/>
      <c r="E4" s="366"/>
      <c r="F4" s="363"/>
      <c r="G4" s="363"/>
      <c r="H4" s="363"/>
      <c r="I4" s="363"/>
      <c r="J4" s="363"/>
    </row>
    <row r="5" spans="1:10" ht="36" customHeight="1">
      <c r="A5" s="803" t="s">
        <v>49</v>
      </c>
      <c r="B5" s="803"/>
      <c r="C5" s="803"/>
      <c r="D5" s="803"/>
      <c r="E5" s="367"/>
      <c r="F5" s="363"/>
      <c r="G5" s="363"/>
      <c r="H5" s="363"/>
      <c r="I5" s="363"/>
      <c r="J5" s="363"/>
    </row>
    <row r="6" spans="1:10" ht="33.75" customHeight="1">
      <c r="A6" s="800" t="s">
        <v>50</v>
      </c>
      <c r="B6" s="800" t="s">
        <v>51</v>
      </c>
      <c r="C6" s="800"/>
      <c r="D6" s="800"/>
    </row>
    <row r="7" spans="1:10">
      <c r="A7" s="800"/>
      <c r="B7" s="368" t="s">
        <v>52</v>
      </c>
      <c r="C7" s="368" t="s">
        <v>53</v>
      </c>
      <c r="D7" s="368" t="s">
        <v>54</v>
      </c>
    </row>
    <row r="8" spans="1:10" ht="15.75" customHeight="1">
      <c r="A8" s="425" t="s">
        <v>55</v>
      </c>
      <c r="B8" s="526" t="s">
        <v>56</v>
      </c>
      <c r="C8" s="527" t="s">
        <v>57</v>
      </c>
      <c r="D8" s="528"/>
    </row>
    <row r="9" spans="1:10" ht="18" customHeight="1">
      <c r="A9" s="804"/>
      <c r="B9" s="804"/>
      <c r="C9" s="804"/>
      <c r="D9" s="370"/>
      <c r="E9" s="370"/>
    </row>
    <row r="10" spans="1:10" ht="28.15" customHeight="1">
      <c r="A10" s="800" t="s">
        <v>58</v>
      </c>
      <c r="B10" s="800"/>
      <c r="C10" s="800"/>
      <c r="D10" s="800"/>
      <c r="E10" s="800"/>
    </row>
    <row r="11" spans="1:10" ht="38.25">
      <c r="A11" s="368" t="s">
        <v>52</v>
      </c>
      <c r="B11" s="368" t="s">
        <v>53</v>
      </c>
      <c r="C11" s="368" t="s">
        <v>54</v>
      </c>
      <c r="D11" s="371" t="s">
        <v>7</v>
      </c>
      <c r="E11" s="371" t="s">
        <v>59</v>
      </c>
    </row>
    <row r="12" spans="1:10">
      <c r="A12" s="529" t="s">
        <v>60</v>
      </c>
      <c r="B12" s="530" t="s">
        <v>61</v>
      </c>
      <c r="C12" s="528" t="s">
        <v>62</v>
      </c>
      <c r="D12" s="372" t="s">
        <v>63</v>
      </c>
      <c r="E12" s="528"/>
    </row>
    <row r="13" spans="1:10">
      <c r="A13" s="373" t="s">
        <v>64</v>
      </c>
      <c r="B13" s="428" t="s">
        <v>65</v>
      </c>
      <c r="C13" s="528"/>
      <c r="D13" s="372" t="s">
        <v>25</v>
      </c>
      <c r="E13" s="528"/>
    </row>
    <row r="14" spans="1:10">
      <c r="A14" s="373" t="s">
        <v>66</v>
      </c>
      <c r="B14" s="429" t="s">
        <v>67</v>
      </c>
      <c r="C14" s="528"/>
      <c r="D14" s="372" t="s">
        <v>68</v>
      </c>
      <c r="E14" s="528"/>
    </row>
    <row r="15" spans="1:10">
      <c r="A15" s="373" t="s">
        <v>69</v>
      </c>
      <c r="B15" s="430" t="s">
        <v>70</v>
      </c>
      <c r="C15" s="531"/>
      <c r="D15" s="372" t="s">
        <v>25</v>
      </c>
      <c r="E15" s="528"/>
    </row>
    <row r="16" spans="1:10">
      <c r="A16" s="373" t="s">
        <v>71</v>
      </c>
      <c r="B16" s="430" t="s">
        <v>72</v>
      </c>
      <c r="C16" s="531"/>
      <c r="D16" s="372" t="s">
        <v>25</v>
      </c>
      <c r="E16" s="528"/>
    </row>
    <row r="17" spans="1:5">
      <c r="A17" s="373" t="s">
        <v>73</v>
      </c>
      <c r="B17" s="430" t="s">
        <v>74</v>
      </c>
      <c r="C17" s="531"/>
      <c r="D17" s="372" t="s">
        <v>25</v>
      </c>
      <c r="E17" s="528"/>
    </row>
    <row r="18" spans="1:5">
      <c r="A18" s="373" t="s">
        <v>75</v>
      </c>
      <c r="B18" s="430" t="s">
        <v>76</v>
      </c>
      <c r="C18" s="425" t="s">
        <v>77</v>
      </c>
      <c r="D18" s="372" t="s">
        <v>25</v>
      </c>
      <c r="E18" s="372" t="s">
        <v>78</v>
      </c>
    </row>
    <row r="19" spans="1:5">
      <c r="A19" s="373" t="s">
        <v>79</v>
      </c>
      <c r="B19" s="429" t="s">
        <v>80</v>
      </c>
      <c r="C19" s="372" t="s">
        <v>77</v>
      </c>
      <c r="D19" s="372" t="s">
        <v>25</v>
      </c>
      <c r="E19" s="372" t="s">
        <v>81</v>
      </c>
    </row>
    <row r="20" spans="1:5">
      <c r="A20" s="373" t="s">
        <v>82</v>
      </c>
      <c r="B20" s="430" t="s">
        <v>80</v>
      </c>
      <c r="C20" s="425" t="s">
        <v>77</v>
      </c>
      <c r="D20" s="372" t="s">
        <v>25</v>
      </c>
      <c r="E20" s="372" t="s">
        <v>81</v>
      </c>
    </row>
    <row r="21" spans="1:5">
      <c r="A21" s="373" t="s">
        <v>83</v>
      </c>
      <c r="B21" s="430" t="s">
        <v>76</v>
      </c>
      <c r="C21" s="425" t="s">
        <v>77</v>
      </c>
      <c r="D21" s="372" t="s">
        <v>25</v>
      </c>
      <c r="E21" s="372" t="s">
        <v>78</v>
      </c>
    </row>
    <row r="22" spans="1:5">
      <c r="A22" s="373" t="s">
        <v>84</v>
      </c>
      <c r="B22" s="528"/>
      <c r="C22" s="372" t="s">
        <v>85</v>
      </c>
      <c r="D22" s="372" t="s">
        <v>68</v>
      </c>
      <c r="E22" s="372" t="s">
        <v>86</v>
      </c>
    </row>
    <row r="23" spans="1:5">
      <c r="A23" s="373" t="s">
        <v>87</v>
      </c>
      <c r="B23" s="528"/>
      <c r="C23" s="425" t="s">
        <v>77</v>
      </c>
      <c r="D23" s="372" t="s">
        <v>68</v>
      </c>
      <c r="E23" s="372" t="s">
        <v>88</v>
      </c>
    </row>
    <row r="24" spans="1:5">
      <c r="A24" s="373" t="s">
        <v>89</v>
      </c>
      <c r="B24" s="528"/>
      <c r="C24" s="425" t="s">
        <v>77</v>
      </c>
      <c r="D24" s="372" t="s">
        <v>68</v>
      </c>
      <c r="E24" s="372" t="s">
        <v>90</v>
      </c>
    </row>
    <row r="25" spans="1:5">
      <c r="A25" s="373" t="s">
        <v>91</v>
      </c>
      <c r="B25" s="528"/>
      <c r="C25" s="425" t="s">
        <v>77</v>
      </c>
      <c r="D25" s="372" t="s">
        <v>68</v>
      </c>
      <c r="E25" s="372" t="s">
        <v>92</v>
      </c>
    </row>
    <row r="26" spans="1:5">
      <c r="A26" s="373" t="s">
        <v>93</v>
      </c>
      <c r="B26" s="528"/>
      <c r="C26" s="531"/>
      <c r="D26" s="372" t="s">
        <v>68</v>
      </c>
      <c r="E26" s="372" t="s">
        <v>94</v>
      </c>
    </row>
    <row r="27" spans="1:5" ht="19.149999999999999" customHeight="1">
      <c r="A27" s="373" t="s">
        <v>95</v>
      </c>
      <c r="B27" s="162" t="s">
        <v>96</v>
      </c>
      <c r="C27" s="372" t="s">
        <v>77</v>
      </c>
      <c r="D27" s="372" t="s">
        <v>25</v>
      </c>
      <c r="E27" s="372" t="s">
        <v>97</v>
      </c>
    </row>
    <row r="28" spans="1:5">
      <c r="A28" s="373" t="s">
        <v>98</v>
      </c>
      <c r="B28" s="431" t="s">
        <v>99</v>
      </c>
      <c r="C28" s="425" t="s">
        <v>77</v>
      </c>
      <c r="D28" s="372" t="s">
        <v>25</v>
      </c>
      <c r="E28" s="372" t="s">
        <v>100</v>
      </c>
    </row>
    <row r="29" spans="1:5">
      <c r="A29" s="373" t="s">
        <v>101</v>
      </c>
      <c r="B29" s="431" t="s">
        <v>99</v>
      </c>
      <c r="C29" s="425" t="s">
        <v>77</v>
      </c>
      <c r="D29" s="372" t="s">
        <v>25</v>
      </c>
      <c r="E29" s="372" t="s">
        <v>100</v>
      </c>
    </row>
    <row r="30" spans="1:5" ht="17.45" customHeight="1">
      <c r="A30" s="373" t="s">
        <v>102</v>
      </c>
      <c r="B30" s="431" t="s">
        <v>103</v>
      </c>
      <c r="C30" s="425" t="s">
        <v>77</v>
      </c>
      <c r="D30" s="372" t="s">
        <v>25</v>
      </c>
      <c r="E30" s="532" t="s">
        <v>104</v>
      </c>
    </row>
    <row r="31" spans="1:5">
      <c r="A31" s="373" t="s">
        <v>105</v>
      </c>
      <c r="B31" s="431" t="s">
        <v>30</v>
      </c>
      <c r="C31" s="531"/>
      <c r="D31" s="372" t="s">
        <v>25</v>
      </c>
      <c r="E31" s="372" t="s">
        <v>94</v>
      </c>
    </row>
    <row r="32" spans="1:5" ht="19.149999999999999" customHeight="1">
      <c r="A32" s="373" t="s">
        <v>106</v>
      </c>
      <c r="B32" s="431" t="s">
        <v>107</v>
      </c>
      <c r="C32" s="425" t="s">
        <v>108</v>
      </c>
      <c r="D32" s="372" t="s">
        <v>68</v>
      </c>
      <c r="E32" s="372"/>
    </row>
    <row r="33" spans="1:5" ht="17.45" customHeight="1">
      <c r="A33" s="373" t="s">
        <v>109</v>
      </c>
      <c r="B33" s="432" t="s">
        <v>110</v>
      </c>
      <c r="C33" s="425" t="s">
        <v>111</v>
      </c>
      <c r="D33" s="372" t="s">
        <v>25</v>
      </c>
      <c r="E33" s="433" t="str">
        <f>IF(GeneralInfo!A8="EBUS","250k","500k")</f>
        <v>500k</v>
      </c>
    </row>
    <row r="34" spans="1:5" ht="19.149999999999999" customHeight="1">
      <c r="A34" s="373" t="s">
        <v>112</v>
      </c>
      <c r="B34" s="431" t="s">
        <v>113</v>
      </c>
      <c r="C34" s="425" t="s">
        <v>114</v>
      </c>
      <c r="D34" s="372" t="s">
        <v>25</v>
      </c>
      <c r="E34" s="372" t="s">
        <v>115</v>
      </c>
    </row>
    <row r="35" spans="1:5" ht="20.45" customHeight="1">
      <c r="A35" s="373" t="s">
        <v>116</v>
      </c>
      <c r="B35" s="431" t="s">
        <v>113</v>
      </c>
      <c r="C35" s="533"/>
      <c r="D35" s="372" t="s">
        <v>68</v>
      </c>
      <c r="E35" s="372" t="s">
        <v>117</v>
      </c>
    </row>
    <row r="36" spans="1:5">
      <c r="A36" s="799"/>
      <c r="B36" s="799"/>
      <c r="C36" s="799"/>
    </row>
    <row r="37" spans="1:5" ht="28.9" customHeight="1">
      <c r="A37" s="800" t="s">
        <v>118</v>
      </c>
      <c r="B37" s="800"/>
      <c r="C37" s="800"/>
      <c r="D37" s="800"/>
      <c r="E37" s="800"/>
    </row>
    <row r="38" spans="1:5" ht="38.25">
      <c r="A38" s="368" t="s">
        <v>52</v>
      </c>
      <c r="B38" s="368" t="s">
        <v>53</v>
      </c>
      <c r="C38" s="368" t="s">
        <v>54</v>
      </c>
      <c r="D38" s="371" t="s">
        <v>7</v>
      </c>
      <c r="E38" s="371" t="s">
        <v>59</v>
      </c>
    </row>
    <row r="39" spans="1:5">
      <c r="A39" s="373" t="s">
        <v>60</v>
      </c>
      <c r="B39" s="434" t="s">
        <v>119</v>
      </c>
      <c r="C39" s="528"/>
      <c r="D39" s="372" t="s">
        <v>68</v>
      </c>
      <c r="E39" s="528"/>
    </row>
    <row r="40" spans="1:5" ht="18" customHeight="1">
      <c r="A40" s="373" t="s">
        <v>120</v>
      </c>
      <c r="B40" s="534" t="s">
        <v>121</v>
      </c>
      <c r="C40" s="531"/>
      <c r="D40" s="528"/>
      <c r="E40" s="528"/>
    </row>
    <row r="41" spans="1:5" ht="18" customHeight="1">
      <c r="A41" s="373" t="s">
        <v>122</v>
      </c>
      <c r="B41" s="534" t="s">
        <v>123</v>
      </c>
      <c r="C41" s="531"/>
      <c r="D41" s="528"/>
      <c r="E41" s="528"/>
    </row>
    <row r="42" spans="1:5" ht="18" customHeight="1">
      <c r="A42" s="373" t="s">
        <v>124</v>
      </c>
      <c r="B42" s="534" t="s">
        <v>125</v>
      </c>
      <c r="C42" s="531"/>
      <c r="D42" s="528"/>
      <c r="E42" s="528"/>
    </row>
    <row r="43" spans="1:5">
      <c r="A43" s="373" t="s">
        <v>126</v>
      </c>
      <c r="B43" s="425" t="s">
        <v>127</v>
      </c>
      <c r="C43" s="425" t="s">
        <v>77</v>
      </c>
      <c r="D43" s="528"/>
      <c r="E43" s="528"/>
    </row>
    <row r="44" spans="1:5">
      <c r="A44" s="373" t="s">
        <v>128</v>
      </c>
      <c r="B44" s="372" t="s">
        <v>99</v>
      </c>
      <c r="C44" s="372" t="s">
        <v>77</v>
      </c>
      <c r="D44" s="528"/>
      <c r="E44" s="528"/>
    </row>
    <row r="45" spans="1:5">
      <c r="A45" s="373" t="s">
        <v>84</v>
      </c>
      <c r="B45" s="372" t="s">
        <v>129</v>
      </c>
      <c r="C45" s="372" t="s">
        <v>77</v>
      </c>
      <c r="D45" s="528"/>
      <c r="E45" s="528"/>
    </row>
    <row r="46" spans="1:5">
      <c r="A46" s="373" t="s">
        <v>87</v>
      </c>
      <c r="B46" s="425">
        <v>5000</v>
      </c>
      <c r="C46" s="425" t="s">
        <v>77</v>
      </c>
      <c r="D46" s="528"/>
      <c r="E46" s="528"/>
    </row>
    <row r="47" spans="1:5">
      <c r="A47" s="373" t="s">
        <v>89</v>
      </c>
      <c r="B47" s="425" t="s">
        <v>130</v>
      </c>
      <c r="C47" s="425" t="s">
        <v>77</v>
      </c>
      <c r="D47" s="528"/>
      <c r="E47" s="528"/>
    </row>
    <row r="48" spans="1:5">
      <c r="A48" s="373" t="s">
        <v>95</v>
      </c>
      <c r="B48" s="372" t="s">
        <v>127</v>
      </c>
      <c r="C48" s="372" t="s">
        <v>77</v>
      </c>
      <c r="D48" s="528"/>
      <c r="E48" s="528"/>
    </row>
    <row r="49" spans="1:6">
      <c r="A49" s="373" t="s">
        <v>98</v>
      </c>
      <c r="B49" s="425">
        <v>5000</v>
      </c>
      <c r="C49" s="425" t="s">
        <v>77</v>
      </c>
      <c r="D49" s="528"/>
      <c r="E49" s="528"/>
    </row>
    <row r="50" spans="1:6">
      <c r="A50" s="373" t="s">
        <v>131</v>
      </c>
      <c r="B50" s="425">
        <v>5000</v>
      </c>
      <c r="C50" s="425" t="s">
        <v>77</v>
      </c>
      <c r="D50" s="528"/>
      <c r="E50" s="528"/>
    </row>
    <row r="51" spans="1:6" ht="19.149999999999999" customHeight="1">
      <c r="A51" s="373" t="s">
        <v>106</v>
      </c>
      <c r="B51" s="425" t="s">
        <v>132</v>
      </c>
      <c r="C51" s="425" t="s">
        <v>108</v>
      </c>
      <c r="D51" s="528"/>
      <c r="E51" s="528"/>
    </row>
    <row r="52" spans="1:6">
      <c r="A52" s="801"/>
      <c r="B52" s="801"/>
      <c r="C52" s="801"/>
    </row>
    <row r="53" spans="1:6">
      <c r="A53" s="800" t="s">
        <v>133</v>
      </c>
      <c r="B53" s="800"/>
      <c r="C53" s="800"/>
      <c r="D53" s="800"/>
      <c r="E53" s="800"/>
    </row>
    <row r="54" spans="1:6" ht="38.25">
      <c r="A54" s="368" t="s">
        <v>134</v>
      </c>
      <c r="B54" s="368" t="s">
        <v>53</v>
      </c>
      <c r="C54" s="368" t="s">
        <v>54</v>
      </c>
      <c r="D54" s="371" t="s">
        <v>7</v>
      </c>
      <c r="E54" s="371" t="s">
        <v>59</v>
      </c>
    </row>
    <row r="55" spans="1:6" ht="25.5">
      <c r="A55" s="373" t="s">
        <v>135</v>
      </c>
      <c r="B55" s="375">
        <v>1</v>
      </c>
      <c r="C55" s="376" t="s">
        <v>136</v>
      </c>
      <c r="D55" s="372" t="s">
        <v>12</v>
      </c>
      <c r="E55" s="376" t="s">
        <v>137</v>
      </c>
      <c r="F55" s="377"/>
    </row>
    <row r="56" spans="1:6" ht="27.75">
      <c r="A56" s="373" t="s">
        <v>138</v>
      </c>
      <c r="B56" s="162" t="s">
        <v>139</v>
      </c>
      <c r="C56" s="376" t="s">
        <v>136</v>
      </c>
      <c r="D56" s="372" t="s">
        <v>25</v>
      </c>
      <c r="E56" s="372" t="s">
        <v>139</v>
      </c>
      <c r="F56" s="377"/>
    </row>
    <row r="57" spans="1:6">
      <c r="A57" s="373" t="s">
        <v>140</v>
      </c>
      <c r="B57" s="375">
        <v>3</v>
      </c>
      <c r="C57" s="376" t="s">
        <v>137</v>
      </c>
      <c r="D57" s="372" t="s">
        <v>25</v>
      </c>
      <c r="E57" s="372" t="s">
        <v>141</v>
      </c>
      <c r="F57" s="377"/>
    </row>
    <row r="59" spans="1:6" ht="19.149999999999999" customHeight="1">
      <c r="A59" s="800" t="s">
        <v>142</v>
      </c>
      <c r="B59" s="800"/>
      <c r="C59" s="800"/>
      <c r="D59" s="800"/>
    </row>
    <row r="60" spans="1:6" ht="25.5">
      <c r="A60" s="368" t="s">
        <v>143</v>
      </c>
      <c r="B60" s="368" t="s">
        <v>53</v>
      </c>
      <c r="C60" s="368" t="s">
        <v>54</v>
      </c>
      <c r="D60" s="371" t="s">
        <v>7</v>
      </c>
      <c r="E60" s="369"/>
    </row>
    <row r="61" spans="1:6">
      <c r="A61" s="373" t="s">
        <v>144</v>
      </c>
      <c r="B61" s="375" t="s">
        <v>145</v>
      </c>
      <c r="C61" s="376" t="s">
        <v>146</v>
      </c>
      <c r="D61" s="372" t="s">
        <v>12</v>
      </c>
    </row>
    <row r="62" spans="1:6">
      <c r="A62" s="373" t="s">
        <v>147</v>
      </c>
      <c r="B62" s="375" t="s">
        <v>148</v>
      </c>
      <c r="C62" s="376" t="s">
        <v>146</v>
      </c>
      <c r="D62" s="372" t="s">
        <v>12</v>
      </c>
    </row>
    <row r="63" spans="1:6">
      <c r="A63" s="373" t="s">
        <v>149</v>
      </c>
      <c r="B63" s="375" t="s">
        <v>148</v>
      </c>
      <c r="C63" s="376" t="s">
        <v>137</v>
      </c>
      <c r="D63" s="372" t="s">
        <v>12</v>
      </c>
    </row>
  </sheetData>
  <sheetProtection formatCells="0" formatColumns="0" formatRows="0"/>
  <protectedRanges>
    <protectedRange sqref="C8 B12 B55:B57 B61:B63 B27:B35 B39:B51" name="範圍1"/>
    <protectedRange sqref="B13:B21" name="範圍1_3"/>
  </protectedRanges>
  <mergeCells count="11">
    <mergeCell ref="A10:E10"/>
    <mergeCell ref="A2:D2"/>
    <mergeCell ref="A5:D5"/>
    <mergeCell ref="A6:A7"/>
    <mergeCell ref="B6:D6"/>
    <mergeCell ref="A9:C9"/>
    <mergeCell ref="A36:C36"/>
    <mergeCell ref="A37:E37"/>
    <mergeCell ref="A52:C52"/>
    <mergeCell ref="A53:E53"/>
    <mergeCell ref="A59:D59"/>
  </mergeCells>
  <phoneticPr fontId="45" type="noConversion"/>
  <conditionalFormatting sqref="B12">
    <cfRule type="cellIs" dxfId="293" priority="3" operator="equal">
      <formula>"NO"</formula>
    </cfRule>
    <cfRule type="cellIs" dxfId="292" priority="6" operator="equal">
      <formula>"YES"</formula>
    </cfRule>
  </conditionalFormatting>
  <conditionalFormatting sqref="B39">
    <cfRule type="cellIs" dxfId="291" priority="4" operator="equal">
      <formula>"NO"</formula>
    </cfRule>
    <cfRule type="cellIs" dxfId="290" priority="5" operator="equal">
      <formula>"YES"</formula>
    </cfRule>
  </conditionalFormatting>
  <conditionalFormatting sqref="D12:D35">
    <cfRule type="expression" dxfId="289" priority="1">
      <formula>$B$13="NO"</formula>
    </cfRule>
  </conditionalFormatting>
  <conditionalFormatting sqref="D39">
    <cfRule type="expression" dxfId="288" priority="2">
      <formula>$B$13="NO"</formula>
    </cfRule>
  </conditionalFormatting>
  <dataValidations disablePrompts="1" count="4">
    <dataValidation type="list" allowBlank="1" showInputMessage="1" showErrorMessage="1" sqref="B35" xr:uid="{FFD647E4-24D1-47F2-AB22-B43C1FC73D8F}">
      <formula1>"8,12,16,20,24,32,48,64"</formula1>
    </dataValidation>
    <dataValidation type="list" allowBlank="1" showInputMessage="1" showErrorMessage="1" sqref="B13" xr:uid="{823E652F-C6D5-4987-B300-6EBF94C904A6}">
      <formula1>"CAN,CANFD"</formula1>
    </dataValidation>
    <dataValidation type="list" allowBlank="1" showInputMessage="1" showErrorMessage="1" sqref="B12 B39" xr:uid="{266B595B-0F0E-403B-8CC2-BF228706E4C2}">
      <formula1>"YES,NO"</formula1>
    </dataValidation>
    <dataValidation type="list" allowBlank="1" showInputMessage="1" showErrorMessage="1" sqref="B14" xr:uid="{A235C05D-507C-4C12-ADC6-EEFD3F70DDCA}">
      <formula1>"Standard,Extended"</formula1>
    </dataValidation>
  </dataValidations>
  <printOptions horizontalCentered="1"/>
  <pageMargins left="0.78680555555555598" right="0.78680555555555598" top="0.74791666666666701" bottom="0.74791666666666701" header="0.31388888888888899" footer="0.31388888888888899"/>
  <pageSetup paperSize="9" firstPageNumber="2" orientation="landscape" useFirstPageNumber="1"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Z22"/>
  <sheetViews>
    <sheetView topLeftCell="A5" zoomScale="130" zoomScaleNormal="130" workbookViewId="0">
      <selection activeCell="F18" sqref="F18"/>
    </sheetView>
  </sheetViews>
  <sheetFormatPr defaultColWidth="9" defaultRowHeight="15"/>
  <cols>
    <col min="1" max="1" width="22.625" style="48" customWidth="1"/>
    <col min="2" max="2" width="22.375" style="48" customWidth="1"/>
    <col min="3" max="3" width="14.25" style="48" customWidth="1"/>
    <col min="4" max="4" width="9.5" style="48" bestFit="1" customWidth="1"/>
    <col min="5" max="5" width="24.875" style="109" customWidth="1"/>
    <col min="6" max="23" width="9" style="48"/>
    <col min="24" max="24" width="12.375" style="48" customWidth="1"/>
    <col min="25" max="16384" width="9" style="48"/>
  </cols>
  <sheetData>
    <row r="1" spans="1:26">
      <c r="V1" s="338" t="s">
        <v>150</v>
      </c>
      <c r="W1" s="154" t="s">
        <v>24</v>
      </c>
      <c r="X1" s="154" t="s">
        <v>151</v>
      </c>
      <c r="Y1" s="154" t="s">
        <v>152</v>
      </c>
      <c r="Z1" s="154" t="s">
        <v>153</v>
      </c>
    </row>
    <row r="2" spans="1:26">
      <c r="V2" s="338" t="s">
        <v>154</v>
      </c>
      <c r="W2" s="154" t="s">
        <v>11</v>
      </c>
      <c r="X2" s="154" t="s">
        <v>155</v>
      </c>
      <c r="Y2" s="154" t="s">
        <v>156</v>
      </c>
      <c r="Z2" s="154" t="s">
        <v>157</v>
      </c>
    </row>
    <row r="3" spans="1:26">
      <c r="W3" s="154"/>
      <c r="X3" s="154" t="s">
        <v>152</v>
      </c>
      <c r="Y3" s="154" t="s">
        <v>158</v>
      </c>
      <c r="Z3" s="152"/>
    </row>
    <row r="4" spans="1:26" ht="36" customHeight="1">
      <c r="A4" s="805" t="s">
        <v>159</v>
      </c>
      <c r="B4" s="805"/>
      <c r="C4" s="805"/>
      <c r="D4" s="805"/>
      <c r="E4" s="805"/>
      <c r="X4" s="154" t="s">
        <v>160</v>
      </c>
      <c r="Y4" s="154" t="s">
        <v>161</v>
      </c>
      <c r="Z4" s="152"/>
    </row>
    <row r="5" spans="1:26" ht="117" customHeight="1">
      <c r="A5" s="805"/>
      <c r="B5" s="805"/>
      <c r="C5" s="805"/>
      <c r="D5" s="805"/>
      <c r="E5" s="805"/>
      <c r="W5" s="150"/>
      <c r="X5" s="154" t="s">
        <v>162</v>
      </c>
      <c r="Y5" s="152"/>
      <c r="Z5" s="152"/>
    </row>
    <row r="6" spans="1:26" ht="14.25" customHeight="1">
      <c r="A6" s="805" t="s">
        <v>163</v>
      </c>
      <c r="B6" s="805"/>
      <c r="C6" s="805"/>
      <c r="D6" s="805" t="s">
        <v>164</v>
      </c>
      <c r="E6" s="806" t="s">
        <v>6489</v>
      </c>
    </row>
    <row r="7" spans="1:26" ht="15" customHeight="1">
      <c r="A7" s="805"/>
      <c r="B7" s="805"/>
      <c r="C7" s="805"/>
      <c r="D7" s="805"/>
      <c r="E7" s="806"/>
    </row>
    <row r="8" spans="1:26">
      <c r="A8" s="19"/>
      <c r="B8" s="19"/>
      <c r="C8" s="19"/>
      <c r="D8" s="19"/>
      <c r="E8" s="111"/>
    </row>
    <row r="9" spans="1:26">
      <c r="A9" s="19"/>
      <c r="B9" s="19"/>
      <c r="C9" s="19"/>
      <c r="D9" s="19"/>
      <c r="E9" s="111"/>
    </row>
    <row r="10" spans="1:26">
      <c r="A10" s="19"/>
      <c r="B10" s="19"/>
      <c r="C10" s="19"/>
      <c r="D10" s="19"/>
      <c r="E10" s="111"/>
    </row>
    <row r="11" spans="1:26">
      <c r="A11" s="19"/>
      <c r="B11" s="19"/>
      <c r="C11" s="19"/>
      <c r="D11" s="19"/>
      <c r="E11" s="111"/>
    </row>
    <row r="12" spans="1:26">
      <c r="A12" s="90" t="s">
        <v>166</v>
      </c>
      <c r="B12" s="91"/>
      <c r="C12" s="91"/>
      <c r="D12" s="91"/>
      <c r="E12" s="91"/>
    </row>
    <row r="13" spans="1:26" ht="26.25" thickBot="1">
      <c r="A13" s="110" t="s">
        <v>167</v>
      </c>
      <c r="B13" s="110" t="s">
        <v>168</v>
      </c>
      <c r="C13" s="110" t="s">
        <v>169</v>
      </c>
      <c r="D13" s="110" t="s">
        <v>170</v>
      </c>
      <c r="E13" s="112" t="s">
        <v>171</v>
      </c>
    </row>
    <row r="14" spans="1:26">
      <c r="A14" s="811" t="e">
        <f>#REF!</f>
        <v>#REF!</v>
      </c>
      <c r="B14" s="157" t="s">
        <v>172</v>
      </c>
      <c r="C14" s="808" t="e">
        <f>#REF!</f>
        <v>#REF!</v>
      </c>
      <c r="D14" s="808" t="s">
        <v>173</v>
      </c>
      <c r="E14" s="93"/>
    </row>
    <row r="15" spans="1:26">
      <c r="A15" s="811"/>
      <c r="B15" s="158" t="s">
        <v>174</v>
      </c>
      <c r="C15" s="812"/>
      <c r="D15" s="808"/>
      <c r="E15" s="93"/>
      <c r="X15" s="155"/>
    </row>
    <row r="16" spans="1:26" ht="15.75" thickBot="1">
      <c r="A16" s="811"/>
      <c r="B16" s="159" t="s">
        <v>175</v>
      </c>
      <c r="C16" s="812"/>
      <c r="D16" s="808"/>
      <c r="E16" s="93"/>
      <c r="X16" s="155"/>
    </row>
    <row r="17" spans="1:24" s="155" customFormat="1">
      <c r="A17" s="90" t="s">
        <v>176</v>
      </c>
      <c r="B17" s="90"/>
      <c r="C17" s="90"/>
      <c r="D17" s="90"/>
      <c r="E17" s="94" t="s">
        <v>177</v>
      </c>
    </row>
    <row r="18" spans="1:24" s="155" customFormat="1" ht="112.5">
      <c r="A18" s="807" t="s">
        <v>178</v>
      </c>
      <c r="B18" s="807"/>
      <c r="C18" s="807"/>
      <c r="D18" s="807"/>
      <c r="E18" s="730" t="s">
        <v>179</v>
      </c>
    </row>
    <row r="19" spans="1:24" s="155" customFormat="1">
      <c r="A19" s="808"/>
      <c r="B19" s="809"/>
      <c r="C19" s="809"/>
      <c r="D19" s="809"/>
      <c r="E19" s="731" t="s">
        <v>180</v>
      </c>
    </row>
    <row r="20" spans="1:24" s="155" customFormat="1">
      <c r="A20" s="810"/>
      <c r="B20" s="807"/>
      <c r="C20" s="807"/>
      <c r="D20" s="807"/>
      <c r="E20" s="731" t="s">
        <v>181</v>
      </c>
    </row>
    <row r="21" spans="1:24" s="155" customFormat="1">
      <c r="E21" s="156"/>
      <c r="X21" s="48"/>
    </row>
    <row r="22" spans="1:24" ht="14.25" customHeight="1"/>
  </sheetData>
  <sheetProtection formatCells="0" formatColumns="0" formatRows="0"/>
  <protectedRanges>
    <protectedRange sqref="D14:E16 E6 A14 E18:E20" name="範圍1"/>
  </protectedRanges>
  <mergeCells count="11">
    <mergeCell ref="A18:D18"/>
    <mergeCell ref="A19:D19"/>
    <mergeCell ref="A20:D20"/>
    <mergeCell ref="A14:A16"/>
    <mergeCell ref="C14:C16"/>
    <mergeCell ref="D14:D16"/>
    <mergeCell ref="D6:D7"/>
    <mergeCell ref="A4:C5"/>
    <mergeCell ref="A6:C7"/>
    <mergeCell ref="E6:E7"/>
    <mergeCell ref="D4:E5"/>
  </mergeCells>
  <phoneticPr fontId="28" type="noConversion"/>
  <dataValidations disablePrompts="1" count="2">
    <dataValidation type="list" allowBlank="1" showInputMessage="1" showErrorMessage="1" sqref="Y5" xr:uid="{00000000-0002-0000-0000-000000000000}">
      <formula1>$B$87:$B$93</formula1>
    </dataValidation>
    <dataValidation type="list" allowBlank="1" showInputMessage="1" showErrorMessage="1" sqref="Y1:Y2 X3" xr:uid="{00000000-0002-0000-0000-000001000000}">
      <formula1>$B$99:$B$105</formula1>
    </dataValidation>
  </dataValidations>
  <printOptions horizontalCentered="1"/>
  <pageMargins left="0.74791666666666701" right="0.74791666666666701" top="0.98402777777777795" bottom="0.98402777777777795" header="0.51180555555555596" footer="0.51180555555555596"/>
  <pageSetup paperSize="9" scale="85"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1F9C4-1F34-480F-997A-B218C8DB08B4}">
  <sheetPr codeName="工作表2"/>
  <dimension ref="A2:S17"/>
  <sheetViews>
    <sheetView topLeftCell="A15" zoomScale="89" zoomScaleNormal="89" workbookViewId="0">
      <selection activeCell="F28" sqref="F28"/>
    </sheetView>
  </sheetViews>
  <sheetFormatPr defaultColWidth="9" defaultRowHeight="15"/>
  <cols>
    <col min="1" max="1" width="9" style="153"/>
    <col min="2" max="2" width="14.75" style="153" customWidth="1"/>
    <col min="3" max="5" width="9" style="153"/>
    <col min="6" max="7" width="14.625" style="153" customWidth="1"/>
    <col min="8" max="9" width="9" style="153"/>
    <col min="10" max="10" width="36.625" style="153" customWidth="1"/>
    <col min="11" max="16384" width="9" style="153"/>
  </cols>
  <sheetData>
    <row r="2" spans="1:19" ht="18">
      <c r="A2" s="98" t="s">
        <v>182</v>
      </c>
      <c r="B2" s="99" t="s">
        <v>183</v>
      </c>
      <c r="C2" s="99" t="s">
        <v>184</v>
      </c>
      <c r="D2" s="99" t="s">
        <v>185</v>
      </c>
      <c r="E2" s="99" t="s">
        <v>186</v>
      </c>
      <c r="F2" s="99" t="s">
        <v>187</v>
      </c>
      <c r="G2" s="829" t="s">
        <v>188</v>
      </c>
      <c r="H2" s="829"/>
      <c r="I2" s="829"/>
      <c r="J2" s="829"/>
      <c r="L2" s="830" t="s">
        <v>189</v>
      </c>
      <c r="M2" s="830"/>
      <c r="N2" s="830"/>
      <c r="O2" s="830"/>
      <c r="P2" s="830"/>
      <c r="Q2" s="830"/>
      <c r="R2" s="830"/>
      <c r="S2" s="830"/>
    </row>
    <row r="3" spans="1:19">
      <c r="A3" s="100" t="s">
        <v>190</v>
      </c>
      <c r="B3" s="100" t="s">
        <v>191</v>
      </c>
      <c r="C3" s="100" t="s">
        <v>192</v>
      </c>
      <c r="D3" s="100" t="s">
        <v>193</v>
      </c>
      <c r="E3" s="100" t="s">
        <v>194</v>
      </c>
      <c r="F3" s="101" t="s">
        <v>195</v>
      </c>
      <c r="G3" s="821" t="s">
        <v>196</v>
      </c>
      <c r="H3" s="821"/>
      <c r="I3" s="821"/>
      <c r="J3" s="821"/>
      <c r="L3" s="95" t="s">
        <v>197</v>
      </c>
      <c r="M3" s="831" t="s">
        <v>198</v>
      </c>
      <c r="N3" s="831"/>
      <c r="O3" s="831"/>
      <c r="P3" s="831"/>
      <c r="Q3" s="831"/>
      <c r="R3" s="831"/>
      <c r="S3" s="831"/>
    </row>
    <row r="4" spans="1:19" ht="25.5">
      <c r="A4" s="100"/>
      <c r="B4" s="100" t="s">
        <v>199</v>
      </c>
      <c r="C4" s="100" t="s">
        <v>200</v>
      </c>
      <c r="D4" s="100" t="s">
        <v>201</v>
      </c>
      <c r="E4" s="100" t="s">
        <v>194</v>
      </c>
      <c r="F4" s="101" t="s">
        <v>202</v>
      </c>
      <c r="G4" s="821" t="s">
        <v>203</v>
      </c>
      <c r="H4" s="821"/>
      <c r="I4" s="821"/>
      <c r="J4" s="821"/>
      <c r="L4" s="96" t="s">
        <v>204</v>
      </c>
      <c r="M4" s="832" t="s">
        <v>205</v>
      </c>
      <c r="N4" s="832"/>
      <c r="O4" s="832" t="s">
        <v>206</v>
      </c>
      <c r="P4" s="832"/>
      <c r="Q4" s="832"/>
      <c r="R4" s="832"/>
      <c r="S4" s="832"/>
    </row>
    <row r="5" spans="1:19" ht="25.5">
      <c r="A5" s="100" t="s">
        <v>15</v>
      </c>
      <c r="B5" s="100" t="s">
        <v>207</v>
      </c>
      <c r="C5" s="100" t="s">
        <v>208</v>
      </c>
      <c r="D5" s="100" t="s">
        <v>201</v>
      </c>
      <c r="E5" s="100" t="s">
        <v>194</v>
      </c>
      <c r="F5" s="101" t="s">
        <v>209</v>
      </c>
      <c r="G5" s="821" t="s">
        <v>210</v>
      </c>
      <c r="H5" s="821"/>
      <c r="I5" s="821"/>
      <c r="J5" s="821"/>
      <c r="L5" s="97" t="s">
        <v>211</v>
      </c>
      <c r="M5" s="822" t="s">
        <v>212</v>
      </c>
      <c r="N5" s="822"/>
      <c r="O5" s="823" t="s">
        <v>213</v>
      </c>
      <c r="P5" s="823"/>
      <c r="Q5" s="823"/>
      <c r="R5" s="823"/>
      <c r="S5" s="823"/>
    </row>
    <row r="6" spans="1:19" ht="25.5">
      <c r="A6" s="100" t="s">
        <v>214</v>
      </c>
      <c r="B6" s="100" t="s">
        <v>215</v>
      </c>
      <c r="C6" s="100" t="s">
        <v>200</v>
      </c>
      <c r="D6" s="100" t="s">
        <v>201</v>
      </c>
      <c r="E6" s="100" t="s">
        <v>194</v>
      </c>
      <c r="F6" s="101" t="s">
        <v>216</v>
      </c>
      <c r="G6" s="821" t="s">
        <v>217</v>
      </c>
      <c r="H6" s="821"/>
      <c r="I6" s="821"/>
      <c r="J6" s="821"/>
      <c r="L6" s="97" t="s">
        <v>218</v>
      </c>
      <c r="M6" s="822" t="s">
        <v>219</v>
      </c>
      <c r="N6" s="822"/>
      <c r="O6" s="824" t="s">
        <v>220</v>
      </c>
      <c r="P6" s="824"/>
      <c r="Q6" s="824"/>
      <c r="R6" s="824"/>
      <c r="S6" s="824"/>
    </row>
    <row r="7" spans="1:19" ht="89.25">
      <c r="A7" s="102" t="s">
        <v>221</v>
      </c>
      <c r="B7" s="100" t="s">
        <v>222</v>
      </c>
      <c r="C7" s="100" t="s">
        <v>223</v>
      </c>
      <c r="D7" s="100" t="s">
        <v>224</v>
      </c>
      <c r="E7" s="100" t="s">
        <v>225</v>
      </c>
      <c r="F7" s="101" t="s">
        <v>226</v>
      </c>
      <c r="G7" s="821" t="s">
        <v>227</v>
      </c>
      <c r="H7" s="825"/>
      <c r="I7" s="825"/>
      <c r="J7" s="825"/>
      <c r="L7" s="97" t="s">
        <v>228</v>
      </c>
      <c r="M7" s="822" t="s">
        <v>229</v>
      </c>
      <c r="N7" s="822"/>
      <c r="O7" s="824" t="s">
        <v>230</v>
      </c>
      <c r="P7" s="824"/>
      <c r="Q7" s="824"/>
      <c r="R7" s="824"/>
      <c r="S7" s="824"/>
    </row>
    <row r="8" spans="1:19" ht="126.75" customHeight="1">
      <c r="A8" s="103" t="s">
        <v>231</v>
      </c>
      <c r="B8" s="104" t="s">
        <v>232</v>
      </c>
      <c r="C8" s="104" t="s">
        <v>233</v>
      </c>
      <c r="D8" s="104" t="s">
        <v>233</v>
      </c>
      <c r="E8" s="105" t="s">
        <v>225</v>
      </c>
      <c r="F8" s="106" t="s">
        <v>234</v>
      </c>
      <c r="G8" s="826" t="s">
        <v>235</v>
      </c>
      <c r="H8" s="827"/>
      <c r="I8" s="827"/>
      <c r="J8" s="827"/>
      <c r="L8" s="828"/>
      <c r="M8" s="828"/>
      <c r="N8" s="828"/>
      <c r="O8" s="828"/>
      <c r="P8" s="828"/>
      <c r="Q8" s="828"/>
      <c r="R8" s="828"/>
      <c r="S8" s="828"/>
    </row>
    <row r="9" spans="1:19" ht="67.5" customHeight="1">
      <c r="A9" s="107" t="s">
        <v>236</v>
      </c>
      <c r="B9" s="104" t="s">
        <v>237</v>
      </c>
      <c r="C9" s="104" t="s">
        <v>233</v>
      </c>
      <c r="D9" s="104" t="s">
        <v>233</v>
      </c>
      <c r="E9" s="105" t="s">
        <v>225</v>
      </c>
      <c r="F9" s="108" t="s">
        <v>238</v>
      </c>
      <c r="G9" s="815" t="s">
        <v>239</v>
      </c>
      <c r="H9" s="816"/>
      <c r="I9" s="816"/>
      <c r="J9" s="816"/>
      <c r="L9" s="95" t="s">
        <v>240</v>
      </c>
      <c r="M9" s="820" t="s">
        <v>241</v>
      </c>
      <c r="N9" s="820"/>
      <c r="O9" s="820"/>
      <c r="P9" s="820"/>
      <c r="Q9" s="820"/>
      <c r="R9" s="820"/>
      <c r="S9" s="820"/>
    </row>
    <row r="10" spans="1:19" ht="258" customHeight="1">
      <c r="A10" s="107" t="s">
        <v>242</v>
      </c>
      <c r="B10" s="104" t="s">
        <v>243</v>
      </c>
      <c r="C10" s="104" t="s">
        <v>233</v>
      </c>
      <c r="D10" s="104" t="s">
        <v>233</v>
      </c>
      <c r="E10" s="105" t="s">
        <v>225</v>
      </c>
      <c r="F10" s="108" t="s">
        <v>244</v>
      </c>
      <c r="G10" s="815" t="s">
        <v>245</v>
      </c>
      <c r="H10" s="816"/>
      <c r="I10" s="816"/>
      <c r="J10" s="816"/>
      <c r="L10" s="95" t="s">
        <v>246</v>
      </c>
      <c r="M10" s="820" t="s">
        <v>247</v>
      </c>
      <c r="N10" s="820"/>
      <c r="O10" s="820"/>
      <c r="P10" s="820"/>
      <c r="Q10" s="820"/>
      <c r="R10" s="820"/>
      <c r="S10" s="820"/>
    </row>
    <row r="11" spans="1:19" ht="164.25" customHeight="1">
      <c r="A11" s="107" t="s">
        <v>248</v>
      </c>
      <c r="B11" s="104" t="s">
        <v>249</v>
      </c>
      <c r="C11" s="104" t="s">
        <v>233</v>
      </c>
      <c r="D11" s="104" t="s">
        <v>233</v>
      </c>
      <c r="E11" s="105" t="s">
        <v>225</v>
      </c>
      <c r="F11" s="108" t="s">
        <v>250</v>
      </c>
      <c r="G11" s="815" t="s">
        <v>251</v>
      </c>
      <c r="H11" s="816"/>
      <c r="I11" s="816"/>
      <c r="J11" s="816"/>
      <c r="L11" s="95" t="s">
        <v>158</v>
      </c>
      <c r="M11" s="820" t="s">
        <v>252</v>
      </c>
      <c r="N11" s="820"/>
      <c r="O11" s="820"/>
      <c r="P11" s="820"/>
      <c r="Q11" s="820"/>
      <c r="R11" s="820"/>
      <c r="S11" s="820"/>
    </row>
    <row r="12" spans="1:19" ht="114" customHeight="1">
      <c r="A12" s="107" t="s">
        <v>253</v>
      </c>
      <c r="B12" s="104" t="s">
        <v>254</v>
      </c>
      <c r="C12" s="104" t="s">
        <v>233</v>
      </c>
      <c r="D12" s="104" t="s">
        <v>233</v>
      </c>
      <c r="E12" s="105" t="s">
        <v>225</v>
      </c>
      <c r="F12" s="108" t="s">
        <v>255</v>
      </c>
      <c r="G12" s="815" t="s">
        <v>256</v>
      </c>
      <c r="H12" s="816"/>
      <c r="I12" s="816"/>
      <c r="J12" s="816"/>
      <c r="L12" s="95" t="s">
        <v>257</v>
      </c>
      <c r="M12" s="820" t="s">
        <v>258</v>
      </c>
      <c r="N12" s="820"/>
      <c r="O12" s="820"/>
      <c r="P12" s="820"/>
      <c r="Q12" s="820"/>
      <c r="R12" s="820"/>
      <c r="S12" s="820"/>
    </row>
    <row r="13" spans="1:19" ht="311.25" customHeight="1">
      <c r="A13" s="107" t="s">
        <v>259</v>
      </c>
      <c r="B13" s="104" t="s">
        <v>260</v>
      </c>
      <c r="C13" s="104" t="s">
        <v>233</v>
      </c>
      <c r="D13" s="104" t="s">
        <v>233</v>
      </c>
      <c r="E13" s="105" t="s">
        <v>225</v>
      </c>
      <c r="F13" s="108" t="s">
        <v>261</v>
      </c>
      <c r="G13" s="815" t="s">
        <v>262</v>
      </c>
      <c r="H13" s="816"/>
      <c r="I13" s="816"/>
      <c r="J13" s="816"/>
      <c r="L13" s="95" t="s">
        <v>263</v>
      </c>
      <c r="M13" s="820" t="s">
        <v>264</v>
      </c>
      <c r="N13" s="820"/>
      <c r="O13" s="820"/>
      <c r="P13" s="820"/>
      <c r="Q13" s="820"/>
      <c r="R13" s="820"/>
      <c r="S13" s="820"/>
    </row>
    <row r="14" spans="1:19" ht="409.5" customHeight="1">
      <c r="A14" s="107" t="s">
        <v>265</v>
      </c>
      <c r="B14" s="104" t="s">
        <v>266</v>
      </c>
      <c r="C14" s="104" t="s">
        <v>233</v>
      </c>
      <c r="D14" s="104" t="s">
        <v>233</v>
      </c>
      <c r="E14" s="105" t="s">
        <v>225</v>
      </c>
      <c r="F14" s="108" t="s">
        <v>267</v>
      </c>
      <c r="G14" s="815" t="s">
        <v>268</v>
      </c>
      <c r="H14" s="816"/>
      <c r="I14" s="816"/>
      <c r="J14" s="816"/>
      <c r="L14" s="95" t="s">
        <v>269</v>
      </c>
      <c r="M14" s="820" t="s">
        <v>270</v>
      </c>
      <c r="N14" s="820"/>
      <c r="O14" s="820"/>
      <c r="P14" s="820"/>
      <c r="Q14" s="820"/>
      <c r="R14" s="820"/>
      <c r="S14" s="820"/>
    </row>
    <row r="15" spans="1:19" ht="409.5" customHeight="1">
      <c r="A15" s="107" t="s">
        <v>271</v>
      </c>
      <c r="B15" s="104" t="s">
        <v>272</v>
      </c>
      <c r="C15" s="104" t="s">
        <v>233</v>
      </c>
      <c r="D15" s="104" t="s">
        <v>233</v>
      </c>
      <c r="E15" s="105" t="s">
        <v>225</v>
      </c>
      <c r="F15" s="108" t="s">
        <v>273</v>
      </c>
      <c r="G15" s="815" t="s">
        <v>274</v>
      </c>
      <c r="H15" s="816"/>
      <c r="I15" s="816"/>
      <c r="J15" s="816"/>
      <c r="M15" s="817"/>
      <c r="N15" s="818"/>
      <c r="O15" s="818"/>
      <c r="P15" s="818"/>
      <c r="Q15" s="818"/>
      <c r="R15" s="818"/>
      <c r="S15" s="819"/>
    </row>
    <row r="16" spans="1:19" ht="280.5">
      <c r="A16" s="107" t="s">
        <v>275</v>
      </c>
      <c r="B16" s="104" t="s">
        <v>276</v>
      </c>
      <c r="C16" s="104" t="s">
        <v>233</v>
      </c>
      <c r="D16" s="104" t="s">
        <v>233</v>
      </c>
      <c r="E16" s="105" t="s">
        <v>225</v>
      </c>
      <c r="F16" s="108" t="s">
        <v>277</v>
      </c>
      <c r="G16" s="815" t="s">
        <v>278</v>
      </c>
      <c r="H16" s="816"/>
      <c r="I16" s="816"/>
      <c r="J16" s="816"/>
    </row>
    <row r="17" spans="1:10" ht="196.15" customHeight="1">
      <c r="A17" s="321" t="s">
        <v>279</v>
      </c>
      <c r="B17" s="322" t="s">
        <v>280</v>
      </c>
      <c r="C17" s="322" t="s">
        <v>224</v>
      </c>
      <c r="D17" s="323" t="s">
        <v>224</v>
      </c>
      <c r="E17" s="324" t="s">
        <v>225</v>
      </c>
      <c r="F17" s="325" t="s">
        <v>281</v>
      </c>
      <c r="G17" s="813" t="s">
        <v>282</v>
      </c>
      <c r="H17" s="814"/>
      <c r="I17" s="814"/>
      <c r="J17" s="814"/>
    </row>
  </sheetData>
  <sheetProtection formatCells="0" formatColumns="0" formatRows="0"/>
  <mergeCells count="34">
    <mergeCell ref="G2:J2"/>
    <mergeCell ref="L2:S2"/>
    <mergeCell ref="G3:J3"/>
    <mergeCell ref="M3:S3"/>
    <mergeCell ref="G4:J4"/>
    <mergeCell ref="M4:N4"/>
    <mergeCell ref="O4:S4"/>
    <mergeCell ref="G9:J9"/>
    <mergeCell ref="M9:S9"/>
    <mergeCell ref="G5:J5"/>
    <mergeCell ref="M5:N5"/>
    <mergeCell ref="O5:S5"/>
    <mergeCell ref="G6:J6"/>
    <mergeCell ref="M6:N6"/>
    <mergeCell ref="O6:S6"/>
    <mergeCell ref="G7:J7"/>
    <mergeCell ref="M7:N7"/>
    <mergeCell ref="O7:S7"/>
    <mergeCell ref="G8:J8"/>
    <mergeCell ref="L8:S8"/>
    <mergeCell ref="G10:J10"/>
    <mergeCell ref="M10:S10"/>
    <mergeCell ref="G11:J11"/>
    <mergeCell ref="M11:S11"/>
    <mergeCell ref="G12:J12"/>
    <mergeCell ref="M12:S12"/>
    <mergeCell ref="G17:J17"/>
    <mergeCell ref="G16:J16"/>
    <mergeCell ref="G15:J15"/>
    <mergeCell ref="M15:S15"/>
    <mergeCell ref="M13:S13"/>
    <mergeCell ref="M14:S14"/>
    <mergeCell ref="G13:J13"/>
    <mergeCell ref="G14:J14"/>
  </mergeCells>
  <phoneticPr fontId="45" type="noConversion"/>
  <dataValidations count="1">
    <dataValidation type="list" allowBlank="1" showInputMessage="1" showErrorMessage="1" sqref="E3:E17" xr:uid="{43320DC7-A3B3-4F1C-857C-69FB7B7C8902}">
      <formula1>"draft,completed,tested,release"</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3">
    <tabColor rgb="FFFFFF00"/>
  </sheetPr>
  <dimension ref="A1:H186"/>
  <sheetViews>
    <sheetView showFormulas="1" topLeftCell="A50" zoomScale="70" zoomScaleNormal="70" workbookViewId="0">
      <selection activeCell="E53" sqref="E53:H53"/>
    </sheetView>
  </sheetViews>
  <sheetFormatPr defaultColWidth="9" defaultRowHeight="15"/>
  <cols>
    <col min="1" max="2" width="14.375" style="48" customWidth="1"/>
    <col min="3" max="3" width="15.75" style="48" customWidth="1"/>
    <col min="4" max="4" width="26.875" style="48" customWidth="1"/>
    <col min="5" max="5" width="13.875" style="48" customWidth="1"/>
    <col min="6" max="6" width="12.875" style="48" customWidth="1"/>
    <col min="7" max="7" width="12.75" style="48" customWidth="1"/>
    <col min="8" max="8" width="9.875" style="48" customWidth="1"/>
    <col min="9" max="16384" width="9" style="48"/>
  </cols>
  <sheetData>
    <row r="1" spans="1:8">
      <c r="A1" s="48" t="s">
        <v>6487</v>
      </c>
    </row>
    <row r="2" spans="1:8" ht="16.5" customHeight="1">
      <c r="A2" s="849" t="s">
        <v>284</v>
      </c>
      <c r="B2" s="850"/>
      <c r="C2" s="850"/>
      <c r="D2" s="850"/>
      <c r="E2" s="850"/>
      <c r="F2" s="850"/>
      <c r="G2" s="850"/>
      <c r="H2" s="850"/>
    </row>
    <row r="3" spans="1:8" ht="18" customHeight="1">
      <c r="A3" s="849"/>
      <c r="B3" s="849"/>
      <c r="C3" s="849"/>
      <c r="D3" s="849"/>
      <c r="E3" s="849"/>
      <c r="F3" s="849"/>
      <c r="G3" s="849"/>
      <c r="H3" s="849"/>
    </row>
    <row r="4" spans="1:8" ht="18">
      <c r="A4" s="113"/>
      <c r="B4" s="113"/>
      <c r="C4" s="113"/>
      <c r="D4" s="113"/>
      <c r="E4" s="113"/>
      <c r="F4" s="113"/>
      <c r="G4" s="113"/>
      <c r="H4" s="113"/>
    </row>
    <row r="5" spans="1:8" ht="26.25" customHeight="1">
      <c r="A5" s="167" t="s">
        <v>285</v>
      </c>
      <c r="B5" s="168" t="s">
        <v>286</v>
      </c>
      <c r="C5" s="168" t="s">
        <v>287</v>
      </c>
      <c r="D5" s="168" t="s">
        <v>288</v>
      </c>
      <c r="E5" s="851" t="s">
        <v>289</v>
      </c>
      <c r="F5" s="851"/>
      <c r="G5" s="851"/>
      <c r="H5" s="851"/>
    </row>
    <row r="6" spans="1:8" ht="15" customHeight="1">
      <c r="A6" s="163" t="s">
        <v>290</v>
      </c>
      <c r="B6" s="163" t="s">
        <v>291</v>
      </c>
      <c r="C6" s="164" t="s">
        <v>292</v>
      </c>
      <c r="D6" s="169" t="s">
        <v>195</v>
      </c>
      <c r="E6" s="852" t="s">
        <v>293</v>
      </c>
      <c r="F6" s="853"/>
      <c r="G6" s="853"/>
      <c r="H6" s="853"/>
    </row>
    <row r="7" spans="1:8" ht="14.25" customHeight="1">
      <c r="A7" s="163" t="s">
        <v>294</v>
      </c>
      <c r="B7" s="163" t="s">
        <v>291</v>
      </c>
      <c r="C7" s="164" t="s">
        <v>292</v>
      </c>
      <c r="D7" s="163"/>
      <c r="E7" s="852" t="s">
        <v>295</v>
      </c>
      <c r="F7" s="853"/>
      <c r="G7" s="853"/>
      <c r="H7" s="853"/>
    </row>
    <row r="8" spans="1:8">
      <c r="A8" s="163" t="s">
        <v>296</v>
      </c>
      <c r="B8" s="163" t="s">
        <v>297</v>
      </c>
      <c r="C8" s="164" t="s">
        <v>292</v>
      </c>
      <c r="D8" s="163"/>
      <c r="E8" s="852" t="s">
        <v>295</v>
      </c>
      <c r="F8" s="853"/>
      <c r="G8" s="853"/>
      <c r="H8" s="853"/>
    </row>
    <row r="9" spans="1:8" ht="17.25" customHeight="1">
      <c r="A9" s="163" t="s">
        <v>298</v>
      </c>
      <c r="B9" s="163" t="s">
        <v>299</v>
      </c>
      <c r="C9" s="165" t="s">
        <v>300</v>
      </c>
      <c r="D9" s="163" t="s">
        <v>301</v>
      </c>
      <c r="E9" s="852" t="s">
        <v>302</v>
      </c>
      <c r="F9" s="853"/>
      <c r="G9" s="853"/>
      <c r="H9" s="853"/>
    </row>
    <row r="10" spans="1:8">
      <c r="A10" s="92" t="s">
        <v>303</v>
      </c>
      <c r="B10" s="163" t="s">
        <v>304</v>
      </c>
      <c r="C10" s="165" t="s">
        <v>300</v>
      </c>
      <c r="D10" s="92" t="s">
        <v>305</v>
      </c>
      <c r="E10" s="852" t="s">
        <v>295</v>
      </c>
      <c r="F10" s="853"/>
      <c r="G10" s="853"/>
      <c r="H10" s="853"/>
    </row>
    <row r="11" spans="1:8" ht="42.75">
      <c r="A11" s="92" t="s">
        <v>306</v>
      </c>
      <c r="B11" s="163" t="s">
        <v>307</v>
      </c>
      <c r="C11" s="165" t="s">
        <v>300</v>
      </c>
      <c r="D11" s="163" t="s">
        <v>308</v>
      </c>
      <c r="E11" s="852" t="s">
        <v>295</v>
      </c>
      <c r="F11" s="853"/>
      <c r="G11" s="853"/>
      <c r="H11" s="853"/>
    </row>
    <row r="12" spans="1:8">
      <c r="A12" s="92" t="s">
        <v>309</v>
      </c>
      <c r="B12" s="163" t="s">
        <v>310</v>
      </c>
      <c r="C12" s="165" t="s">
        <v>300</v>
      </c>
      <c r="D12" s="163" t="s">
        <v>311</v>
      </c>
      <c r="E12" s="852" t="s">
        <v>295</v>
      </c>
      <c r="F12" s="853"/>
      <c r="G12" s="853"/>
      <c r="H12" s="853"/>
    </row>
    <row r="13" spans="1:8">
      <c r="A13" s="92" t="s">
        <v>312</v>
      </c>
      <c r="B13" s="163" t="s">
        <v>313</v>
      </c>
      <c r="C13" s="166" t="s">
        <v>314</v>
      </c>
      <c r="D13" s="92" t="s">
        <v>315</v>
      </c>
      <c r="E13" s="860" t="s">
        <v>295</v>
      </c>
      <c r="F13" s="860"/>
      <c r="G13" s="860"/>
      <c r="H13" s="860"/>
    </row>
    <row r="14" spans="1:8" ht="42.75">
      <c r="A14" s="92" t="s">
        <v>316</v>
      </c>
      <c r="B14" s="163" t="s">
        <v>317</v>
      </c>
      <c r="C14" s="166" t="s">
        <v>314</v>
      </c>
      <c r="D14" s="163" t="s">
        <v>318</v>
      </c>
      <c r="E14" s="860" t="s">
        <v>295</v>
      </c>
      <c r="F14" s="860"/>
      <c r="G14" s="860"/>
      <c r="H14" s="860"/>
    </row>
    <row r="15" spans="1:8">
      <c r="A15" s="92" t="s">
        <v>319</v>
      </c>
      <c r="B15" s="163" t="s">
        <v>320</v>
      </c>
      <c r="C15" s="166" t="s">
        <v>314</v>
      </c>
      <c r="D15" s="163" t="s">
        <v>321</v>
      </c>
      <c r="E15" s="860" t="s">
        <v>295</v>
      </c>
      <c r="F15" s="860"/>
      <c r="G15" s="860"/>
      <c r="H15" s="860"/>
    </row>
    <row r="16" spans="1:8">
      <c r="A16" s="162" t="s">
        <v>322</v>
      </c>
      <c r="B16" s="160" t="s">
        <v>323</v>
      </c>
      <c r="C16" s="161" t="s">
        <v>314</v>
      </c>
      <c r="D16" s="160" t="s">
        <v>324</v>
      </c>
      <c r="E16" s="861" t="s">
        <v>325</v>
      </c>
      <c r="F16" s="861"/>
      <c r="G16" s="861"/>
      <c r="H16" s="861"/>
    </row>
    <row r="17" spans="1:8">
      <c r="A17" s="162" t="s">
        <v>326</v>
      </c>
      <c r="B17" s="163" t="s">
        <v>327</v>
      </c>
      <c r="C17" s="166" t="s">
        <v>314</v>
      </c>
      <c r="D17" s="163" t="s">
        <v>328</v>
      </c>
      <c r="E17" s="860" t="s">
        <v>295</v>
      </c>
      <c r="F17" s="860"/>
      <c r="G17" s="860"/>
      <c r="H17" s="860"/>
    </row>
    <row r="18" spans="1:8" ht="82.5">
      <c r="A18" s="162" t="s">
        <v>329</v>
      </c>
      <c r="B18" s="92" t="s">
        <v>330</v>
      </c>
      <c r="C18" s="166" t="s">
        <v>314</v>
      </c>
      <c r="D18" s="110" t="s">
        <v>331</v>
      </c>
      <c r="E18" s="854" t="s">
        <v>332</v>
      </c>
      <c r="F18" s="855"/>
      <c r="G18" s="855"/>
      <c r="H18" s="855"/>
    </row>
    <row r="19" spans="1:8" ht="66">
      <c r="A19" s="162" t="s">
        <v>333</v>
      </c>
      <c r="B19" s="92" t="s">
        <v>334</v>
      </c>
      <c r="C19" s="166" t="s">
        <v>314</v>
      </c>
      <c r="D19" s="110" t="s">
        <v>335</v>
      </c>
      <c r="E19" s="856" t="s">
        <v>336</v>
      </c>
      <c r="F19" s="855"/>
      <c r="G19" s="855"/>
      <c r="H19" s="855"/>
    </row>
    <row r="20" spans="1:8" ht="42.75">
      <c r="A20" s="162" t="s">
        <v>337</v>
      </c>
      <c r="B20" s="92" t="s">
        <v>338</v>
      </c>
      <c r="C20" s="166" t="s">
        <v>314</v>
      </c>
      <c r="D20" s="110" t="s">
        <v>339</v>
      </c>
      <c r="E20" s="857" t="s">
        <v>295</v>
      </c>
      <c r="F20" s="855"/>
      <c r="G20" s="855"/>
      <c r="H20" s="855"/>
    </row>
    <row r="21" spans="1:8">
      <c r="A21" s="162" t="s">
        <v>340</v>
      </c>
      <c r="B21" s="92" t="s">
        <v>341</v>
      </c>
      <c r="C21" s="166" t="s">
        <v>314</v>
      </c>
      <c r="D21" s="110" t="s">
        <v>342</v>
      </c>
      <c r="E21" s="857" t="s">
        <v>295</v>
      </c>
      <c r="F21" s="855"/>
      <c r="G21" s="855"/>
      <c r="H21" s="855"/>
    </row>
    <row r="22" spans="1:8">
      <c r="A22" s="162" t="s">
        <v>343</v>
      </c>
      <c r="B22" s="92" t="s">
        <v>344</v>
      </c>
      <c r="C22" s="166" t="s">
        <v>314</v>
      </c>
      <c r="D22" s="110" t="s">
        <v>345</v>
      </c>
      <c r="E22" s="857" t="s">
        <v>295</v>
      </c>
      <c r="F22" s="855"/>
      <c r="G22" s="855"/>
      <c r="H22" s="855"/>
    </row>
    <row r="23" spans="1:8" ht="27">
      <c r="A23" s="162" t="s">
        <v>346</v>
      </c>
      <c r="B23" s="92" t="s">
        <v>347</v>
      </c>
      <c r="C23" s="166" t="s">
        <v>314</v>
      </c>
      <c r="D23" s="110" t="s">
        <v>348</v>
      </c>
      <c r="E23" s="857" t="s">
        <v>295</v>
      </c>
      <c r="F23" s="855"/>
      <c r="G23" s="855"/>
      <c r="H23" s="855"/>
    </row>
    <row r="24" spans="1:8" ht="95.25" customHeight="1">
      <c r="A24" s="162" t="s">
        <v>349</v>
      </c>
      <c r="B24" s="170" t="s">
        <v>350</v>
      </c>
      <c r="C24" s="171" t="s">
        <v>314</v>
      </c>
      <c r="D24" s="170" t="s">
        <v>351</v>
      </c>
      <c r="E24" s="858" t="s">
        <v>352</v>
      </c>
      <c r="F24" s="859"/>
      <c r="G24" s="859"/>
      <c r="H24" s="859"/>
    </row>
    <row r="25" spans="1:8" ht="118.5" customHeight="1">
      <c r="A25" s="162" t="s">
        <v>353</v>
      </c>
      <c r="B25" s="170" t="s">
        <v>354</v>
      </c>
      <c r="C25" s="171" t="s">
        <v>314</v>
      </c>
      <c r="D25" s="170" t="s">
        <v>355</v>
      </c>
      <c r="E25" s="858" t="s">
        <v>356</v>
      </c>
      <c r="F25" s="859"/>
      <c r="G25" s="859"/>
      <c r="H25" s="859"/>
    </row>
    <row r="26" spans="1:8" ht="52.5" customHeight="1">
      <c r="A26" s="162" t="s">
        <v>357</v>
      </c>
      <c r="B26" s="170" t="s">
        <v>358</v>
      </c>
      <c r="C26" s="171" t="s">
        <v>314</v>
      </c>
      <c r="D26" s="170" t="s">
        <v>359</v>
      </c>
      <c r="E26" s="858" t="s">
        <v>360</v>
      </c>
      <c r="F26" s="859"/>
      <c r="G26" s="859"/>
      <c r="H26" s="859"/>
    </row>
    <row r="27" spans="1:8" ht="51" customHeight="1">
      <c r="A27" s="162" t="s">
        <v>361</v>
      </c>
      <c r="B27" s="170" t="s">
        <v>358</v>
      </c>
      <c r="C27" s="171" t="s">
        <v>314</v>
      </c>
      <c r="D27" s="170" t="s">
        <v>359</v>
      </c>
      <c r="E27" s="858" t="s">
        <v>362</v>
      </c>
      <c r="F27" s="859"/>
      <c r="G27" s="859"/>
      <c r="H27" s="859"/>
    </row>
    <row r="28" spans="1:8" ht="92.25" customHeight="1">
      <c r="A28" s="162" t="s">
        <v>363</v>
      </c>
      <c r="B28" s="170" t="s">
        <v>364</v>
      </c>
      <c r="C28" s="171" t="s">
        <v>314</v>
      </c>
      <c r="D28" s="170" t="s">
        <v>365</v>
      </c>
      <c r="E28" s="858" t="s">
        <v>366</v>
      </c>
      <c r="F28" s="859"/>
      <c r="G28" s="859"/>
      <c r="H28" s="859"/>
    </row>
    <row r="29" spans="1:8" ht="206.25" customHeight="1">
      <c r="A29" s="162" t="s">
        <v>367</v>
      </c>
      <c r="B29" s="170" t="s">
        <v>368</v>
      </c>
      <c r="C29" s="171" t="s">
        <v>314</v>
      </c>
      <c r="D29" s="170" t="s">
        <v>369</v>
      </c>
      <c r="E29" s="858" t="s">
        <v>370</v>
      </c>
      <c r="F29" s="859"/>
      <c r="G29" s="859"/>
      <c r="H29" s="859"/>
    </row>
    <row r="30" spans="1:8" ht="34.5" customHeight="1">
      <c r="A30" s="162" t="s">
        <v>371</v>
      </c>
      <c r="B30" s="170" t="s">
        <v>372</v>
      </c>
      <c r="C30" s="171" t="s">
        <v>314</v>
      </c>
      <c r="D30" s="170" t="s">
        <v>373</v>
      </c>
      <c r="E30" s="858" t="s">
        <v>374</v>
      </c>
      <c r="F30" s="859"/>
      <c r="G30" s="859"/>
      <c r="H30" s="859"/>
    </row>
    <row r="31" spans="1:8" ht="249.75" customHeight="1">
      <c r="A31" s="162" t="s">
        <v>375</v>
      </c>
      <c r="B31" s="170" t="s">
        <v>376</v>
      </c>
      <c r="C31" s="171" t="s">
        <v>314</v>
      </c>
      <c r="D31" s="170" t="s">
        <v>377</v>
      </c>
      <c r="E31" s="858" t="s">
        <v>378</v>
      </c>
      <c r="F31" s="859"/>
      <c r="G31" s="859"/>
      <c r="H31" s="859"/>
    </row>
    <row r="32" spans="1:8" ht="196.5" customHeight="1" thickBot="1">
      <c r="A32" s="268" t="s">
        <v>379</v>
      </c>
      <c r="B32" s="269" t="s">
        <v>380</v>
      </c>
      <c r="C32" s="270" t="s">
        <v>314</v>
      </c>
      <c r="D32" s="269" t="s">
        <v>377</v>
      </c>
      <c r="E32" s="863" t="s">
        <v>381</v>
      </c>
      <c r="F32" s="864"/>
      <c r="G32" s="864"/>
      <c r="H32" s="864"/>
    </row>
    <row r="33" spans="1:8" ht="66" customHeight="1">
      <c r="A33" s="274" t="s">
        <v>382</v>
      </c>
      <c r="B33" s="275" t="s">
        <v>383</v>
      </c>
      <c r="C33" s="276" t="s">
        <v>314</v>
      </c>
      <c r="D33" s="275" t="s">
        <v>384</v>
      </c>
      <c r="E33" s="868" t="s">
        <v>385</v>
      </c>
      <c r="F33" s="869"/>
      <c r="G33" s="869"/>
      <c r="H33" s="870"/>
    </row>
    <row r="34" spans="1:8" ht="67.5" customHeight="1" thickBot="1">
      <c r="A34" s="278" t="s">
        <v>386</v>
      </c>
      <c r="B34" s="281" t="s">
        <v>387</v>
      </c>
      <c r="C34" s="282" t="s">
        <v>314</v>
      </c>
      <c r="D34" s="281" t="s">
        <v>388</v>
      </c>
      <c r="E34" s="865" t="s">
        <v>389</v>
      </c>
      <c r="F34" s="866"/>
      <c r="G34" s="866"/>
      <c r="H34" s="867"/>
    </row>
    <row r="35" spans="1:8" ht="105" customHeight="1">
      <c r="A35" s="274" t="s">
        <v>390</v>
      </c>
      <c r="B35" s="275" t="s">
        <v>391</v>
      </c>
      <c r="C35" s="276" t="s">
        <v>314</v>
      </c>
      <c r="D35" s="275" t="s">
        <v>392</v>
      </c>
      <c r="E35" s="868" t="s">
        <v>393</v>
      </c>
      <c r="F35" s="869"/>
      <c r="G35" s="869"/>
      <c r="H35" s="870"/>
    </row>
    <row r="36" spans="1:8" ht="39.75" customHeight="1">
      <c r="A36" s="277" t="s">
        <v>394</v>
      </c>
      <c r="B36" s="92" t="s">
        <v>391</v>
      </c>
      <c r="C36" s="92" t="s">
        <v>314</v>
      </c>
      <c r="D36" s="267" t="s">
        <v>395</v>
      </c>
      <c r="E36" s="842" t="s">
        <v>396</v>
      </c>
      <c r="F36" s="843"/>
      <c r="G36" s="843"/>
      <c r="H36" s="862"/>
    </row>
    <row r="37" spans="1:8" ht="33.75" customHeight="1" thickBot="1">
      <c r="A37" s="278" t="s">
        <v>397</v>
      </c>
      <c r="B37" s="279" t="s">
        <v>398</v>
      </c>
      <c r="C37" s="279" t="s">
        <v>314</v>
      </c>
      <c r="D37" s="280" t="s">
        <v>395</v>
      </c>
      <c r="E37" s="839" t="s">
        <v>399</v>
      </c>
      <c r="F37" s="840"/>
      <c r="G37" s="840"/>
      <c r="H37" s="841"/>
    </row>
    <row r="38" spans="1:8" ht="42.75" customHeight="1">
      <c r="A38" s="271" t="s">
        <v>400</v>
      </c>
      <c r="B38" s="272" t="s">
        <v>398</v>
      </c>
      <c r="C38" s="272" t="s">
        <v>314</v>
      </c>
      <c r="D38" s="273" t="s">
        <v>401</v>
      </c>
      <c r="E38" s="844" t="s">
        <v>402</v>
      </c>
      <c r="F38" s="845"/>
      <c r="G38" s="845"/>
      <c r="H38" s="845"/>
    </row>
    <row r="39" spans="1:8" ht="168.75" customHeight="1">
      <c r="A39" s="271" t="s">
        <v>403</v>
      </c>
      <c r="B39" s="272" t="s">
        <v>404</v>
      </c>
      <c r="C39" s="272" t="s">
        <v>314</v>
      </c>
      <c r="D39" s="273" t="s">
        <v>405</v>
      </c>
      <c r="E39" s="844" t="s">
        <v>406</v>
      </c>
      <c r="F39" s="845"/>
      <c r="G39" s="845"/>
      <c r="H39" s="845"/>
    </row>
    <row r="40" spans="1:8" ht="247.5" customHeight="1">
      <c r="A40" s="271" t="s">
        <v>407</v>
      </c>
      <c r="B40" s="272" t="s">
        <v>408</v>
      </c>
      <c r="C40" s="272" t="s">
        <v>314</v>
      </c>
      <c r="D40" s="273" t="s">
        <v>409</v>
      </c>
      <c r="E40" s="844" t="s">
        <v>410</v>
      </c>
      <c r="F40" s="845"/>
      <c r="G40" s="845"/>
      <c r="H40" s="845"/>
    </row>
    <row r="41" spans="1:8" ht="144" customHeight="1">
      <c r="A41" s="271" t="s">
        <v>411</v>
      </c>
      <c r="B41" s="272" t="s">
        <v>412</v>
      </c>
      <c r="C41" s="272" t="s">
        <v>314</v>
      </c>
      <c r="D41" s="163" t="s">
        <v>413</v>
      </c>
      <c r="E41" s="844" t="s">
        <v>414</v>
      </c>
      <c r="F41" s="845"/>
      <c r="G41" s="845"/>
      <c r="H41" s="845"/>
    </row>
    <row r="42" spans="1:8" ht="99.75" customHeight="1">
      <c r="A42" s="271" t="s">
        <v>415</v>
      </c>
      <c r="B42" s="272" t="s">
        <v>416</v>
      </c>
      <c r="C42" s="272" t="s">
        <v>314</v>
      </c>
      <c r="D42" s="163" t="s">
        <v>417</v>
      </c>
      <c r="E42" s="844" t="s">
        <v>418</v>
      </c>
      <c r="F42" s="845"/>
      <c r="G42" s="845"/>
      <c r="H42" s="845"/>
    </row>
    <row r="43" spans="1:8" ht="81.75" customHeight="1">
      <c r="A43" s="271" t="s">
        <v>419</v>
      </c>
      <c r="B43" s="272" t="s">
        <v>420</v>
      </c>
      <c r="C43" s="272" t="s">
        <v>314</v>
      </c>
      <c r="D43" s="92" t="s">
        <v>421</v>
      </c>
      <c r="E43" s="842" t="s">
        <v>422</v>
      </c>
      <c r="F43" s="843"/>
      <c r="G43" s="843"/>
      <c r="H43" s="843"/>
    </row>
    <row r="44" spans="1:8" ht="90" customHeight="1">
      <c r="A44" s="271" t="s">
        <v>423</v>
      </c>
      <c r="B44" s="272" t="s">
        <v>424</v>
      </c>
      <c r="C44" s="272" t="s">
        <v>314</v>
      </c>
      <c r="D44" s="92" t="s">
        <v>425</v>
      </c>
      <c r="E44" s="842" t="s">
        <v>426</v>
      </c>
      <c r="F44" s="843"/>
      <c r="G44" s="843"/>
      <c r="H44" s="843"/>
    </row>
    <row r="45" spans="1:8" ht="54.75" customHeight="1">
      <c r="A45" s="271" t="s">
        <v>427</v>
      </c>
      <c r="B45" s="272" t="s">
        <v>424</v>
      </c>
      <c r="C45" s="272" t="s">
        <v>314</v>
      </c>
      <c r="D45" s="92" t="s">
        <v>428</v>
      </c>
      <c r="E45" s="842" t="s">
        <v>429</v>
      </c>
      <c r="F45" s="843"/>
      <c r="G45" s="843"/>
      <c r="H45" s="843"/>
    </row>
    <row r="46" spans="1:8" ht="57" customHeight="1">
      <c r="A46" s="271" t="s">
        <v>430</v>
      </c>
      <c r="B46" s="272" t="s">
        <v>431</v>
      </c>
      <c r="C46" s="272" t="s">
        <v>314</v>
      </c>
      <c r="D46" s="92" t="s">
        <v>365</v>
      </c>
      <c r="E46" s="842" t="s">
        <v>432</v>
      </c>
      <c r="F46" s="843"/>
      <c r="G46" s="843"/>
      <c r="H46" s="843"/>
    </row>
    <row r="47" spans="1:8" ht="66" customHeight="1">
      <c r="A47" s="271" t="s">
        <v>433</v>
      </c>
      <c r="B47" s="272" t="s">
        <v>434</v>
      </c>
      <c r="C47" s="272" t="s">
        <v>314</v>
      </c>
      <c r="D47" s="92" t="s">
        <v>435</v>
      </c>
      <c r="E47" s="842" t="s">
        <v>436</v>
      </c>
      <c r="F47" s="843"/>
      <c r="G47" s="843"/>
      <c r="H47" s="843"/>
    </row>
    <row r="48" spans="1:8" ht="68.25" customHeight="1">
      <c r="A48" s="271" t="s">
        <v>437</v>
      </c>
      <c r="B48" s="272" t="s">
        <v>434</v>
      </c>
      <c r="C48" s="272" t="s">
        <v>314</v>
      </c>
      <c r="D48" s="92" t="s">
        <v>435</v>
      </c>
      <c r="E48" s="842" t="s">
        <v>438</v>
      </c>
      <c r="F48" s="843"/>
      <c r="G48" s="843"/>
      <c r="H48" s="843"/>
    </row>
    <row r="49" spans="1:8" ht="78.75" customHeight="1">
      <c r="A49" s="271" t="s">
        <v>439</v>
      </c>
      <c r="B49" s="272" t="s">
        <v>440</v>
      </c>
      <c r="C49" s="272" t="s">
        <v>314</v>
      </c>
      <c r="D49" s="92" t="s">
        <v>417</v>
      </c>
      <c r="E49" s="842" t="s">
        <v>441</v>
      </c>
      <c r="F49" s="843"/>
      <c r="G49" s="843"/>
      <c r="H49" s="843"/>
    </row>
    <row r="50" spans="1:8" ht="154.15" customHeight="1">
      <c r="A50" s="408" t="s">
        <v>442</v>
      </c>
      <c r="B50" s="408" t="s">
        <v>443</v>
      </c>
      <c r="C50" s="408" t="s">
        <v>444</v>
      </c>
      <c r="D50" s="409" t="s">
        <v>445</v>
      </c>
      <c r="E50" s="833" t="s">
        <v>446</v>
      </c>
      <c r="F50" s="834"/>
      <c r="G50" s="834"/>
      <c r="H50" s="835"/>
    </row>
    <row r="51" spans="1:8" ht="62.45" customHeight="1">
      <c r="A51" s="408" t="s">
        <v>447</v>
      </c>
      <c r="B51" s="408" t="s">
        <v>448</v>
      </c>
      <c r="C51" s="272" t="s">
        <v>314</v>
      </c>
      <c r="D51" s="409" t="s">
        <v>449</v>
      </c>
      <c r="E51" s="833" t="s">
        <v>450</v>
      </c>
      <c r="F51" s="834"/>
      <c r="G51" s="834"/>
      <c r="H51" s="835"/>
    </row>
    <row r="52" spans="1:8" ht="112.5" customHeight="1">
      <c r="A52" s="408" t="s">
        <v>283</v>
      </c>
      <c r="B52" s="408" t="s">
        <v>165</v>
      </c>
      <c r="C52" s="272" t="s">
        <v>314</v>
      </c>
      <c r="D52" s="409" t="s">
        <v>451</v>
      </c>
      <c r="E52" s="833" t="s">
        <v>452</v>
      </c>
      <c r="F52" s="834"/>
      <c r="G52" s="834"/>
      <c r="H52" s="835"/>
    </row>
    <row r="53" spans="1:8" ht="56.25" customHeight="1">
      <c r="A53" s="408" t="s">
        <v>6465</v>
      </c>
      <c r="B53" s="408" t="s">
        <v>6466</v>
      </c>
      <c r="C53" s="272" t="s">
        <v>314</v>
      </c>
      <c r="D53" s="409" t="s">
        <v>6467</v>
      </c>
      <c r="E53" s="846" t="s">
        <v>6469</v>
      </c>
      <c r="F53" s="847"/>
      <c r="G53" s="847"/>
      <c r="H53" s="848"/>
    </row>
    <row r="54" spans="1:8" ht="38.25" customHeight="1">
      <c r="A54" s="408" t="s">
        <v>6471</v>
      </c>
      <c r="B54" s="408" t="s">
        <v>6470</v>
      </c>
      <c r="C54" s="272" t="s">
        <v>314</v>
      </c>
      <c r="D54" s="409" t="s">
        <v>6473</v>
      </c>
      <c r="E54" s="846" t="s">
        <v>6476</v>
      </c>
      <c r="F54" s="847"/>
      <c r="G54" s="847"/>
      <c r="H54" s="848"/>
    </row>
    <row r="55" spans="1:8" ht="83.25" customHeight="1">
      <c r="A55" s="319" t="s">
        <v>6487</v>
      </c>
      <c r="B55" s="319" t="s">
        <v>6488</v>
      </c>
      <c r="C55" s="420" t="s">
        <v>314</v>
      </c>
      <c r="D55" s="320" t="s">
        <v>6492</v>
      </c>
      <c r="E55" s="836" t="s">
        <v>6491</v>
      </c>
      <c r="F55" s="837"/>
      <c r="G55" s="837"/>
      <c r="H55" s="838"/>
    </row>
    <row r="56" spans="1:8">
      <c r="A56" s="19"/>
      <c r="B56" s="19"/>
      <c r="C56" s="19"/>
      <c r="D56" s="19"/>
      <c r="E56" s="19"/>
      <c r="F56" s="19"/>
      <c r="G56" s="19"/>
      <c r="H56" s="19"/>
    </row>
    <row r="57" spans="1:8">
      <c r="A57" s="19"/>
      <c r="B57" s="19"/>
      <c r="C57" s="19"/>
      <c r="D57" s="19"/>
      <c r="E57" s="19"/>
      <c r="F57" s="19"/>
      <c r="G57" s="19"/>
      <c r="H57" s="19"/>
    </row>
    <row r="58" spans="1:8">
      <c r="A58" s="19"/>
      <c r="B58" s="19"/>
      <c r="C58" s="19"/>
      <c r="D58" s="19"/>
      <c r="E58" s="19"/>
      <c r="F58" s="19"/>
      <c r="G58" s="19"/>
      <c r="H58" s="19"/>
    </row>
    <row r="59" spans="1:8">
      <c r="A59" s="19"/>
      <c r="B59" s="19"/>
      <c r="C59" s="19"/>
      <c r="D59" s="19"/>
      <c r="E59" s="19"/>
      <c r="F59" s="19"/>
      <c r="G59" s="19"/>
      <c r="H59" s="19"/>
    </row>
    <row r="60" spans="1:8">
      <c r="A60" s="19"/>
      <c r="B60" s="19"/>
      <c r="C60" s="19"/>
      <c r="D60" s="19"/>
      <c r="E60" s="19"/>
      <c r="F60" s="19"/>
      <c r="G60" s="19"/>
      <c r="H60" s="19"/>
    </row>
    <row r="61" spans="1:8">
      <c r="A61" s="19"/>
      <c r="B61" s="19"/>
      <c r="C61" s="19"/>
      <c r="D61" s="19"/>
      <c r="E61" s="19"/>
      <c r="F61" s="19"/>
      <c r="G61" s="19"/>
      <c r="H61" s="19"/>
    </row>
    <row r="62" spans="1:8">
      <c r="A62" s="19"/>
      <c r="B62" s="19"/>
      <c r="C62" s="19"/>
      <c r="D62" s="19"/>
      <c r="E62" s="19"/>
      <c r="F62" s="19"/>
      <c r="G62" s="19"/>
      <c r="H62" s="19"/>
    </row>
    <row r="63" spans="1:8">
      <c r="A63" s="19"/>
      <c r="B63" s="19"/>
      <c r="C63" s="19"/>
      <c r="D63" s="19"/>
      <c r="E63" s="19"/>
      <c r="F63" s="19"/>
      <c r="G63" s="19"/>
      <c r="H63" s="19"/>
    </row>
    <row r="64" spans="1:8">
      <c r="A64" s="19"/>
      <c r="B64" s="19"/>
      <c r="C64" s="19"/>
      <c r="D64" s="19"/>
      <c r="E64" s="19"/>
      <c r="F64" s="19"/>
      <c r="G64" s="19"/>
      <c r="H64" s="19"/>
    </row>
    <row r="65" spans="1:8">
      <c r="A65" s="19"/>
      <c r="B65" s="19"/>
      <c r="C65" s="19"/>
      <c r="D65" s="19"/>
      <c r="E65" s="19"/>
      <c r="F65" s="19"/>
      <c r="G65" s="19"/>
      <c r="H65" s="19"/>
    </row>
    <row r="66" spans="1:8">
      <c r="A66" s="19"/>
      <c r="B66" s="19"/>
      <c r="C66" s="19"/>
      <c r="D66" s="19"/>
      <c r="E66" s="19"/>
      <c r="F66" s="19"/>
      <c r="G66" s="19"/>
      <c r="H66" s="19"/>
    </row>
    <row r="67" spans="1:8">
      <c r="A67" s="19"/>
      <c r="B67" s="19"/>
      <c r="C67" s="19"/>
      <c r="D67" s="19"/>
      <c r="E67" s="19"/>
      <c r="F67" s="19"/>
      <c r="G67" s="19"/>
      <c r="H67" s="19"/>
    </row>
    <row r="68" spans="1:8">
      <c r="A68" s="19"/>
      <c r="B68" s="19"/>
      <c r="C68" s="19"/>
      <c r="D68" s="19"/>
      <c r="E68" s="19"/>
      <c r="F68" s="19"/>
      <c r="G68" s="19"/>
      <c r="H68" s="19"/>
    </row>
    <row r="69" spans="1:8">
      <c r="A69" s="19"/>
      <c r="B69" s="19"/>
      <c r="C69" s="19"/>
      <c r="D69" s="19"/>
      <c r="E69" s="19"/>
      <c r="F69" s="19"/>
      <c r="G69" s="19"/>
      <c r="H69" s="19"/>
    </row>
    <row r="70" spans="1:8">
      <c r="A70" s="19"/>
      <c r="B70" s="19"/>
      <c r="C70" s="19"/>
      <c r="D70" s="19"/>
      <c r="E70" s="19"/>
      <c r="F70" s="19"/>
      <c r="G70" s="19"/>
      <c r="H70" s="19"/>
    </row>
    <row r="71" spans="1:8">
      <c r="A71" s="19"/>
      <c r="B71" s="19"/>
      <c r="C71" s="19"/>
      <c r="D71" s="19"/>
      <c r="E71" s="19"/>
      <c r="F71" s="19"/>
      <c r="G71" s="19"/>
      <c r="H71" s="19"/>
    </row>
    <row r="72" spans="1:8">
      <c r="A72" s="19"/>
      <c r="B72" s="19"/>
      <c r="C72" s="19"/>
      <c r="D72" s="19"/>
      <c r="E72" s="19"/>
      <c r="F72" s="19"/>
      <c r="G72" s="19"/>
      <c r="H72" s="19"/>
    </row>
    <row r="73" spans="1:8">
      <c r="A73" s="19"/>
      <c r="B73" s="19"/>
      <c r="C73" s="19"/>
      <c r="D73" s="19"/>
      <c r="E73" s="19"/>
      <c r="F73" s="19"/>
      <c r="G73" s="19"/>
      <c r="H73" s="19"/>
    </row>
    <row r="74" spans="1:8">
      <c r="A74" s="19"/>
      <c r="B74" s="19"/>
      <c r="C74" s="19"/>
      <c r="D74" s="19"/>
      <c r="E74" s="19"/>
      <c r="F74" s="19"/>
      <c r="G74" s="19"/>
      <c r="H74" s="19"/>
    </row>
    <row r="75" spans="1:8">
      <c r="A75" s="19"/>
      <c r="B75" s="19"/>
      <c r="C75" s="19"/>
      <c r="D75" s="19"/>
      <c r="E75" s="19"/>
      <c r="F75" s="19"/>
      <c r="G75" s="19"/>
      <c r="H75" s="19"/>
    </row>
    <row r="76" spans="1:8">
      <c r="A76" s="19"/>
      <c r="B76" s="19"/>
      <c r="C76" s="19"/>
      <c r="D76" s="19"/>
      <c r="E76" s="19"/>
      <c r="F76" s="19"/>
      <c r="G76" s="19"/>
      <c r="H76" s="19"/>
    </row>
    <row r="77" spans="1:8">
      <c r="A77" s="19"/>
      <c r="B77" s="19"/>
      <c r="C77" s="19"/>
      <c r="D77" s="19"/>
      <c r="E77" s="19"/>
      <c r="F77" s="19"/>
      <c r="G77" s="19"/>
      <c r="H77" s="19"/>
    </row>
    <row r="78" spans="1:8">
      <c r="A78" s="19"/>
      <c r="B78" s="19"/>
      <c r="C78" s="19"/>
      <c r="D78" s="19"/>
      <c r="E78" s="19"/>
      <c r="F78" s="19"/>
      <c r="G78" s="19"/>
      <c r="H78" s="19"/>
    </row>
    <row r="79" spans="1:8">
      <c r="A79" s="19"/>
      <c r="B79" s="19"/>
      <c r="C79" s="19"/>
      <c r="D79" s="19"/>
      <c r="E79" s="19"/>
      <c r="F79" s="19"/>
      <c r="G79" s="19"/>
      <c r="H79" s="19"/>
    </row>
    <row r="80" spans="1:8">
      <c r="A80" s="19"/>
      <c r="B80" s="19"/>
      <c r="C80" s="19"/>
      <c r="D80" s="19"/>
      <c r="E80" s="19"/>
      <c r="F80" s="19"/>
      <c r="G80" s="19"/>
      <c r="H80" s="19"/>
    </row>
    <row r="81" spans="1:8">
      <c r="A81" s="19"/>
      <c r="B81" s="19"/>
      <c r="C81" s="19"/>
      <c r="D81" s="19"/>
      <c r="E81" s="19"/>
      <c r="F81" s="19"/>
      <c r="G81" s="19"/>
      <c r="H81" s="19"/>
    </row>
    <row r="82" spans="1:8">
      <c r="A82" s="19"/>
      <c r="B82" s="19"/>
      <c r="C82" s="19"/>
      <c r="D82" s="19"/>
      <c r="E82" s="19"/>
      <c r="F82" s="19"/>
      <c r="G82" s="19"/>
      <c r="H82" s="19"/>
    </row>
    <row r="83" spans="1:8">
      <c r="A83" s="19"/>
      <c r="B83" s="19"/>
      <c r="C83" s="19"/>
      <c r="D83" s="19"/>
      <c r="E83" s="19"/>
      <c r="F83" s="19"/>
      <c r="G83" s="19"/>
      <c r="H83" s="19"/>
    </row>
    <row r="84" spans="1:8">
      <c r="A84" s="19"/>
      <c r="B84" s="19"/>
      <c r="C84" s="19"/>
      <c r="D84" s="19"/>
      <c r="E84" s="19"/>
      <c r="F84" s="19"/>
      <c r="G84" s="19"/>
      <c r="H84" s="19"/>
    </row>
    <row r="85" spans="1:8">
      <c r="A85" s="19"/>
      <c r="B85" s="19"/>
      <c r="C85" s="19"/>
      <c r="D85" s="19"/>
      <c r="E85" s="19"/>
      <c r="F85" s="19"/>
      <c r="G85" s="19"/>
      <c r="H85" s="19"/>
    </row>
    <row r="86" spans="1:8">
      <c r="A86" s="19"/>
      <c r="B86" s="19"/>
      <c r="C86" s="19"/>
      <c r="D86" s="19"/>
      <c r="E86" s="19"/>
      <c r="F86" s="19"/>
      <c r="G86" s="19"/>
      <c r="H86" s="19"/>
    </row>
    <row r="87" spans="1:8">
      <c r="A87" s="19"/>
      <c r="B87" s="19"/>
      <c r="C87" s="19"/>
      <c r="D87" s="19"/>
      <c r="E87" s="19"/>
      <c r="F87" s="19"/>
      <c r="G87" s="19"/>
      <c r="H87" s="19"/>
    </row>
    <row r="88" spans="1:8">
      <c r="A88" s="19"/>
      <c r="B88" s="19"/>
      <c r="C88" s="19"/>
      <c r="D88" s="19"/>
      <c r="E88" s="19"/>
      <c r="F88" s="19"/>
      <c r="G88" s="19"/>
      <c r="H88" s="19"/>
    </row>
    <row r="89" spans="1:8">
      <c r="A89" s="19"/>
      <c r="B89" s="19"/>
      <c r="C89" s="19"/>
      <c r="D89" s="19"/>
      <c r="E89" s="19"/>
      <c r="F89" s="19"/>
      <c r="G89" s="19"/>
      <c r="H89" s="19"/>
    </row>
    <row r="90" spans="1:8">
      <c r="A90" s="19"/>
      <c r="B90" s="19"/>
      <c r="C90" s="19"/>
      <c r="D90" s="19"/>
      <c r="E90" s="19"/>
      <c r="F90" s="19"/>
      <c r="G90" s="19"/>
      <c r="H90" s="19"/>
    </row>
    <row r="91" spans="1:8">
      <c r="A91" s="19"/>
      <c r="B91" s="19"/>
      <c r="C91" s="19"/>
      <c r="D91" s="19"/>
      <c r="E91" s="19"/>
      <c r="F91" s="19"/>
      <c r="G91" s="19"/>
      <c r="H91" s="19"/>
    </row>
    <row r="92" spans="1:8">
      <c r="A92" s="19"/>
      <c r="B92" s="19"/>
      <c r="C92" s="19"/>
      <c r="D92" s="19"/>
      <c r="E92" s="19"/>
      <c r="F92" s="19"/>
      <c r="G92" s="19"/>
      <c r="H92" s="19"/>
    </row>
    <row r="93" spans="1:8">
      <c r="A93" s="19"/>
      <c r="B93" s="19"/>
      <c r="C93" s="19"/>
      <c r="D93" s="19"/>
      <c r="E93" s="19"/>
      <c r="F93" s="19"/>
      <c r="G93" s="19"/>
      <c r="H93" s="19"/>
    </row>
    <row r="94" spans="1:8">
      <c r="A94" s="19"/>
      <c r="B94" s="19"/>
      <c r="C94" s="19"/>
      <c r="D94" s="19"/>
      <c r="E94" s="19"/>
      <c r="F94" s="19"/>
      <c r="G94" s="19"/>
      <c r="H94" s="19"/>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row r="107" spans="1:8">
      <c r="A107" s="19"/>
      <c r="B107" s="19"/>
      <c r="C107" s="19"/>
      <c r="D107" s="19"/>
      <c r="E107" s="19"/>
      <c r="F107" s="19"/>
      <c r="G107" s="19"/>
      <c r="H107" s="19"/>
    </row>
    <row r="108" spans="1:8">
      <c r="A108" s="19"/>
      <c r="B108" s="19"/>
      <c r="C108" s="19"/>
      <c r="D108" s="19"/>
      <c r="E108" s="19"/>
      <c r="F108" s="19"/>
      <c r="G108" s="19"/>
      <c r="H108" s="19"/>
    </row>
    <row r="109" spans="1:8">
      <c r="A109" s="19"/>
      <c r="B109" s="19"/>
      <c r="C109" s="19"/>
      <c r="D109" s="19"/>
      <c r="E109" s="19"/>
      <c r="F109" s="19"/>
      <c r="G109" s="19"/>
      <c r="H109" s="19"/>
    </row>
    <row r="110" spans="1:8">
      <c r="A110" s="19"/>
      <c r="B110" s="19"/>
      <c r="C110" s="19"/>
      <c r="D110" s="19"/>
      <c r="E110" s="19"/>
      <c r="F110" s="19"/>
      <c r="G110" s="19"/>
      <c r="H110" s="19"/>
    </row>
    <row r="111" spans="1:8">
      <c r="A111" s="19"/>
      <c r="B111" s="19"/>
      <c r="C111" s="19"/>
      <c r="D111" s="19"/>
      <c r="E111" s="19"/>
      <c r="F111" s="19"/>
      <c r="G111" s="19"/>
      <c r="H111" s="19"/>
    </row>
    <row r="112" spans="1:8">
      <c r="A112" s="19"/>
      <c r="B112" s="19"/>
      <c r="C112" s="19"/>
      <c r="D112" s="19"/>
      <c r="E112" s="19"/>
      <c r="F112" s="19"/>
      <c r="G112" s="19"/>
      <c r="H112" s="19"/>
    </row>
    <row r="113" spans="1:8">
      <c r="A113" s="19"/>
      <c r="B113" s="19"/>
      <c r="C113" s="19"/>
      <c r="D113" s="19"/>
      <c r="E113" s="19"/>
      <c r="F113" s="19"/>
      <c r="G113" s="19"/>
      <c r="H113" s="19"/>
    </row>
    <row r="114" spans="1:8">
      <c r="A114" s="19"/>
      <c r="B114" s="19"/>
      <c r="C114" s="19"/>
      <c r="D114" s="19"/>
      <c r="E114" s="19"/>
      <c r="F114" s="19"/>
      <c r="G114" s="19"/>
      <c r="H114" s="19"/>
    </row>
    <row r="115" spans="1:8">
      <c r="A115" s="19"/>
      <c r="B115" s="19"/>
      <c r="C115" s="19"/>
      <c r="D115" s="19"/>
      <c r="E115" s="19"/>
      <c r="F115" s="19"/>
      <c r="G115" s="19"/>
      <c r="H115" s="19"/>
    </row>
    <row r="116" spans="1:8">
      <c r="A116" s="19"/>
      <c r="B116" s="19"/>
      <c r="C116" s="19"/>
      <c r="D116" s="19"/>
      <c r="E116" s="19"/>
      <c r="F116" s="19"/>
      <c r="G116" s="19"/>
      <c r="H116" s="19"/>
    </row>
    <row r="117" spans="1:8">
      <c r="A117" s="19"/>
      <c r="B117" s="19"/>
      <c r="C117" s="19"/>
      <c r="D117" s="19"/>
      <c r="E117" s="19"/>
      <c r="F117" s="19"/>
      <c r="G117" s="19"/>
      <c r="H117" s="19"/>
    </row>
    <row r="118" spans="1:8">
      <c r="A118" s="19"/>
      <c r="B118" s="19"/>
      <c r="C118" s="19"/>
      <c r="D118" s="19"/>
      <c r="E118" s="19"/>
      <c r="F118" s="19"/>
      <c r="G118" s="19"/>
      <c r="H118" s="19"/>
    </row>
    <row r="119" spans="1:8">
      <c r="A119" s="19"/>
      <c r="B119" s="19"/>
      <c r="C119" s="19"/>
      <c r="D119" s="19"/>
      <c r="E119" s="19"/>
      <c r="F119" s="19"/>
      <c r="G119" s="19"/>
      <c r="H119" s="19"/>
    </row>
    <row r="120" spans="1:8">
      <c r="A120" s="19"/>
      <c r="B120" s="19"/>
      <c r="C120" s="19"/>
      <c r="D120" s="19"/>
      <c r="E120" s="19"/>
      <c r="F120" s="19"/>
      <c r="G120" s="19"/>
      <c r="H120" s="19"/>
    </row>
    <row r="121" spans="1:8">
      <c r="A121" s="19"/>
      <c r="B121" s="19"/>
      <c r="C121" s="19"/>
      <c r="D121" s="19"/>
      <c r="E121" s="19"/>
      <c r="F121" s="19"/>
      <c r="G121" s="19"/>
      <c r="H121" s="19"/>
    </row>
    <row r="122" spans="1:8">
      <c r="A122" s="19"/>
      <c r="B122" s="19"/>
      <c r="C122" s="19"/>
      <c r="D122" s="19"/>
      <c r="E122" s="19"/>
      <c r="F122" s="19"/>
      <c r="G122" s="19"/>
      <c r="H122" s="19"/>
    </row>
    <row r="123" spans="1:8">
      <c r="A123" s="19"/>
      <c r="B123" s="19"/>
      <c r="C123" s="19"/>
      <c r="D123" s="19"/>
      <c r="E123" s="19"/>
      <c r="F123" s="19"/>
      <c r="G123" s="19"/>
      <c r="H123" s="19"/>
    </row>
    <row r="124" spans="1:8">
      <c r="A124" s="19"/>
      <c r="B124" s="19"/>
      <c r="C124" s="19"/>
      <c r="D124" s="19"/>
      <c r="E124" s="19"/>
      <c r="F124" s="19"/>
      <c r="G124" s="19"/>
      <c r="H124" s="19"/>
    </row>
    <row r="125" spans="1:8">
      <c r="A125" s="19"/>
      <c r="B125" s="19"/>
      <c r="C125" s="19"/>
      <c r="D125" s="19"/>
      <c r="E125" s="19"/>
      <c r="F125" s="19"/>
      <c r="G125" s="19"/>
      <c r="H125" s="19"/>
    </row>
    <row r="126" spans="1:8">
      <c r="A126" s="19"/>
      <c r="B126" s="19"/>
      <c r="C126" s="19"/>
      <c r="D126" s="19"/>
      <c r="E126" s="19"/>
      <c r="F126" s="19"/>
      <c r="G126" s="19"/>
      <c r="H126" s="19"/>
    </row>
    <row r="127" spans="1:8">
      <c r="A127" s="19"/>
      <c r="B127" s="19"/>
      <c r="C127" s="19"/>
      <c r="D127" s="19"/>
      <c r="E127" s="19"/>
      <c r="F127" s="19"/>
      <c r="G127" s="19"/>
      <c r="H127" s="19"/>
    </row>
    <row r="128" spans="1:8">
      <c r="A128" s="19"/>
      <c r="B128" s="19"/>
      <c r="C128" s="19"/>
      <c r="D128" s="19"/>
      <c r="E128" s="19"/>
      <c r="F128" s="19"/>
      <c r="G128" s="19"/>
      <c r="H128" s="19"/>
    </row>
    <row r="129" spans="1:8">
      <c r="A129" s="19"/>
      <c r="B129" s="19"/>
      <c r="C129" s="19"/>
      <c r="D129" s="19"/>
      <c r="E129" s="19"/>
      <c r="F129" s="19"/>
      <c r="G129" s="19"/>
      <c r="H129" s="19"/>
    </row>
    <row r="130" spans="1:8">
      <c r="A130" s="19"/>
      <c r="B130" s="19"/>
      <c r="C130" s="19"/>
      <c r="D130" s="19"/>
      <c r="E130" s="19"/>
      <c r="F130" s="19"/>
      <c r="G130" s="19"/>
      <c r="H130" s="19"/>
    </row>
    <row r="131" spans="1:8">
      <c r="A131" s="19"/>
      <c r="B131" s="19"/>
      <c r="C131" s="19"/>
      <c r="D131" s="19"/>
      <c r="E131" s="19"/>
      <c r="F131" s="19"/>
      <c r="G131" s="19"/>
      <c r="H131" s="19"/>
    </row>
    <row r="132" spans="1:8">
      <c r="A132" s="19"/>
      <c r="B132" s="19"/>
      <c r="C132" s="19"/>
      <c r="D132" s="19"/>
      <c r="E132" s="19"/>
      <c r="F132" s="19"/>
      <c r="G132" s="19"/>
      <c r="H132" s="19"/>
    </row>
    <row r="133" spans="1:8">
      <c r="A133" s="19"/>
      <c r="B133" s="19"/>
      <c r="C133" s="19"/>
      <c r="D133" s="19"/>
      <c r="E133" s="19"/>
      <c r="F133" s="19"/>
      <c r="G133" s="19"/>
      <c r="H133" s="19"/>
    </row>
    <row r="134" spans="1:8">
      <c r="A134" s="19"/>
      <c r="B134" s="19"/>
      <c r="C134" s="19"/>
      <c r="D134" s="19"/>
      <c r="E134" s="19"/>
      <c r="F134" s="19"/>
      <c r="G134" s="19"/>
      <c r="H134" s="19"/>
    </row>
    <row r="135" spans="1:8">
      <c r="A135" s="19"/>
      <c r="B135" s="19"/>
      <c r="C135" s="19"/>
      <c r="D135" s="19"/>
      <c r="E135" s="19"/>
      <c r="F135" s="19"/>
      <c r="G135" s="19"/>
      <c r="H135" s="19"/>
    </row>
    <row r="136" spans="1:8">
      <c r="A136" s="19"/>
      <c r="B136" s="19"/>
      <c r="C136" s="19"/>
      <c r="D136" s="19"/>
      <c r="E136" s="19"/>
      <c r="F136" s="19"/>
      <c r="G136" s="19"/>
      <c r="H136" s="19"/>
    </row>
    <row r="137" spans="1:8">
      <c r="A137" s="19"/>
      <c r="B137" s="19"/>
      <c r="C137" s="19"/>
      <c r="D137" s="19"/>
      <c r="E137" s="19"/>
      <c r="F137" s="19"/>
      <c r="G137" s="19"/>
      <c r="H137" s="19"/>
    </row>
    <row r="138" spans="1:8">
      <c r="A138" s="19"/>
      <c r="B138" s="19"/>
      <c r="C138" s="19"/>
      <c r="D138" s="19"/>
      <c r="E138" s="19"/>
      <c r="F138" s="19"/>
      <c r="G138" s="19"/>
      <c r="H138" s="19"/>
    </row>
    <row r="139" spans="1:8">
      <c r="A139" s="19"/>
      <c r="B139" s="19"/>
      <c r="C139" s="19"/>
      <c r="D139" s="19"/>
      <c r="E139" s="19"/>
      <c r="F139" s="19"/>
      <c r="G139" s="19"/>
      <c r="H139" s="19"/>
    </row>
    <row r="140" spans="1:8">
      <c r="A140" s="19"/>
      <c r="B140" s="19"/>
      <c r="C140" s="19"/>
      <c r="D140" s="19"/>
      <c r="E140" s="19"/>
      <c r="F140" s="19"/>
      <c r="G140" s="19"/>
      <c r="H140" s="19"/>
    </row>
    <row r="141" spans="1:8">
      <c r="A141" s="19"/>
      <c r="B141" s="19"/>
      <c r="C141" s="19"/>
      <c r="D141" s="19"/>
      <c r="E141" s="19"/>
      <c r="F141" s="19"/>
      <c r="G141" s="19"/>
      <c r="H141" s="19"/>
    </row>
    <row r="142" spans="1:8">
      <c r="A142" s="19"/>
      <c r="B142" s="19"/>
      <c r="C142" s="19"/>
      <c r="D142" s="19"/>
      <c r="E142" s="19"/>
      <c r="F142" s="19"/>
      <c r="G142" s="19"/>
      <c r="H142" s="19"/>
    </row>
    <row r="143" spans="1:8">
      <c r="A143" s="19"/>
      <c r="B143" s="19"/>
      <c r="C143" s="19"/>
      <c r="D143" s="19"/>
      <c r="E143" s="19"/>
      <c r="F143" s="19"/>
      <c r="G143" s="19"/>
      <c r="H143" s="19"/>
    </row>
    <row r="144" spans="1:8">
      <c r="A144" s="19"/>
      <c r="B144" s="19"/>
      <c r="C144" s="19"/>
      <c r="D144" s="19"/>
      <c r="E144" s="19"/>
      <c r="F144" s="19"/>
      <c r="G144" s="19"/>
      <c r="H144" s="19"/>
    </row>
    <row r="145" spans="1:8">
      <c r="A145" s="19"/>
      <c r="B145" s="19"/>
      <c r="C145" s="19"/>
      <c r="D145" s="19"/>
      <c r="E145" s="19"/>
      <c r="F145" s="19"/>
      <c r="G145" s="19"/>
      <c r="H145" s="19"/>
    </row>
    <row r="146" spans="1:8">
      <c r="A146" s="19"/>
      <c r="B146" s="19"/>
      <c r="C146" s="19"/>
      <c r="D146" s="19"/>
      <c r="E146" s="19"/>
      <c r="F146" s="19"/>
      <c r="G146" s="19"/>
      <c r="H146" s="19"/>
    </row>
    <row r="147" spans="1:8">
      <c r="A147" s="19"/>
      <c r="B147" s="19"/>
      <c r="C147" s="19"/>
      <c r="D147" s="19"/>
      <c r="E147" s="19"/>
      <c r="F147" s="19"/>
      <c r="G147" s="19"/>
      <c r="H147" s="19"/>
    </row>
    <row r="148" spans="1:8">
      <c r="A148" s="19"/>
      <c r="B148" s="19"/>
      <c r="C148" s="19"/>
      <c r="D148" s="19"/>
      <c r="E148" s="19"/>
      <c r="F148" s="19"/>
      <c r="G148" s="19"/>
      <c r="H148" s="19"/>
    </row>
    <row r="149" spans="1:8">
      <c r="A149" s="19"/>
      <c r="B149" s="19"/>
      <c r="C149" s="19"/>
      <c r="D149" s="19"/>
      <c r="E149" s="19"/>
      <c r="F149" s="19"/>
      <c r="G149" s="19"/>
      <c r="H149" s="19"/>
    </row>
    <row r="150" spans="1:8">
      <c r="A150" s="19"/>
      <c r="B150" s="19"/>
      <c r="C150" s="19"/>
      <c r="D150" s="19"/>
      <c r="E150" s="19"/>
      <c r="F150" s="19"/>
      <c r="G150" s="19"/>
      <c r="H150" s="19"/>
    </row>
    <row r="151" spans="1:8">
      <c r="A151" s="19"/>
      <c r="B151" s="19"/>
      <c r="C151" s="19"/>
      <c r="D151" s="19"/>
      <c r="E151" s="19"/>
      <c r="F151" s="19"/>
      <c r="G151" s="19"/>
      <c r="H151" s="19"/>
    </row>
    <row r="152" spans="1:8">
      <c r="A152" s="19"/>
      <c r="B152" s="19"/>
      <c r="C152" s="19"/>
      <c r="D152" s="19"/>
      <c r="E152" s="19"/>
      <c r="F152" s="19"/>
      <c r="G152" s="19"/>
      <c r="H152" s="19"/>
    </row>
    <row r="153" spans="1:8">
      <c r="A153" s="19"/>
      <c r="B153" s="19"/>
      <c r="C153" s="19"/>
      <c r="D153" s="19"/>
      <c r="E153" s="19"/>
      <c r="F153" s="19"/>
      <c r="G153" s="19"/>
      <c r="H153" s="19"/>
    </row>
    <row r="154" spans="1:8">
      <c r="A154" s="19"/>
      <c r="B154" s="19"/>
      <c r="C154" s="19"/>
      <c r="D154" s="19"/>
      <c r="E154" s="19"/>
      <c r="F154" s="19"/>
      <c r="G154" s="19"/>
      <c r="H154" s="19"/>
    </row>
    <row r="155" spans="1:8">
      <c r="A155" s="19"/>
      <c r="B155" s="19"/>
      <c r="C155" s="19"/>
      <c r="D155" s="19"/>
      <c r="E155" s="19"/>
      <c r="F155" s="19"/>
      <c r="G155" s="19"/>
      <c r="H155" s="19"/>
    </row>
    <row r="156" spans="1:8">
      <c r="A156" s="19"/>
      <c r="B156" s="19"/>
      <c r="C156" s="19"/>
      <c r="D156" s="19"/>
      <c r="E156" s="19"/>
      <c r="F156" s="19"/>
      <c r="G156" s="19"/>
      <c r="H156" s="19"/>
    </row>
    <row r="157" spans="1:8">
      <c r="A157" s="19"/>
      <c r="B157" s="19"/>
      <c r="C157" s="19"/>
      <c r="D157" s="19"/>
      <c r="E157" s="19"/>
      <c r="F157" s="19"/>
      <c r="G157" s="19"/>
      <c r="H157" s="19"/>
    </row>
    <row r="158" spans="1:8">
      <c r="A158" s="19"/>
      <c r="B158" s="19"/>
      <c r="C158" s="19"/>
      <c r="D158" s="19"/>
      <c r="E158" s="19"/>
      <c r="F158" s="19"/>
      <c r="G158" s="19"/>
      <c r="H158" s="19"/>
    </row>
    <row r="159" spans="1:8">
      <c r="A159" s="19"/>
      <c r="B159" s="19"/>
      <c r="C159" s="19"/>
      <c r="D159" s="19"/>
      <c r="E159" s="19"/>
      <c r="F159" s="19"/>
      <c r="G159" s="19"/>
      <c r="H159" s="19"/>
    </row>
    <row r="160" spans="1:8">
      <c r="A160" s="19"/>
      <c r="B160" s="19"/>
      <c r="C160" s="19"/>
      <c r="D160" s="19"/>
      <c r="E160" s="19"/>
      <c r="F160" s="19"/>
      <c r="G160" s="19"/>
      <c r="H160" s="19"/>
    </row>
    <row r="161" spans="1:8">
      <c r="A161" s="19"/>
      <c r="B161" s="19"/>
      <c r="C161" s="19"/>
      <c r="D161" s="19"/>
      <c r="E161" s="19"/>
      <c r="F161" s="19"/>
      <c r="G161" s="19"/>
      <c r="H161" s="19"/>
    </row>
    <row r="162" spans="1:8">
      <c r="A162" s="19"/>
      <c r="B162" s="19"/>
      <c r="C162" s="19"/>
      <c r="D162" s="19"/>
      <c r="E162" s="19"/>
      <c r="F162" s="19"/>
      <c r="G162" s="19"/>
      <c r="H162" s="19"/>
    </row>
    <row r="163" spans="1:8">
      <c r="A163" s="19"/>
      <c r="B163" s="19"/>
      <c r="C163" s="19"/>
      <c r="D163" s="19"/>
      <c r="E163" s="19"/>
      <c r="F163" s="19"/>
      <c r="G163" s="19"/>
      <c r="H163" s="19"/>
    </row>
    <row r="164" spans="1:8">
      <c r="A164" s="19"/>
      <c r="B164" s="19"/>
      <c r="C164" s="19"/>
      <c r="D164" s="19"/>
      <c r="E164" s="19"/>
      <c r="F164" s="19"/>
      <c r="G164" s="19"/>
      <c r="H164" s="19"/>
    </row>
    <row r="165" spans="1:8">
      <c r="A165" s="19"/>
      <c r="B165" s="19"/>
      <c r="C165" s="19"/>
      <c r="D165" s="19"/>
      <c r="E165" s="19"/>
      <c r="F165" s="19"/>
      <c r="G165" s="19"/>
      <c r="H165" s="19"/>
    </row>
    <row r="166" spans="1:8">
      <c r="A166" s="19"/>
      <c r="B166" s="19"/>
      <c r="C166" s="19"/>
      <c r="D166" s="19"/>
      <c r="E166" s="19"/>
      <c r="F166" s="19"/>
      <c r="G166" s="19"/>
      <c r="H166" s="19"/>
    </row>
    <row r="167" spans="1:8">
      <c r="A167" s="19"/>
      <c r="B167" s="19"/>
      <c r="C167" s="19"/>
      <c r="D167" s="19"/>
      <c r="E167" s="19"/>
      <c r="F167" s="19"/>
      <c r="G167" s="19"/>
      <c r="H167" s="19"/>
    </row>
    <row r="168" spans="1:8">
      <c r="A168" s="19"/>
      <c r="B168" s="19"/>
      <c r="C168" s="19"/>
      <c r="D168" s="19"/>
      <c r="E168" s="19"/>
      <c r="F168" s="19"/>
      <c r="G168" s="19"/>
      <c r="H168" s="19"/>
    </row>
    <row r="169" spans="1:8">
      <c r="A169" s="19"/>
      <c r="B169" s="19"/>
      <c r="C169" s="19"/>
      <c r="D169" s="19"/>
      <c r="E169" s="19"/>
      <c r="F169" s="19"/>
      <c r="G169" s="19"/>
      <c r="H169" s="19"/>
    </row>
    <row r="170" spans="1:8">
      <c r="A170" s="19"/>
      <c r="B170" s="19"/>
      <c r="C170" s="19"/>
      <c r="D170" s="19"/>
      <c r="E170" s="19"/>
      <c r="F170" s="19"/>
      <c r="G170" s="19"/>
      <c r="H170" s="19"/>
    </row>
    <row r="171" spans="1:8">
      <c r="A171" s="19"/>
      <c r="B171" s="19"/>
      <c r="C171" s="19"/>
      <c r="D171" s="19"/>
      <c r="E171" s="19"/>
      <c r="F171" s="19"/>
      <c r="G171" s="19"/>
      <c r="H171" s="19"/>
    </row>
    <row r="172" spans="1:8">
      <c r="A172" s="19"/>
      <c r="B172" s="19"/>
      <c r="C172" s="19"/>
      <c r="D172" s="19"/>
      <c r="E172" s="19"/>
      <c r="F172" s="19"/>
      <c r="G172" s="19"/>
      <c r="H172" s="19"/>
    </row>
    <row r="173" spans="1:8">
      <c r="A173" s="19"/>
      <c r="B173" s="19"/>
      <c r="C173" s="19"/>
      <c r="D173" s="19"/>
      <c r="E173" s="19"/>
      <c r="F173" s="19"/>
      <c r="G173" s="19"/>
      <c r="H173" s="19"/>
    </row>
    <row r="174" spans="1:8">
      <c r="A174" s="19"/>
      <c r="B174" s="19"/>
      <c r="C174" s="19"/>
      <c r="D174" s="19"/>
      <c r="E174" s="19"/>
      <c r="F174" s="19"/>
      <c r="G174" s="19"/>
      <c r="H174" s="19"/>
    </row>
    <row r="175" spans="1:8">
      <c r="A175" s="19"/>
      <c r="B175" s="19"/>
      <c r="C175" s="19"/>
      <c r="D175" s="19"/>
      <c r="E175" s="19"/>
      <c r="F175" s="19"/>
      <c r="G175" s="19"/>
      <c r="H175" s="19"/>
    </row>
    <row r="176" spans="1:8">
      <c r="A176" s="19"/>
      <c r="B176" s="19"/>
      <c r="C176" s="19"/>
      <c r="D176" s="19"/>
      <c r="E176" s="19"/>
      <c r="F176" s="19"/>
      <c r="G176" s="19"/>
      <c r="H176" s="19"/>
    </row>
    <row r="177" spans="1:8">
      <c r="A177" s="19"/>
      <c r="B177" s="19"/>
      <c r="C177" s="19"/>
      <c r="D177" s="19"/>
      <c r="E177" s="19"/>
      <c r="F177" s="19"/>
      <c r="G177" s="19"/>
      <c r="H177" s="19"/>
    </row>
    <row r="178" spans="1:8">
      <c r="A178" s="19"/>
      <c r="B178" s="19"/>
      <c r="C178" s="19"/>
      <c r="D178" s="19"/>
      <c r="E178" s="19"/>
      <c r="F178" s="19"/>
      <c r="G178" s="19"/>
      <c r="H178" s="19"/>
    </row>
    <row r="179" spans="1:8">
      <c r="A179" s="19"/>
      <c r="B179" s="19"/>
      <c r="C179" s="19"/>
      <c r="D179" s="19"/>
      <c r="E179" s="19"/>
      <c r="F179" s="19"/>
      <c r="G179" s="19"/>
      <c r="H179" s="19"/>
    </row>
    <row r="180" spans="1:8">
      <c r="A180" s="19"/>
      <c r="B180" s="19"/>
      <c r="C180" s="19"/>
      <c r="D180" s="19"/>
      <c r="E180" s="19"/>
      <c r="F180" s="19"/>
      <c r="G180" s="19"/>
      <c r="H180" s="19"/>
    </row>
    <row r="181" spans="1:8">
      <c r="A181" s="19"/>
      <c r="B181" s="19"/>
      <c r="C181" s="19"/>
      <c r="D181" s="19"/>
      <c r="E181" s="19"/>
      <c r="F181" s="19"/>
      <c r="G181" s="19"/>
      <c r="H181" s="19"/>
    </row>
    <row r="182" spans="1:8">
      <c r="A182" s="19"/>
      <c r="B182" s="19"/>
      <c r="C182" s="19"/>
      <c r="D182" s="19"/>
      <c r="E182" s="19"/>
      <c r="F182" s="19"/>
      <c r="G182" s="19"/>
      <c r="H182" s="19"/>
    </row>
    <row r="183" spans="1:8">
      <c r="A183" s="19"/>
      <c r="B183" s="19"/>
      <c r="C183" s="19"/>
      <c r="D183" s="19"/>
      <c r="E183" s="19"/>
      <c r="F183" s="19"/>
      <c r="G183" s="19"/>
      <c r="H183" s="19"/>
    </row>
    <row r="184" spans="1:8">
      <c r="A184" s="19"/>
      <c r="B184" s="19"/>
      <c r="C184" s="19"/>
      <c r="D184" s="19"/>
      <c r="E184" s="19"/>
      <c r="F184" s="19"/>
      <c r="G184" s="19"/>
      <c r="H184" s="19"/>
    </row>
    <row r="185" spans="1:8">
      <c r="A185" s="19"/>
      <c r="B185" s="19"/>
      <c r="C185" s="19"/>
      <c r="D185" s="19"/>
      <c r="E185" s="19"/>
      <c r="F185" s="19"/>
      <c r="G185" s="19"/>
      <c r="H185" s="19"/>
    </row>
    <row r="186" spans="1:8">
      <c r="A186" s="19"/>
      <c r="B186" s="19"/>
      <c r="C186" s="19"/>
      <c r="D186" s="19"/>
      <c r="E186" s="19"/>
      <c r="F186" s="19"/>
      <c r="G186" s="19"/>
      <c r="H186" s="19"/>
    </row>
  </sheetData>
  <sheetProtection formatCells="0" formatColumns="0" formatRows="0"/>
  <mergeCells count="53">
    <mergeCell ref="E28:H28"/>
    <mergeCell ref="E36:H36"/>
    <mergeCell ref="E49:H49"/>
    <mergeCell ref="E27:H27"/>
    <mergeCell ref="E32:H32"/>
    <mergeCell ref="E34:H34"/>
    <mergeCell ref="E31:H31"/>
    <mergeCell ref="E30:H30"/>
    <mergeCell ref="E29:H29"/>
    <mergeCell ref="E35:H35"/>
    <mergeCell ref="E33:H33"/>
    <mergeCell ref="E48:H48"/>
    <mergeCell ref="E47:H47"/>
    <mergeCell ref="E38:H38"/>
    <mergeCell ref="E13:H13"/>
    <mergeCell ref="E14:H14"/>
    <mergeCell ref="E15:H15"/>
    <mergeCell ref="E16:H16"/>
    <mergeCell ref="E17:H17"/>
    <mergeCell ref="E18:H18"/>
    <mergeCell ref="E19:H19"/>
    <mergeCell ref="E20:H20"/>
    <mergeCell ref="E26:H26"/>
    <mergeCell ref="E25:H25"/>
    <mergeCell ref="E21:H21"/>
    <mergeCell ref="E22:H22"/>
    <mergeCell ref="E23:H23"/>
    <mergeCell ref="E24:H24"/>
    <mergeCell ref="E8:H8"/>
    <mergeCell ref="E9:H9"/>
    <mergeCell ref="E10:H10"/>
    <mergeCell ref="E11:H11"/>
    <mergeCell ref="E12:H12"/>
    <mergeCell ref="A2:H2"/>
    <mergeCell ref="A3:H3"/>
    <mergeCell ref="E5:H5"/>
    <mergeCell ref="E6:H6"/>
    <mergeCell ref="E7:H7"/>
    <mergeCell ref="E52:H52"/>
    <mergeCell ref="E51:H51"/>
    <mergeCell ref="E50:H50"/>
    <mergeCell ref="E55:H55"/>
    <mergeCell ref="E37:H37"/>
    <mergeCell ref="E45:H45"/>
    <mergeCell ref="E41:H41"/>
    <mergeCell ref="E39:H39"/>
    <mergeCell ref="E46:H46"/>
    <mergeCell ref="E43:H43"/>
    <mergeCell ref="E42:H42"/>
    <mergeCell ref="E40:H40"/>
    <mergeCell ref="E44:H44"/>
    <mergeCell ref="E54:H54"/>
    <mergeCell ref="E53:H53"/>
  </mergeCells>
  <phoneticPr fontId="28" type="noConversion"/>
  <printOptions horizontalCentered="1"/>
  <pageMargins left="0.74791666666666701" right="0.74791666666666701" top="0.98402777777777795" bottom="0.98402777777777795" header="0.51180555555555596" footer="0.51180555555555596"/>
  <pageSetup paperSize="9" orientation="landscape"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5D13A-1CA6-485F-86E5-E255528BAA19}">
  <dimension ref="A2:J56"/>
  <sheetViews>
    <sheetView zoomScale="70" zoomScaleNormal="70" workbookViewId="0">
      <selection activeCell="I16" sqref="I16"/>
    </sheetView>
  </sheetViews>
  <sheetFormatPr defaultColWidth="9" defaultRowHeight="20.25"/>
  <cols>
    <col min="1" max="1" width="41.375" style="374" customWidth="1"/>
    <col min="2" max="2" width="16.5" style="374" customWidth="1"/>
    <col min="3" max="3" width="28.625" style="364" customWidth="1"/>
    <col min="4" max="4" width="12.25" style="364" customWidth="1"/>
    <col min="5" max="5" width="14" style="364" customWidth="1"/>
    <col min="6" max="16384" width="9" style="364"/>
  </cols>
  <sheetData>
    <row r="2" spans="1:10" ht="22.15" customHeight="1">
      <c r="A2" s="802" t="s">
        <v>48</v>
      </c>
      <c r="B2" s="802"/>
      <c r="C2" s="802"/>
      <c r="D2" s="802"/>
      <c r="E2" s="362"/>
      <c r="F2" s="363"/>
      <c r="G2" s="363"/>
      <c r="H2" s="363"/>
      <c r="I2" s="363"/>
      <c r="J2" s="363"/>
    </row>
    <row r="3" spans="1:10" ht="21" customHeight="1">
      <c r="A3" s="365"/>
      <c r="B3" s="365"/>
      <c r="C3" s="366"/>
      <c r="D3" s="366"/>
      <c r="E3" s="362"/>
      <c r="F3" s="363"/>
      <c r="G3" s="363"/>
      <c r="H3" s="363"/>
      <c r="I3" s="363"/>
      <c r="J3" s="363"/>
    </row>
    <row r="4" spans="1:10" ht="16.5" customHeight="1">
      <c r="A4" s="365"/>
      <c r="B4" s="365"/>
      <c r="C4" s="366"/>
      <c r="D4" s="366"/>
      <c r="E4" s="366"/>
      <c r="F4" s="363"/>
      <c r="G4" s="363"/>
      <c r="H4" s="363"/>
      <c r="I4" s="363"/>
      <c r="J4" s="363"/>
    </row>
    <row r="5" spans="1:10" ht="36" customHeight="1">
      <c r="A5" s="803" t="s">
        <v>49</v>
      </c>
      <c r="B5" s="803"/>
      <c r="C5" s="803"/>
      <c r="D5" s="803"/>
      <c r="E5" s="367"/>
      <c r="F5" s="363"/>
      <c r="G5" s="363"/>
      <c r="H5" s="363"/>
      <c r="I5" s="363"/>
      <c r="J5" s="363"/>
    </row>
    <row r="6" spans="1:10">
      <c r="A6" s="368" t="s">
        <v>52</v>
      </c>
      <c r="B6" s="368" t="s">
        <v>53</v>
      </c>
      <c r="C6" s="368" t="s">
        <v>453</v>
      </c>
      <c r="D6" s="368"/>
    </row>
    <row r="7" spans="1:10" ht="15.75" customHeight="1">
      <c r="A7" s="373" t="s">
        <v>56</v>
      </c>
      <c r="B7" s="422" t="s">
        <v>57</v>
      </c>
      <c r="C7" s="423"/>
      <c r="D7" s="424"/>
    </row>
    <row r="8" spans="1:10" ht="15.75" customHeight="1">
      <c r="A8" s="373" t="s">
        <v>454</v>
      </c>
      <c r="B8" s="425" t="s">
        <v>455</v>
      </c>
      <c r="C8" s="422"/>
      <c r="D8" s="424"/>
    </row>
    <row r="9" spans="1:10" ht="15.75" customHeight="1">
      <c r="A9" s="373" t="s">
        <v>456</v>
      </c>
      <c r="B9" s="423" t="s">
        <v>119</v>
      </c>
      <c r="C9" s="426" t="s">
        <v>457</v>
      </c>
      <c r="D9" s="423"/>
    </row>
    <row r="10" spans="1:10" ht="18" customHeight="1">
      <c r="A10" s="804"/>
      <c r="B10" s="804"/>
      <c r="C10" s="804"/>
      <c r="D10" s="370"/>
      <c r="E10" s="370"/>
    </row>
    <row r="11" spans="1:10" ht="28.15" customHeight="1">
      <c r="A11" s="800" t="s">
        <v>58</v>
      </c>
      <c r="B11" s="800"/>
      <c r="C11" s="800"/>
      <c r="D11" s="800"/>
      <c r="E11" s="800"/>
    </row>
    <row r="12" spans="1:10" ht="25.5">
      <c r="A12" s="368" t="s">
        <v>52</v>
      </c>
      <c r="B12" s="368" t="s">
        <v>53</v>
      </c>
      <c r="C12" s="368" t="s">
        <v>54</v>
      </c>
      <c r="D12" s="371" t="s">
        <v>7</v>
      </c>
      <c r="E12" s="371" t="s">
        <v>59</v>
      </c>
    </row>
    <row r="13" spans="1:10">
      <c r="A13" s="373" t="s">
        <v>60</v>
      </c>
      <c r="B13" s="423" t="s">
        <v>61</v>
      </c>
      <c r="C13" s="427" t="s">
        <v>62</v>
      </c>
      <c r="D13" s="372" t="s">
        <v>63</v>
      </c>
      <c r="E13" s="427"/>
    </row>
    <row r="14" spans="1:10">
      <c r="A14" s="373" t="s">
        <v>64</v>
      </c>
      <c r="B14" s="428" t="s">
        <v>65</v>
      </c>
      <c r="C14" s="427"/>
      <c r="D14" s="372" t="s">
        <v>25</v>
      </c>
      <c r="E14" s="427"/>
    </row>
    <row r="15" spans="1:10">
      <c r="A15" s="373" t="s">
        <v>66</v>
      </c>
      <c r="B15" s="429" t="s">
        <v>67</v>
      </c>
      <c r="C15" s="427"/>
      <c r="D15" s="372" t="s">
        <v>68</v>
      </c>
      <c r="E15" s="427"/>
    </row>
    <row r="16" spans="1:10">
      <c r="A16" s="373" t="s">
        <v>69</v>
      </c>
      <c r="B16" s="430" t="s">
        <v>70</v>
      </c>
      <c r="C16" s="424"/>
      <c r="D16" s="372" t="s">
        <v>25</v>
      </c>
      <c r="E16" s="427"/>
    </row>
    <row r="17" spans="1:5">
      <c r="A17" s="373" t="s">
        <v>71</v>
      </c>
      <c r="B17" s="430" t="s">
        <v>72</v>
      </c>
      <c r="C17" s="424"/>
      <c r="D17" s="372" t="s">
        <v>25</v>
      </c>
      <c r="E17" s="427"/>
    </row>
    <row r="18" spans="1:5">
      <c r="A18" s="373" t="s">
        <v>73</v>
      </c>
      <c r="B18" s="430" t="s">
        <v>74</v>
      </c>
      <c r="C18" s="424"/>
      <c r="D18" s="372" t="s">
        <v>25</v>
      </c>
      <c r="E18" s="427"/>
    </row>
    <row r="19" spans="1:5">
      <c r="A19" s="373" t="s">
        <v>75</v>
      </c>
      <c r="B19" s="430" t="s">
        <v>76</v>
      </c>
      <c r="C19" s="425" t="s">
        <v>77</v>
      </c>
      <c r="D19" s="372" t="s">
        <v>25</v>
      </c>
      <c r="E19" s="372" t="s">
        <v>78</v>
      </c>
    </row>
    <row r="20" spans="1:5">
      <c r="A20" s="373" t="s">
        <v>79</v>
      </c>
      <c r="B20" s="429" t="s">
        <v>80</v>
      </c>
      <c r="C20" s="372" t="s">
        <v>77</v>
      </c>
      <c r="D20" s="372" t="s">
        <v>25</v>
      </c>
      <c r="E20" s="372" t="s">
        <v>81</v>
      </c>
    </row>
    <row r="21" spans="1:5">
      <c r="A21" s="373" t="s">
        <v>82</v>
      </c>
      <c r="B21" s="430" t="s">
        <v>80</v>
      </c>
      <c r="C21" s="425" t="s">
        <v>77</v>
      </c>
      <c r="D21" s="372" t="s">
        <v>25</v>
      </c>
      <c r="E21" s="372" t="s">
        <v>81</v>
      </c>
    </row>
    <row r="22" spans="1:5">
      <c r="A22" s="373" t="s">
        <v>83</v>
      </c>
      <c r="B22" s="430" t="s">
        <v>76</v>
      </c>
      <c r="C22" s="425" t="s">
        <v>77</v>
      </c>
      <c r="D22" s="372" t="s">
        <v>25</v>
      </c>
      <c r="E22" s="372" t="s">
        <v>78</v>
      </c>
    </row>
    <row r="23" spans="1:5" ht="19.149999999999999" customHeight="1">
      <c r="A23" s="373" t="s">
        <v>95</v>
      </c>
      <c r="B23" s="162" t="s">
        <v>96</v>
      </c>
      <c r="C23" s="372" t="s">
        <v>77</v>
      </c>
      <c r="D23" s="372" t="s">
        <v>25</v>
      </c>
      <c r="E23" s="372" t="s">
        <v>97</v>
      </c>
    </row>
    <row r="24" spans="1:5">
      <c r="A24" s="373" t="s">
        <v>98</v>
      </c>
      <c r="B24" s="431" t="s">
        <v>99</v>
      </c>
      <c r="C24" s="425" t="s">
        <v>77</v>
      </c>
      <c r="D24" s="372" t="s">
        <v>25</v>
      </c>
      <c r="E24" s="372" t="s">
        <v>100</v>
      </c>
    </row>
    <row r="25" spans="1:5">
      <c r="A25" s="373" t="s">
        <v>101</v>
      </c>
      <c r="B25" s="431" t="s">
        <v>99</v>
      </c>
      <c r="C25" s="425" t="s">
        <v>77</v>
      </c>
      <c r="D25" s="372" t="s">
        <v>25</v>
      </c>
      <c r="E25" s="372" t="s">
        <v>100</v>
      </c>
    </row>
    <row r="26" spans="1:5" ht="17.45" customHeight="1">
      <c r="A26" s="373" t="s">
        <v>102</v>
      </c>
      <c r="B26" s="431" t="s">
        <v>103</v>
      </c>
      <c r="C26" s="425" t="s">
        <v>77</v>
      </c>
      <c r="D26" s="372" t="s">
        <v>25</v>
      </c>
      <c r="E26" s="372" t="s">
        <v>458</v>
      </c>
    </row>
    <row r="27" spans="1:5">
      <c r="A27" s="373" t="s">
        <v>105</v>
      </c>
      <c r="B27" s="431" t="s">
        <v>30</v>
      </c>
      <c r="C27" s="424"/>
      <c r="D27" s="372" t="s">
        <v>25</v>
      </c>
      <c r="E27" s="372" t="s">
        <v>94</v>
      </c>
    </row>
    <row r="28" spans="1:5" ht="19.149999999999999" customHeight="1">
      <c r="A28" s="373" t="s">
        <v>106</v>
      </c>
      <c r="B28" s="431" t="s">
        <v>107</v>
      </c>
      <c r="C28" s="425" t="s">
        <v>108</v>
      </c>
      <c r="D28" s="372" t="s">
        <v>68</v>
      </c>
      <c r="E28" s="372"/>
    </row>
    <row r="29" spans="1:5" ht="17.45" customHeight="1">
      <c r="A29" s="373" t="s">
        <v>109</v>
      </c>
      <c r="B29" s="432" t="s">
        <v>110</v>
      </c>
      <c r="C29" s="425" t="s">
        <v>111</v>
      </c>
      <c r="D29" s="372" t="s">
        <v>25</v>
      </c>
      <c r="E29" s="433" t="str">
        <f>IF(GeneralInfo2!B8="Commercial vehicle","250k","500k")</f>
        <v>500k</v>
      </c>
    </row>
    <row r="30" spans="1:5" ht="19.149999999999999" customHeight="1">
      <c r="A30" s="373" t="s">
        <v>112</v>
      </c>
      <c r="B30" s="431" t="s">
        <v>113</v>
      </c>
      <c r="C30" s="425" t="s">
        <v>114</v>
      </c>
      <c r="D30" s="372" t="s">
        <v>25</v>
      </c>
      <c r="E30" s="372" t="s">
        <v>115</v>
      </c>
    </row>
    <row r="31" spans="1:5" ht="20.45" customHeight="1">
      <c r="A31" s="373" t="s">
        <v>116</v>
      </c>
      <c r="B31" s="431" t="s">
        <v>113</v>
      </c>
      <c r="C31" s="425"/>
      <c r="D31" s="372" t="s">
        <v>68</v>
      </c>
      <c r="E31" s="372" t="s">
        <v>117</v>
      </c>
    </row>
    <row r="32" spans="1:5">
      <c r="A32" s="799"/>
      <c r="B32" s="799"/>
      <c r="C32" s="799"/>
    </row>
    <row r="33" spans="1:6" ht="28.9" customHeight="1">
      <c r="A33" s="800" t="s">
        <v>118</v>
      </c>
      <c r="B33" s="800"/>
      <c r="C33" s="800"/>
      <c r="D33" s="800"/>
      <c r="E33" s="800"/>
    </row>
    <row r="34" spans="1:6" ht="25.5">
      <c r="A34" s="368" t="s">
        <v>52</v>
      </c>
      <c r="B34" s="368" t="s">
        <v>53</v>
      </c>
      <c r="C34" s="368" t="s">
        <v>54</v>
      </c>
      <c r="D34" s="371" t="s">
        <v>7</v>
      </c>
      <c r="E34" s="371" t="s">
        <v>59</v>
      </c>
    </row>
    <row r="35" spans="1:6">
      <c r="A35" s="373" t="s">
        <v>60</v>
      </c>
      <c r="B35" s="434" t="s">
        <v>119</v>
      </c>
      <c r="C35" s="427"/>
      <c r="D35" s="372" t="s">
        <v>68</v>
      </c>
      <c r="E35" s="427"/>
    </row>
    <row r="36" spans="1:6" ht="18" customHeight="1">
      <c r="A36" s="373" t="s">
        <v>120</v>
      </c>
      <c r="B36" s="425" t="s">
        <v>121</v>
      </c>
      <c r="C36" s="424"/>
      <c r="D36" s="427"/>
      <c r="E36" s="427"/>
    </row>
    <row r="37" spans="1:6" ht="18" customHeight="1">
      <c r="A37" s="373" t="s">
        <v>122</v>
      </c>
      <c r="B37" s="425" t="s">
        <v>123</v>
      </c>
      <c r="C37" s="424"/>
      <c r="D37" s="427"/>
      <c r="E37" s="427"/>
    </row>
    <row r="38" spans="1:6" ht="18" customHeight="1">
      <c r="A38" s="373" t="s">
        <v>124</v>
      </c>
      <c r="B38" s="425" t="s">
        <v>125</v>
      </c>
      <c r="C38" s="424"/>
      <c r="D38" s="427"/>
      <c r="E38" s="427"/>
    </row>
    <row r="39" spans="1:6">
      <c r="A39" s="373" t="s">
        <v>126</v>
      </c>
      <c r="B39" s="425" t="s">
        <v>127</v>
      </c>
      <c r="C39" s="425" t="s">
        <v>77</v>
      </c>
      <c r="D39" s="427"/>
      <c r="E39" s="427"/>
    </row>
    <row r="40" spans="1:6">
      <c r="A40" s="373" t="s">
        <v>128</v>
      </c>
      <c r="B40" s="372" t="s">
        <v>99</v>
      </c>
      <c r="C40" s="372" t="s">
        <v>77</v>
      </c>
      <c r="D40" s="427"/>
      <c r="E40" s="427"/>
    </row>
    <row r="41" spans="1:6">
      <c r="A41" s="373" t="s">
        <v>95</v>
      </c>
      <c r="B41" s="372" t="s">
        <v>127</v>
      </c>
      <c r="C41" s="372" t="s">
        <v>77</v>
      </c>
      <c r="D41" s="427"/>
      <c r="E41" s="427"/>
    </row>
    <row r="42" spans="1:6">
      <c r="A42" s="373" t="s">
        <v>98</v>
      </c>
      <c r="B42" s="425">
        <v>5000</v>
      </c>
      <c r="C42" s="425" t="s">
        <v>77</v>
      </c>
      <c r="D42" s="427"/>
      <c r="E42" s="427"/>
    </row>
    <row r="43" spans="1:6">
      <c r="A43" s="373" t="s">
        <v>131</v>
      </c>
      <c r="B43" s="425">
        <v>5000</v>
      </c>
      <c r="C43" s="425" t="s">
        <v>77</v>
      </c>
      <c r="D43" s="427"/>
      <c r="E43" s="427"/>
    </row>
    <row r="44" spans="1:6" ht="19.149999999999999" customHeight="1">
      <c r="A44" s="373" t="s">
        <v>106</v>
      </c>
      <c r="B44" s="425" t="s">
        <v>132</v>
      </c>
      <c r="C44" s="425" t="s">
        <v>108</v>
      </c>
      <c r="D44" s="427"/>
      <c r="E44" s="427"/>
    </row>
    <row r="45" spans="1:6">
      <c r="A45" s="801"/>
      <c r="B45" s="801"/>
      <c r="C45" s="801"/>
    </row>
    <row r="46" spans="1:6">
      <c r="A46" s="800" t="s">
        <v>133</v>
      </c>
      <c r="B46" s="800"/>
      <c r="C46" s="800"/>
      <c r="D46" s="800"/>
      <c r="E46" s="800"/>
    </row>
    <row r="47" spans="1:6" ht="25.5">
      <c r="A47" s="368" t="s">
        <v>134</v>
      </c>
      <c r="B47" s="368" t="s">
        <v>53</v>
      </c>
      <c r="C47" s="368" t="s">
        <v>54</v>
      </c>
      <c r="D47" s="371" t="s">
        <v>7</v>
      </c>
      <c r="E47" s="371" t="s">
        <v>59</v>
      </c>
    </row>
    <row r="48" spans="1:6" ht="25.5">
      <c r="A48" s="373" t="s">
        <v>135</v>
      </c>
      <c r="B48" s="375">
        <v>1</v>
      </c>
      <c r="C48" s="376" t="s">
        <v>136</v>
      </c>
      <c r="D48" s="372" t="s">
        <v>12</v>
      </c>
      <c r="E48" s="376" t="s">
        <v>137</v>
      </c>
      <c r="F48" s="377"/>
    </row>
    <row r="49" spans="1:6" ht="27.75">
      <c r="A49" s="373" t="s">
        <v>138</v>
      </c>
      <c r="B49" s="162" t="s">
        <v>139</v>
      </c>
      <c r="C49" s="376" t="s">
        <v>136</v>
      </c>
      <c r="D49" s="372" t="s">
        <v>25</v>
      </c>
      <c r="E49" s="372" t="s">
        <v>139</v>
      </c>
      <c r="F49" s="377"/>
    </row>
    <row r="50" spans="1:6">
      <c r="A50" s="373" t="s">
        <v>140</v>
      </c>
      <c r="B50" s="375">
        <v>3</v>
      </c>
      <c r="C50" s="376" t="s">
        <v>137</v>
      </c>
      <c r="D50" s="372" t="s">
        <v>25</v>
      </c>
      <c r="E50" s="372" t="s">
        <v>141</v>
      </c>
      <c r="F50" s="377"/>
    </row>
    <row r="52" spans="1:6" ht="19.149999999999999" customHeight="1">
      <c r="A52" s="800" t="s">
        <v>142</v>
      </c>
      <c r="B52" s="800"/>
      <c r="C52" s="800"/>
      <c r="D52" s="800"/>
    </row>
    <row r="53" spans="1:6">
      <c r="A53" s="368" t="s">
        <v>143</v>
      </c>
      <c r="B53" s="368" t="s">
        <v>53</v>
      </c>
      <c r="C53" s="368" t="s">
        <v>54</v>
      </c>
      <c r="D53" s="371" t="s">
        <v>7</v>
      </c>
      <c r="E53" s="369"/>
    </row>
    <row r="54" spans="1:6">
      <c r="A54" s="373" t="s">
        <v>144</v>
      </c>
      <c r="B54" s="375" t="s">
        <v>145</v>
      </c>
      <c r="C54" s="376" t="s">
        <v>146</v>
      </c>
      <c r="D54" s="372" t="s">
        <v>12</v>
      </c>
    </row>
    <row r="55" spans="1:6">
      <c r="A55" s="373" t="s">
        <v>147</v>
      </c>
      <c r="B55" s="375" t="s">
        <v>148</v>
      </c>
      <c r="C55" s="376" t="s">
        <v>146</v>
      </c>
      <c r="D55" s="372" t="s">
        <v>12</v>
      </c>
    </row>
    <row r="56" spans="1:6">
      <c r="A56" s="373" t="s">
        <v>149</v>
      </c>
      <c r="B56" s="375" t="s">
        <v>148</v>
      </c>
      <c r="C56" s="376" t="s">
        <v>137</v>
      </c>
      <c r="D56" s="372" t="s">
        <v>12</v>
      </c>
    </row>
  </sheetData>
  <sheetProtection formatCells="0" formatColumns="0" formatRows="0"/>
  <protectedRanges>
    <protectedRange sqref="B7 B13 B48:B50 B54:B56 B23:B31 B35:B44 C8:C9" name="範圍1"/>
    <protectedRange sqref="C7 D9 B9" name="範圍1_1_1"/>
  </protectedRanges>
  <mergeCells count="9">
    <mergeCell ref="A45:C45"/>
    <mergeCell ref="A46:E46"/>
    <mergeCell ref="A52:D52"/>
    <mergeCell ref="A2:D2"/>
    <mergeCell ref="A5:D5"/>
    <mergeCell ref="A10:C10"/>
    <mergeCell ref="A11:E11"/>
    <mergeCell ref="A32:C32"/>
    <mergeCell ref="A33:E33"/>
  </mergeCells>
  <phoneticPr fontId="45" type="noConversion"/>
  <conditionalFormatting sqref="B9">
    <cfRule type="cellIs" dxfId="287" priority="1" operator="equal">
      <formula>"NO"</formula>
    </cfRule>
    <cfRule type="cellIs" dxfId="286" priority="2" operator="equal">
      <formula>"YES"</formula>
    </cfRule>
  </conditionalFormatting>
  <conditionalFormatting sqref="B35">
    <cfRule type="cellIs" dxfId="285" priority="6" operator="equal">
      <formula>"NO"</formula>
    </cfRule>
    <cfRule type="cellIs" dxfId="284" priority="7" operator="equal">
      <formula>"YES"</formula>
    </cfRule>
  </conditionalFormatting>
  <conditionalFormatting sqref="C7 D9 B13">
    <cfRule type="cellIs" dxfId="283" priority="5" operator="equal">
      <formula>"NO"</formula>
    </cfRule>
    <cfRule type="cellIs" dxfId="282" priority="8" operator="equal">
      <formula>"YES"</formula>
    </cfRule>
  </conditionalFormatting>
  <conditionalFormatting sqref="D13:D31">
    <cfRule type="expression" dxfId="281" priority="3">
      <formula>$B$14="NO"</formula>
    </cfRule>
  </conditionalFormatting>
  <conditionalFormatting sqref="D35">
    <cfRule type="expression" dxfId="280" priority="4">
      <formula>$B$14="NO"</formula>
    </cfRule>
  </conditionalFormatting>
  <dataValidations count="4">
    <dataValidation type="list" allowBlank="1" showInputMessage="1" showErrorMessage="1" sqref="B31" xr:uid="{85B17A75-BE23-48DC-ACFA-696832E3C9D0}">
      <formula1>"8,12,16,20,24,32,48,64"</formula1>
    </dataValidation>
    <dataValidation type="list" allowBlank="1" showInputMessage="1" showErrorMessage="1" sqref="B14" xr:uid="{92FBF108-732D-48FD-B18E-E5FE5DF1268F}">
      <formula1>"CAN,CANFD"</formula1>
    </dataValidation>
    <dataValidation type="list" allowBlank="1" showInputMessage="1" showErrorMessage="1" sqref="B13 B35 D9 C7 B9" xr:uid="{FE3A74FF-BA44-4691-AE6F-2F0B85262EE0}">
      <formula1>"YES,NO"</formula1>
    </dataValidation>
    <dataValidation type="list" allowBlank="1" showInputMessage="1" showErrorMessage="1" sqref="B15" xr:uid="{DB5550D2-D268-4F71-9F94-44BC0EEFBA94}">
      <formula1>"Standard,Extended"</formula1>
    </dataValidation>
  </dataValidations>
  <printOptions horizontalCentered="1"/>
  <pageMargins left="0.78680555555555598" right="0.78680555555555598" top="0.74791666666666701" bottom="0.74791666666666701" header="0.31388888888888899" footer="0.31388888888888899"/>
  <pageSetup paperSize="9" firstPageNumber="2" orientation="landscape" useFirstPageNumber="1"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5"/>
  <dimension ref="A1:O97"/>
  <sheetViews>
    <sheetView topLeftCell="A6" zoomScale="85" zoomScaleNormal="85" workbookViewId="0">
      <selection activeCell="N53" sqref="N53"/>
    </sheetView>
  </sheetViews>
  <sheetFormatPr defaultColWidth="9" defaultRowHeight="15"/>
  <cols>
    <col min="1" max="1" width="8.875" style="48" customWidth="1"/>
    <col min="2" max="2" width="19.75" style="48" customWidth="1"/>
    <col min="3" max="3" width="12.875" style="48" customWidth="1"/>
    <col min="4" max="4" width="27.75" style="48" customWidth="1"/>
    <col min="5" max="5" width="12.25" style="150" customWidth="1"/>
    <col min="6" max="6" width="11.125" style="48" customWidth="1"/>
    <col min="7" max="7" width="19.25" style="48" customWidth="1"/>
    <col min="8" max="8" width="18.5" style="48" customWidth="1"/>
    <col min="9" max="9" width="19.125" style="48" customWidth="1"/>
    <col min="10" max="11" width="6.125" style="48" customWidth="1"/>
    <col min="12" max="12" width="10.5" style="48" customWidth="1"/>
    <col min="13" max="13" width="14.75" style="48" customWidth="1"/>
    <col min="14" max="16384" width="9" style="48"/>
  </cols>
  <sheetData>
    <row r="1" spans="1:15" ht="13.15" customHeight="1">
      <c r="A1" s="49"/>
      <c r="B1" s="49"/>
      <c r="C1" s="49"/>
      <c r="D1" s="49"/>
      <c r="E1" s="50"/>
      <c r="F1" s="51"/>
      <c r="G1" s="49"/>
      <c r="H1" s="49"/>
      <c r="I1" s="51"/>
      <c r="J1" s="51"/>
      <c r="K1" s="51"/>
      <c r="L1" s="51"/>
      <c r="M1" s="49"/>
    </row>
    <row r="2" spans="1:15" ht="15" customHeight="1">
      <c r="A2" s="873" t="s">
        <v>459</v>
      </c>
      <c r="B2" s="873"/>
      <c r="C2" s="873"/>
      <c r="D2" s="873"/>
      <c r="E2" s="873"/>
      <c r="F2" s="873"/>
      <c r="G2" s="873"/>
      <c r="H2" s="873"/>
      <c r="I2" s="873"/>
      <c r="J2" s="873"/>
      <c r="K2" s="873"/>
      <c r="L2" s="873"/>
      <c r="M2" s="873"/>
    </row>
    <row r="3" spans="1:15" ht="15.75" customHeight="1">
      <c r="A3" s="874"/>
      <c r="B3" s="874"/>
      <c r="C3" s="874"/>
      <c r="D3" s="874"/>
      <c r="E3" s="874"/>
      <c r="F3" s="874"/>
      <c r="G3" s="874"/>
      <c r="H3" s="874"/>
      <c r="I3" s="874"/>
      <c r="J3" s="874"/>
      <c r="K3" s="874"/>
      <c r="L3" s="874"/>
      <c r="M3" s="874"/>
    </row>
    <row r="4" spans="1:15" ht="13.9" customHeight="1">
      <c r="A4" s="47"/>
      <c r="B4" s="47"/>
      <c r="C4" s="47"/>
      <c r="D4" s="47"/>
      <c r="E4" s="52"/>
      <c r="F4" s="47"/>
      <c r="G4" s="47"/>
      <c r="H4" s="47"/>
      <c r="I4" s="47"/>
      <c r="J4" s="47"/>
      <c r="K4" s="47"/>
      <c r="L4" s="47"/>
      <c r="M4" s="47"/>
    </row>
    <row r="5" spans="1:15" s="18" customFormat="1" ht="15" customHeight="1">
      <c r="A5" s="53"/>
      <c r="B5" s="21"/>
      <c r="C5" s="54"/>
      <c r="D5" s="54"/>
      <c r="E5" s="55"/>
      <c r="F5" s="21"/>
      <c r="G5" s="21"/>
      <c r="H5" s="21"/>
      <c r="I5" s="21"/>
      <c r="J5" s="21"/>
      <c r="K5" s="21"/>
      <c r="L5" s="21"/>
      <c r="M5" s="21"/>
    </row>
    <row r="6" spans="1:15" s="18" customFormat="1" ht="33" customHeight="1">
      <c r="A6" s="875" t="s">
        <v>2</v>
      </c>
      <c r="B6" s="875" t="s">
        <v>460</v>
      </c>
      <c r="C6" s="875" t="s">
        <v>461</v>
      </c>
      <c r="D6" s="875" t="s">
        <v>462</v>
      </c>
      <c r="E6" s="875" t="s">
        <v>463</v>
      </c>
      <c r="F6" s="875" t="s">
        <v>464</v>
      </c>
      <c r="G6" s="882" t="s">
        <v>465</v>
      </c>
      <c r="H6" s="882" t="s">
        <v>466</v>
      </c>
      <c r="I6" s="882" t="s">
        <v>467</v>
      </c>
      <c r="J6" s="875" t="s">
        <v>468</v>
      </c>
      <c r="K6" s="875"/>
      <c r="L6" s="883" t="s">
        <v>469</v>
      </c>
      <c r="M6" s="875" t="s">
        <v>470</v>
      </c>
      <c r="N6" s="871" t="s">
        <v>7</v>
      </c>
    </row>
    <row r="7" spans="1:15" s="18" customFormat="1" ht="34.5" customHeight="1">
      <c r="A7" s="875"/>
      <c r="B7" s="875"/>
      <c r="C7" s="875"/>
      <c r="D7" s="875"/>
      <c r="E7" s="875"/>
      <c r="F7" s="875"/>
      <c r="G7" s="882"/>
      <c r="H7" s="882"/>
      <c r="I7" s="882"/>
      <c r="J7" s="56" t="s">
        <v>471</v>
      </c>
      <c r="K7" s="56" t="s">
        <v>472</v>
      </c>
      <c r="L7" s="883"/>
      <c r="M7" s="875"/>
      <c r="N7" s="872"/>
    </row>
    <row r="8" spans="1:15" s="18" customFormat="1" ht="25.9" customHeight="1">
      <c r="A8" s="877" t="s">
        <v>473</v>
      </c>
      <c r="B8" s="878" t="s">
        <v>474</v>
      </c>
      <c r="C8" s="877" t="s">
        <v>24</v>
      </c>
      <c r="D8" s="23" t="s">
        <v>475</v>
      </c>
      <c r="E8" s="24" t="s">
        <v>24</v>
      </c>
      <c r="F8" s="24" t="s">
        <v>24</v>
      </c>
      <c r="G8" s="24" t="s">
        <v>476</v>
      </c>
      <c r="H8" s="24" t="s">
        <v>145</v>
      </c>
      <c r="I8" s="24" t="s">
        <v>145</v>
      </c>
      <c r="J8" s="24" t="s">
        <v>24</v>
      </c>
      <c r="K8" s="24" t="s">
        <v>24</v>
      </c>
      <c r="L8" s="24"/>
      <c r="M8" s="23" t="s">
        <v>15</v>
      </c>
      <c r="N8" s="88" t="s">
        <v>25</v>
      </c>
    </row>
    <row r="9" spans="1:15" s="18" customFormat="1" ht="11.25">
      <c r="A9" s="879"/>
      <c r="B9" s="881"/>
      <c r="C9" s="877"/>
      <c r="D9" s="23" t="s">
        <v>477</v>
      </c>
      <c r="E9" s="24" t="s">
        <v>24</v>
      </c>
      <c r="F9" s="24" t="s">
        <v>24</v>
      </c>
      <c r="G9" s="24" t="s">
        <v>478</v>
      </c>
      <c r="H9" s="24" t="s">
        <v>145</v>
      </c>
      <c r="I9" s="24" t="s">
        <v>479</v>
      </c>
      <c r="J9" s="24" t="s">
        <v>24</v>
      </c>
      <c r="K9" s="24" t="s">
        <v>24</v>
      </c>
      <c r="L9" s="24"/>
      <c r="M9" s="23"/>
      <c r="N9" s="88" t="s">
        <v>25</v>
      </c>
      <c r="O9" s="255"/>
    </row>
    <row r="10" spans="1:15" s="18" customFormat="1" ht="24.75" customHeight="1">
      <c r="A10" s="879"/>
      <c r="B10" s="881"/>
      <c r="C10" s="877"/>
      <c r="D10" s="23" t="s">
        <v>480</v>
      </c>
      <c r="E10" s="24" t="s">
        <v>24</v>
      </c>
      <c r="F10" s="24" t="s">
        <v>24</v>
      </c>
      <c r="G10" s="24" t="s">
        <v>476</v>
      </c>
      <c r="H10" s="24" t="s">
        <v>145</v>
      </c>
      <c r="I10" s="24" t="s">
        <v>145</v>
      </c>
      <c r="J10" s="24" t="s">
        <v>24</v>
      </c>
      <c r="K10" s="24" t="s">
        <v>24</v>
      </c>
      <c r="L10" s="24"/>
      <c r="M10" s="23" t="s">
        <v>15</v>
      </c>
      <c r="N10" s="88" t="s">
        <v>25</v>
      </c>
    </row>
    <row r="11" spans="1:15" s="18" customFormat="1" ht="16.149999999999999" customHeight="1">
      <c r="A11" s="879"/>
      <c r="B11" s="881"/>
      <c r="C11" s="877"/>
      <c r="D11" s="23"/>
      <c r="E11" s="24" t="s">
        <v>15</v>
      </c>
      <c r="F11" s="24" t="s">
        <v>15</v>
      </c>
      <c r="G11" s="24"/>
      <c r="H11" s="24" t="s">
        <v>15</v>
      </c>
      <c r="I11" s="24"/>
      <c r="J11" s="24" t="s">
        <v>15</v>
      </c>
      <c r="K11" s="24" t="s">
        <v>15</v>
      </c>
      <c r="L11" s="24"/>
      <c r="M11" s="23" t="s">
        <v>15</v>
      </c>
      <c r="N11" s="88" t="s">
        <v>12</v>
      </c>
    </row>
    <row r="12" spans="1:15" s="18" customFormat="1" ht="22.5" customHeight="1">
      <c r="A12" s="880" t="s">
        <v>481</v>
      </c>
      <c r="B12" s="878" t="s">
        <v>482</v>
      </c>
      <c r="C12" s="877" t="s">
        <v>24</v>
      </c>
      <c r="D12" s="23" t="s">
        <v>483</v>
      </c>
      <c r="E12" s="24" t="s">
        <v>24</v>
      </c>
      <c r="F12" s="24" t="s">
        <v>145</v>
      </c>
      <c r="G12" s="24" t="s">
        <v>478</v>
      </c>
      <c r="H12" s="24" t="s">
        <v>145</v>
      </c>
      <c r="I12" s="24" t="s">
        <v>145</v>
      </c>
      <c r="J12" s="24" t="s">
        <v>24</v>
      </c>
      <c r="K12" s="24" t="s">
        <v>11</v>
      </c>
      <c r="L12" s="24"/>
      <c r="M12" s="23" t="s">
        <v>15</v>
      </c>
      <c r="N12" s="88" t="s">
        <v>25</v>
      </c>
    </row>
    <row r="13" spans="1:15" s="18" customFormat="1" ht="24" customHeight="1">
      <c r="A13" s="880"/>
      <c r="B13" s="878"/>
      <c r="C13" s="877"/>
      <c r="D13" s="23" t="s">
        <v>484</v>
      </c>
      <c r="E13" s="24" t="s">
        <v>24</v>
      </c>
      <c r="F13" s="24" t="s">
        <v>145</v>
      </c>
      <c r="G13" s="24" t="s">
        <v>478</v>
      </c>
      <c r="H13" s="24" t="s">
        <v>145</v>
      </c>
      <c r="I13" s="24" t="s">
        <v>145</v>
      </c>
      <c r="J13" s="24" t="s">
        <v>24</v>
      </c>
      <c r="K13" s="24" t="s">
        <v>11</v>
      </c>
      <c r="L13" s="24"/>
      <c r="M13" s="23" t="s">
        <v>15</v>
      </c>
      <c r="N13" s="88" t="s">
        <v>25</v>
      </c>
    </row>
    <row r="14" spans="1:15" s="18" customFormat="1" ht="24" customHeight="1">
      <c r="A14" s="880"/>
      <c r="B14" s="878"/>
      <c r="C14" s="877"/>
      <c r="D14" s="23" t="s">
        <v>485</v>
      </c>
      <c r="E14" s="24" t="s">
        <v>24</v>
      </c>
      <c r="F14" s="24" t="s">
        <v>145</v>
      </c>
      <c r="G14" s="24" t="s">
        <v>478</v>
      </c>
      <c r="H14" s="24" t="s">
        <v>486</v>
      </c>
      <c r="I14" s="24" t="s">
        <v>145</v>
      </c>
      <c r="J14" s="24" t="s">
        <v>24</v>
      </c>
      <c r="K14" s="24" t="s">
        <v>11</v>
      </c>
      <c r="L14" s="24"/>
      <c r="M14" s="23" t="s">
        <v>15</v>
      </c>
      <c r="N14" s="88" t="s">
        <v>25</v>
      </c>
    </row>
    <row r="15" spans="1:15" s="18" customFormat="1" ht="24" customHeight="1">
      <c r="A15" s="880"/>
      <c r="B15" s="878"/>
      <c r="C15" s="877"/>
      <c r="D15" s="23" t="s">
        <v>487</v>
      </c>
      <c r="E15" s="24" t="s">
        <v>24</v>
      </c>
      <c r="F15" s="24" t="s">
        <v>145</v>
      </c>
      <c r="G15" s="24" t="s">
        <v>478</v>
      </c>
      <c r="H15" s="24" t="s">
        <v>486</v>
      </c>
      <c r="I15" s="24" t="s">
        <v>145</v>
      </c>
      <c r="J15" s="24" t="s">
        <v>24</v>
      </c>
      <c r="K15" s="24" t="s">
        <v>11</v>
      </c>
      <c r="L15" s="24"/>
      <c r="M15" s="23" t="s">
        <v>15</v>
      </c>
      <c r="N15" s="88" t="s">
        <v>25</v>
      </c>
    </row>
    <row r="16" spans="1:15" s="18" customFormat="1" ht="25.15" customHeight="1">
      <c r="A16" s="880"/>
      <c r="B16" s="878"/>
      <c r="C16" s="877"/>
      <c r="D16" s="23" t="s">
        <v>488</v>
      </c>
      <c r="E16" s="24" t="s">
        <v>148</v>
      </c>
      <c r="F16" s="24" t="s">
        <v>145</v>
      </c>
      <c r="G16" s="24" t="s">
        <v>489</v>
      </c>
      <c r="H16" s="24" t="s">
        <v>145</v>
      </c>
      <c r="I16" s="24" t="s">
        <v>145</v>
      </c>
      <c r="J16" s="24" t="s">
        <v>24</v>
      </c>
      <c r="K16" s="24" t="s">
        <v>11</v>
      </c>
      <c r="L16" s="24"/>
      <c r="M16" s="23" t="s">
        <v>15</v>
      </c>
      <c r="N16" s="88" t="s">
        <v>12</v>
      </c>
    </row>
    <row r="17" spans="1:14" s="18" customFormat="1" ht="19.149999999999999" customHeight="1">
      <c r="A17" s="880"/>
      <c r="B17" s="878"/>
      <c r="C17" s="877"/>
      <c r="D17" s="23" t="s">
        <v>490</v>
      </c>
      <c r="E17" s="24" t="s">
        <v>24</v>
      </c>
      <c r="F17" s="24" t="s">
        <v>145</v>
      </c>
      <c r="G17" s="24" t="s">
        <v>489</v>
      </c>
      <c r="H17" s="24" t="s">
        <v>145</v>
      </c>
      <c r="I17" s="24" t="s">
        <v>145</v>
      </c>
      <c r="J17" s="24" t="s">
        <v>24</v>
      </c>
      <c r="K17" s="24" t="s">
        <v>11</v>
      </c>
      <c r="L17" s="24"/>
      <c r="M17" s="23" t="s">
        <v>15</v>
      </c>
      <c r="N17" s="88" t="s">
        <v>12</v>
      </c>
    </row>
    <row r="18" spans="1:14" s="18" customFormat="1" ht="21" customHeight="1">
      <c r="A18" s="880"/>
      <c r="B18" s="878"/>
      <c r="C18" s="877"/>
      <c r="D18" s="23" t="s">
        <v>15</v>
      </c>
      <c r="E18" s="24" t="s">
        <v>15</v>
      </c>
      <c r="F18" s="24"/>
      <c r="G18" s="24"/>
      <c r="H18" s="24" t="s">
        <v>15</v>
      </c>
      <c r="I18" s="24"/>
      <c r="J18" s="24" t="s">
        <v>15</v>
      </c>
      <c r="K18" s="24" t="s">
        <v>15</v>
      </c>
      <c r="L18" s="24"/>
      <c r="M18" s="23" t="s">
        <v>15</v>
      </c>
      <c r="N18" s="88" t="s">
        <v>12</v>
      </c>
    </row>
    <row r="19" spans="1:14" s="18" customFormat="1" ht="19.899999999999999" customHeight="1">
      <c r="A19" s="880"/>
      <c r="B19" s="878"/>
      <c r="C19" s="877"/>
      <c r="D19" s="23" t="s">
        <v>15</v>
      </c>
      <c r="E19" s="24" t="s">
        <v>15</v>
      </c>
      <c r="F19" s="24" t="s">
        <v>15</v>
      </c>
      <c r="G19" s="24"/>
      <c r="H19" s="24" t="s">
        <v>15</v>
      </c>
      <c r="I19" s="24"/>
      <c r="J19" s="24" t="s">
        <v>15</v>
      </c>
      <c r="K19" s="24" t="s">
        <v>15</v>
      </c>
      <c r="L19" s="24"/>
      <c r="M19" s="23"/>
      <c r="N19" s="88" t="s">
        <v>12</v>
      </c>
    </row>
    <row r="20" spans="1:14" s="18" customFormat="1" ht="24" customHeight="1">
      <c r="A20" s="24" t="s">
        <v>491</v>
      </c>
      <c r="B20" s="23" t="s">
        <v>492</v>
      </c>
      <c r="C20" s="24" t="s">
        <v>24</v>
      </c>
      <c r="D20" s="23" t="s">
        <v>493</v>
      </c>
      <c r="E20" s="24" t="s">
        <v>24</v>
      </c>
      <c r="F20" s="24" t="s">
        <v>24</v>
      </c>
      <c r="G20" s="24" t="s">
        <v>476</v>
      </c>
      <c r="H20" s="24" t="s">
        <v>145</v>
      </c>
      <c r="I20" s="24" t="s">
        <v>145</v>
      </c>
      <c r="J20" s="24" t="s">
        <v>24</v>
      </c>
      <c r="K20" s="24" t="s">
        <v>24</v>
      </c>
      <c r="L20" s="24"/>
      <c r="M20" s="23" t="s">
        <v>15</v>
      </c>
      <c r="N20" s="88" t="s">
        <v>25</v>
      </c>
    </row>
    <row r="21" spans="1:14" s="18" customFormat="1" ht="60" customHeight="1">
      <c r="A21" s="877" t="s">
        <v>494</v>
      </c>
      <c r="B21" s="878" t="s">
        <v>495</v>
      </c>
      <c r="C21" s="877" t="s">
        <v>24</v>
      </c>
      <c r="D21" s="23" t="s">
        <v>496</v>
      </c>
      <c r="E21" s="24" t="s">
        <v>148</v>
      </c>
      <c r="F21" s="24" t="s">
        <v>24</v>
      </c>
      <c r="G21" s="24" t="s">
        <v>478</v>
      </c>
      <c r="H21" s="24" t="s">
        <v>145</v>
      </c>
      <c r="I21" s="24" t="s">
        <v>476</v>
      </c>
      <c r="J21" s="24" t="s">
        <v>24</v>
      </c>
      <c r="K21" s="24" t="s">
        <v>11</v>
      </c>
      <c r="L21" s="24"/>
      <c r="M21" s="23"/>
      <c r="N21" s="88" t="s">
        <v>12</v>
      </c>
    </row>
    <row r="22" spans="1:14" s="18" customFormat="1" ht="21" customHeight="1">
      <c r="A22" s="877"/>
      <c r="B22" s="878"/>
      <c r="C22" s="877"/>
      <c r="D22" s="23" t="s">
        <v>497</v>
      </c>
      <c r="E22" s="24" t="s">
        <v>145</v>
      </c>
      <c r="F22" s="24" t="s">
        <v>11</v>
      </c>
      <c r="G22" s="24" t="s">
        <v>478</v>
      </c>
      <c r="H22" s="24" t="s">
        <v>145</v>
      </c>
      <c r="I22" s="24" t="s">
        <v>476</v>
      </c>
      <c r="J22" s="24" t="s">
        <v>24</v>
      </c>
      <c r="K22" s="24" t="s">
        <v>11</v>
      </c>
      <c r="L22" s="24"/>
      <c r="M22" s="23" t="s">
        <v>15</v>
      </c>
      <c r="N22" s="88" t="s">
        <v>12</v>
      </c>
    </row>
    <row r="23" spans="1:14" s="18" customFormat="1" ht="61.5" customHeight="1">
      <c r="A23" s="877"/>
      <c r="B23" s="878"/>
      <c r="C23" s="877"/>
      <c r="D23" s="23" t="s">
        <v>498</v>
      </c>
      <c r="E23" s="24" t="s">
        <v>24</v>
      </c>
      <c r="F23" s="24" t="s">
        <v>24</v>
      </c>
      <c r="G23" s="24" t="s">
        <v>478</v>
      </c>
      <c r="H23" s="24" t="s">
        <v>145</v>
      </c>
      <c r="I23" s="24" t="s">
        <v>476</v>
      </c>
      <c r="J23" s="24" t="s">
        <v>24</v>
      </c>
      <c r="K23" s="24" t="s">
        <v>11</v>
      </c>
      <c r="L23" s="24"/>
      <c r="M23" s="23"/>
      <c r="N23" s="88" t="s">
        <v>25</v>
      </c>
    </row>
    <row r="24" spans="1:14" s="18" customFormat="1" ht="22.15" customHeight="1">
      <c r="A24" s="880" t="s">
        <v>499</v>
      </c>
      <c r="B24" s="878" t="s">
        <v>500</v>
      </c>
      <c r="C24" s="877" t="s">
        <v>24</v>
      </c>
      <c r="D24" s="23" t="s">
        <v>501</v>
      </c>
      <c r="E24" s="24" t="s">
        <v>11</v>
      </c>
      <c r="F24" s="24" t="s">
        <v>24</v>
      </c>
      <c r="G24" s="24" t="s">
        <v>478</v>
      </c>
      <c r="H24" s="24" t="s">
        <v>145</v>
      </c>
      <c r="I24" s="24" t="s">
        <v>479</v>
      </c>
      <c r="J24" s="24" t="s">
        <v>24</v>
      </c>
      <c r="K24" s="24" t="s">
        <v>24</v>
      </c>
      <c r="L24" s="24"/>
      <c r="M24" s="23" t="s">
        <v>15</v>
      </c>
      <c r="N24" s="88" t="s">
        <v>25</v>
      </c>
    </row>
    <row r="25" spans="1:14" s="18" customFormat="1" ht="27.75" customHeight="1">
      <c r="A25" s="880"/>
      <c r="B25" s="878"/>
      <c r="C25" s="877"/>
      <c r="D25" s="23" t="s">
        <v>502</v>
      </c>
      <c r="E25" s="24" t="s">
        <v>145</v>
      </c>
      <c r="F25" s="24" t="s">
        <v>24</v>
      </c>
      <c r="G25" s="24" t="s">
        <v>478</v>
      </c>
      <c r="H25" s="24" t="s">
        <v>145</v>
      </c>
      <c r="I25" s="24" t="s">
        <v>479</v>
      </c>
      <c r="J25" s="24" t="s">
        <v>24</v>
      </c>
      <c r="K25" s="24" t="s">
        <v>24</v>
      </c>
      <c r="L25" s="24"/>
      <c r="M25" s="23" t="s">
        <v>15</v>
      </c>
      <c r="N25" s="88" t="s">
        <v>12</v>
      </c>
    </row>
    <row r="26" spans="1:14" s="18" customFormat="1" ht="25.9" customHeight="1">
      <c r="A26" s="880"/>
      <c r="B26" s="878"/>
      <c r="C26" s="877"/>
      <c r="D26" s="23" t="s">
        <v>503</v>
      </c>
      <c r="E26" s="24" t="s">
        <v>145</v>
      </c>
      <c r="F26" s="24" t="s">
        <v>24</v>
      </c>
      <c r="G26" s="24" t="s">
        <v>478</v>
      </c>
      <c r="H26" s="24" t="s">
        <v>145</v>
      </c>
      <c r="I26" s="24" t="s">
        <v>479</v>
      </c>
      <c r="J26" s="24" t="s">
        <v>24</v>
      </c>
      <c r="K26" s="24" t="s">
        <v>24</v>
      </c>
      <c r="L26" s="24"/>
      <c r="M26" s="23" t="s">
        <v>15</v>
      </c>
      <c r="N26" s="88" t="s">
        <v>12</v>
      </c>
    </row>
    <row r="27" spans="1:14" s="18" customFormat="1" ht="11.25">
      <c r="A27" s="880"/>
      <c r="B27" s="878"/>
      <c r="C27" s="877"/>
      <c r="D27" s="23" t="s">
        <v>504</v>
      </c>
      <c r="E27" s="24" t="s">
        <v>11</v>
      </c>
      <c r="F27" s="24" t="s">
        <v>24</v>
      </c>
      <c r="G27" s="24" t="s">
        <v>478</v>
      </c>
      <c r="H27" s="24" t="s">
        <v>145</v>
      </c>
      <c r="I27" s="24" t="s">
        <v>479</v>
      </c>
      <c r="J27" s="24" t="s">
        <v>24</v>
      </c>
      <c r="K27" s="24" t="s">
        <v>24</v>
      </c>
      <c r="L27" s="24"/>
      <c r="M27" s="23" t="s">
        <v>15</v>
      </c>
      <c r="N27" s="88" t="s">
        <v>25</v>
      </c>
    </row>
    <row r="28" spans="1:14" s="18" customFormat="1" ht="11.25">
      <c r="A28" s="877" t="s">
        <v>505</v>
      </c>
      <c r="B28" s="878" t="s">
        <v>506</v>
      </c>
      <c r="C28" s="877" t="s">
        <v>24</v>
      </c>
      <c r="D28" s="23" t="s">
        <v>507</v>
      </c>
      <c r="E28" s="24" t="s">
        <v>24</v>
      </c>
      <c r="F28" s="24" t="s">
        <v>24</v>
      </c>
      <c r="G28" s="24" t="s">
        <v>478</v>
      </c>
      <c r="H28" s="24" t="s">
        <v>145</v>
      </c>
      <c r="I28" s="24" t="s">
        <v>479</v>
      </c>
      <c r="J28" s="24" t="s">
        <v>24</v>
      </c>
      <c r="K28" s="24" t="s">
        <v>24</v>
      </c>
      <c r="L28" s="23"/>
      <c r="M28" s="23" t="s">
        <v>15</v>
      </c>
      <c r="N28" s="88" t="s">
        <v>25</v>
      </c>
    </row>
    <row r="29" spans="1:14" s="18" customFormat="1" ht="11.25">
      <c r="A29" s="877"/>
      <c r="B29" s="878"/>
      <c r="C29" s="877"/>
      <c r="D29" s="23" t="s">
        <v>508</v>
      </c>
      <c r="E29" s="24" t="s">
        <v>24</v>
      </c>
      <c r="F29" s="24" t="s">
        <v>24</v>
      </c>
      <c r="G29" s="24" t="s">
        <v>478</v>
      </c>
      <c r="H29" s="24" t="s">
        <v>145</v>
      </c>
      <c r="I29" s="24" t="s">
        <v>479</v>
      </c>
      <c r="J29" s="24" t="s">
        <v>24</v>
      </c>
      <c r="K29" s="24" t="s">
        <v>24</v>
      </c>
      <c r="L29" s="24"/>
      <c r="M29" s="23" t="s">
        <v>15</v>
      </c>
      <c r="N29" s="88" t="s">
        <v>25</v>
      </c>
    </row>
    <row r="30" spans="1:14" s="18" customFormat="1" ht="25.9" customHeight="1">
      <c r="A30" s="411" t="s">
        <v>509</v>
      </c>
      <c r="B30" s="23" t="s">
        <v>510</v>
      </c>
      <c r="C30" s="24" t="s">
        <v>24</v>
      </c>
      <c r="D30" s="23"/>
      <c r="E30" s="24" t="s">
        <v>148</v>
      </c>
      <c r="F30" s="24" t="s">
        <v>145</v>
      </c>
      <c r="G30" s="24" t="s">
        <v>476</v>
      </c>
      <c r="H30" s="24" t="s">
        <v>145</v>
      </c>
      <c r="I30" s="24" t="s">
        <v>145</v>
      </c>
      <c r="J30" s="24" t="s">
        <v>24</v>
      </c>
      <c r="K30" s="24" t="s">
        <v>24</v>
      </c>
      <c r="L30" s="24"/>
      <c r="M30" s="23" t="s">
        <v>15</v>
      </c>
      <c r="N30" s="88" t="s">
        <v>25</v>
      </c>
    </row>
    <row r="31" spans="1:14" s="18" customFormat="1" ht="24" customHeight="1">
      <c r="A31" s="411" t="s">
        <v>511</v>
      </c>
      <c r="B31" s="23" t="s">
        <v>512</v>
      </c>
      <c r="C31" s="24" t="s">
        <v>24</v>
      </c>
      <c r="D31" s="23"/>
      <c r="E31" s="24" t="s">
        <v>148</v>
      </c>
      <c r="F31" s="24" t="s">
        <v>145</v>
      </c>
      <c r="G31" s="24" t="s">
        <v>478</v>
      </c>
      <c r="H31" s="24" t="s">
        <v>145</v>
      </c>
      <c r="I31" s="24" t="s">
        <v>513</v>
      </c>
      <c r="J31" s="24" t="s">
        <v>24</v>
      </c>
      <c r="K31" s="24" t="s">
        <v>11</v>
      </c>
      <c r="L31" s="24"/>
      <c r="M31" s="23" t="s">
        <v>15</v>
      </c>
      <c r="N31" s="88" t="s">
        <v>25</v>
      </c>
    </row>
    <row r="32" spans="1:14" s="18" customFormat="1" ht="25.9" customHeight="1">
      <c r="A32" s="411" t="s">
        <v>514</v>
      </c>
      <c r="B32" s="23" t="s">
        <v>515</v>
      </c>
      <c r="C32" s="24" t="s">
        <v>11</v>
      </c>
      <c r="D32" s="23"/>
      <c r="E32" s="24" t="s">
        <v>145</v>
      </c>
      <c r="F32" s="24" t="s">
        <v>145</v>
      </c>
      <c r="G32" s="24" t="s">
        <v>145</v>
      </c>
      <c r="H32" s="24" t="s">
        <v>145</v>
      </c>
      <c r="I32" s="24" t="s">
        <v>145</v>
      </c>
      <c r="J32" s="24" t="s">
        <v>145</v>
      </c>
      <c r="K32" s="24" t="s">
        <v>145</v>
      </c>
      <c r="L32" s="24"/>
      <c r="M32" s="23" t="s">
        <v>15</v>
      </c>
      <c r="N32" s="88" t="s">
        <v>12</v>
      </c>
    </row>
    <row r="33" spans="1:14" s="18" customFormat="1" ht="25.15" customHeight="1">
      <c r="A33" s="411" t="s">
        <v>516</v>
      </c>
      <c r="B33" s="23" t="s">
        <v>517</v>
      </c>
      <c r="C33" s="24" t="s">
        <v>11</v>
      </c>
      <c r="D33" s="23"/>
      <c r="E33" s="24" t="s">
        <v>145</v>
      </c>
      <c r="F33" s="24" t="s">
        <v>145</v>
      </c>
      <c r="G33" s="24" t="s">
        <v>145</v>
      </c>
      <c r="H33" s="24" t="s">
        <v>145</v>
      </c>
      <c r="I33" s="24" t="s">
        <v>145</v>
      </c>
      <c r="J33" s="24" t="s">
        <v>145</v>
      </c>
      <c r="K33" s="24" t="s">
        <v>145</v>
      </c>
      <c r="L33" s="24"/>
      <c r="M33" s="23" t="s">
        <v>15</v>
      </c>
      <c r="N33" s="88" t="s">
        <v>12</v>
      </c>
    </row>
    <row r="34" spans="1:14" s="18" customFormat="1" ht="24" customHeight="1">
      <c r="A34" s="411" t="s">
        <v>518</v>
      </c>
      <c r="B34" s="23" t="s">
        <v>519</v>
      </c>
      <c r="C34" s="24" t="s">
        <v>11</v>
      </c>
      <c r="D34" s="23"/>
      <c r="E34" s="24" t="s">
        <v>145</v>
      </c>
      <c r="F34" s="24" t="s">
        <v>145</v>
      </c>
      <c r="G34" s="24" t="s">
        <v>145</v>
      </c>
      <c r="H34" s="24" t="s">
        <v>145</v>
      </c>
      <c r="I34" s="24" t="s">
        <v>145</v>
      </c>
      <c r="J34" s="24" t="s">
        <v>145</v>
      </c>
      <c r="K34" s="24" t="s">
        <v>145</v>
      </c>
      <c r="L34" s="24"/>
      <c r="M34" s="23" t="s">
        <v>15</v>
      </c>
      <c r="N34" s="88" t="s">
        <v>12</v>
      </c>
    </row>
    <row r="35" spans="1:14" s="18" customFormat="1" ht="24.75" hidden="1" customHeight="1">
      <c r="A35" s="877" t="s">
        <v>520</v>
      </c>
      <c r="B35" s="878" t="s">
        <v>521</v>
      </c>
      <c r="C35" s="877" t="s">
        <v>11</v>
      </c>
      <c r="D35" s="23" t="s">
        <v>522</v>
      </c>
      <c r="E35" s="24" t="s">
        <v>145</v>
      </c>
      <c r="F35" s="24"/>
      <c r="G35" s="24"/>
      <c r="H35" s="24" t="s">
        <v>145</v>
      </c>
      <c r="I35" s="24" t="s">
        <v>145</v>
      </c>
      <c r="J35" s="24" t="s">
        <v>24</v>
      </c>
      <c r="K35" s="24" t="s">
        <v>11</v>
      </c>
      <c r="L35" s="24"/>
      <c r="M35" s="23" t="s">
        <v>15</v>
      </c>
      <c r="N35" s="88"/>
    </row>
    <row r="36" spans="1:14" s="18" customFormat="1" ht="24" hidden="1" customHeight="1">
      <c r="A36" s="877"/>
      <c r="B36" s="878"/>
      <c r="C36" s="877"/>
      <c r="D36" s="23" t="s">
        <v>523</v>
      </c>
      <c r="E36" s="24" t="s">
        <v>145</v>
      </c>
      <c r="F36" s="24"/>
      <c r="G36" s="24"/>
      <c r="H36" s="24" t="s">
        <v>145</v>
      </c>
      <c r="I36" s="24" t="s">
        <v>145</v>
      </c>
      <c r="J36" s="24" t="s">
        <v>24</v>
      </c>
      <c r="K36" s="24" t="s">
        <v>11</v>
      </c>
      <c r="L36" s="24"/>
      <c r="M36" s="23" t="s">
        <v>15</v>
      </c>
      <c r="N36" s="88" t="s">
        <v>25</v>
      </c>
    </row>
    <row r="37" spans="1:14" s="18" customFormat="1" ht="29.25" customHeight="1">
      <c r="A37" s="877" t="s">
        <v>524</v>
      </c>
      <c r="B37" s="878" t="s">
        <v>525</v>
      </c>
      <c r="C37" s="877" t="s">
        <v>24</v>
      </c>
      <c r="D37" s="23" t="s">
        <v>526</v>
      </c>
      <c r="E37" s="24" t="s">
        <v>148</v>
      </c>
      <c r="F37" s="24" t="s">
        <v>11</v>
      </c>
      <c r="G37" s="24" t="s">
        <v>476</v>
      </c>
      <c r="H37" s="24" t="s">
        <v>145</v>
      </c>
      <c r="I37" s="24" t="s">
        <v>145</v>
      </c>
      <c r="J37" s="24" t="s">
        <v>24</v>
      </c>
      <c r="K37" s="24" t="s">
        <v>24</v>
      </c>
      <c r="L37" s="24"/>
      <c r="M37" s="23" t="s">
        <v>15</v>
      </c>
      <c r="N37" s="88" t="s">
        <v>12</v>
      </c>
    </row>
    <row r="38" spans="1:14" s="18" customFormat="1" ht="29.25" customHeight="1">
      <c r="A38" s="877"/>
      <c r="B38" s="878"/>
      <c r="C38" s="877"/>
      <c r="D38" s="23" t="s">
        <v>527</v>
      </c>
      <c r="E38" s="24" t="s">
        <v>24</v>
      </c>
      <c r="F38" s="24" t="s">
        <v>11</v>
      </c>
      <c r="G38" s="24" t="s">
        <v>476</v>
      </c>
      <c r="H38" s="24" t="s">
        <v>145</v>
      </c>
      <c r="I38" s="24" t="s">
        <v>145</v>
      </c>
      <c r="J38" s="24" t="s">
        <v>24</v>
      </c>
      <c r="K38" s="24" t="s">
        <v>24</v>
      </c>
      <c r="L38" s="24"/>
      <c r="M38" s="23" t="s">
        <v>15</v>
      </c>
      <c r="N38" s="88" t="s">
        <v>25</v>
      </c>
    </row>
    <row r="39" spans="1:14" s="18" customFormat="1" ht="29.25" customHeight="1">
      <c r="A39" s="877"/>
      <c r="B39" s="878"/>
      <c r="C39" s="877"/>
      <c r="D39" s="23" t="s">
        <v>528</v>
      </c>
      <c r="E39" s="24" t="s">
        <v>145</v>
      </c>
      <c r="F39" s="24" t="s">
        <v>11</v>
      </c>
      <c r="G39" s="24" t="s">
        <v>476</v>
      </c>
      <c r="H39" s="24" t="s">
        <v>145</v>
      </c>
      <c r="I39" s="24" t="s">
        <v>145</v>
      </c>
      <c r="J39" s="24" t="s">
        <v>24</v>
      </c>
      <c r="K39" s="24" t="s">
        <v>24</v>
      </c>
      <c r="L39" s="24"/>
      <c r="M39" s="23"/>
      <c r="N39" s="88" t="s">
        <v>12</v>
      </c>
    </row>
    <row r="40" spans="1:14" s="18" customFormat="1" ht="42.75" customHeight="1">
      <c r="A40" s="877"/>
      <c r="B40" s="878"/>
      <c r="C40" s="877"/>
      <c r="D40" s="412" t="s">
        <v>529</v>
      </c>
      <c r="E40" s="24" t="s">
        <v>24</v>
      </c>
      <c r="F40" s="24" t="s">
        <v>11</v>
      </c>
      <c r="G40" s="24" t="s">
        <v>476</v>
      </c>
      <c r="H40" s="24" t="s">
        <v>145</v>
      </c>
      <c r="I40" s="24" t="s">
        <v>145</v>
      </c>
      <c r="J40" s="24" t="s">
        <v>24</v>
      </c>
      <c r="K40" s="24" t="s">
        <v>24</v>
      </c>
      <c r="L40" s="24"/>
      <c r="M40" s="23" t="s">
        <v>15</v>
      </c>
      <c r="N40" s="88" t="s">
        <v>25</v>
      </c>
    </row>
    <row r="41" spans="1:14" s="18" customFormat="1" ht="51.75" customHeight="1">
      <c r="A41" s="877"/>
      <c r="B41" s="878"/>
      <c r="C41" s="877"/>
      <c r="D41" s="412" t="s">
        <v>530</v>
      </c>
      <c r="E41" s="24" t="s">
        <v>145</v>
      </c>
      <c r="F41" s="24" t="s">
        <v>11</v>
      </c>
      <c r="G41" s="24" t="s">
        <v>476</v>
      </c>
      <c r="H41" s="24" t="s">
        <v>145</v>
      </c>
      <c r="I41" s="24" t="s">
        <v>145</v>
      </c>
      <c r="J41" s="24" t="s">
        <v>24</v>
      </c>
      <c r="K41" s="24" t="s">
        <v>24</v>
      </c>
      <c r="L41" s="24"/>
      <c r="M41" s="23"/>
      <c r="N41" s="88" t="s">
        <v>12</v>
      </c>
    </row>
    <row r="42" spans="1:14" s="18" customFormat="1" ht="28.5" customHeight="1">
      <c r="A42" s="877"/>
      <c r="B42" s="878"/>
      <c r="C42" s="877"/>
      <c r="D42" s="23" t="s">
        <v>531</v>
      </c>
      <c r="E42" s="24" t="s">
        <v>24</v>
      </c>
      <c r="F42" s="24" t="s">
        <v>11</v>
      </c>
      <c r="G42" s="24" t="s">
        <v>476</v>
      </c>
      <c r="H42" s="24" t="s">
        <v>145</v>
      </c>
      <c r="I42" s="24" t="s">
        <v>145</v>
      </c>
      <c r="J42" s="24" t="s">
        <v>24</v>
      </c>
      <c r="K42" s="24" t="s">
        <v>24</v>
      </c>
      <c r="L42" s="24"/>
      <c r="M42" s="23" t="s">
        <v>15</v>
      </c>
      <c r="N42" s="88" t="s">
        <v>25</v>
      </c>
    </row>
    <row r="43" spans="1:14" s="18" customFormat="1" ht="28.5" customHeight="1">
      <c r="A43" s="877"/>
      <c r="B43" s="878"/>
      <c r="C43" s="877"/>
      <c r="D43" s="23" t="s">
        <v>532</v>
      </c>
      <c r="E43" s="24" t="s">
        <v>24</v>
      </c>
      <c r="F43" s="42" t="s">
        <v>11</v>
      </c>
      <c r="G43" s="24" t="s">
        <v>476</v>
      </c>
      <c r="H43" s="24" t="s">
        <v>145</v>
      </c>
      <c r="I43" s="24" t="s">
        <v>145</v>
      </c>
      <c r="J43" s="24" t="s">
        <v>24</v>
      </c>
      <c r="K43" s="24" t="s">
        <v>24</v>
      </c>
      <c r="L43" s="24"/>
      <c r="M43" s="23"/>
      <c r="N43" s="88" t="s">
        <v>456</v>
      </c>
    </row>
    <row r="44" spans="1:14" s="18" customFormat="1" ht="22.15" customHeight="1">
      <c r="A44" s="411" t="s">
        <v>8</v>
      </c>
      <c r="B44" s="23" t="s">
        <v>533</v>
      </c>
      <c r="C44" s="24" t="s">
        <v>24</v>
      </c>
      <c r="D44" s="23"/>
      <c r="E44" s="24" t="s">
        <v>148</v>
      </c>
      <c r="F44" s="24" t="s">
        <v>148</v>
      </c>
      <c r="G44" s="24" t="s">
        <v>476</v>
      </c>
      <c r="H44" s="24" t="s">
        <v>145</v>
      </c>
      <c r="I44" s="24" t="s">
        <v>145</v>
      </c>
      <c r="J44" s="24" t="s">
        <v>24</v>
      </c>
      <c r="K44" s="24" t="s">
        <v>24</v>
      </c>
      <c r="L44" s="24"/>
      <c r="M44" s="23" t="s">
        <v>15</v>
      </c>
      <c r="N44" s="88" t="s">
        <v>25</v>
      </c>
    </row>
    <row r="45" spans="1:14" s="18" customFormat="1" ht="27.75" customHeight="1">
      <c r="A45" s="411" t="s">
        <v>534</v>
      </c>
      <c r="B45" s="23" t="s">
        <v>535</v>
      </c>
      <c r="C45" s="24" t="s">
        <v>145</v>
      </c>
      <c r="D45" s="23"/>
      <c r="E45" s="24" t="s">
        <v>145</v>
      </c>
      <c r="F45" s="24" t="s">
        <v>145</v>
      </c>
      <c r="G45" s="24" t="s">
        <v>478</v>
      </c>
      <c r="H45" s="24" t="s">
        <v>145</v>
      </c>
      <c r="I45" s="24" t="s">
        <v>479</v>
      </c>
      <c r="J45" s="24" t="s">
        <v>24</v>
      </c>
      <c r="K45" s="24" t="s">
        <v>11</v>
      </c>
      <c r="L45" s="24"/>
      <c r="M45" s="23" t="s">
        <v>15</v>
      </c>
      <c r="N45" s="88" t="s">
        <v>12</v>
      </c>
    </row>
    <row r="46" spans="1:14" s="18" customFormat="1" ht="11.25">
      <c r="A46" s="880" t="s">
        <v>536</v>
      </c>
      <c r="B46" s="878" t="s">
        <v>537</v>
      </c>
      <c r="C46" s="877" t="s">
        <v>148</v>
      </c>
      <c r="D46" s="23" t="s">
        <v>538</v>
      </c>
      <c r="E46" s="24" t="s">
        <v>24</v>
      </c>
      <c r="F46" s="24" t="s">
        <v>145</v>
      </c>
      <c r="G46" s="24" t="s">
        <v>478</v>
      </c>
      <c r="H46" s="24" t="s">
        <v>145</v>
      </c>
      <c r="I46" s="24" t="s">
        <v>476</v>
      </c>
      <c r="J46" s="24" t="s">
        <v>24</v>
      </c>
      <c r="K46" s="24" t="s">
        <v>11</v>
      </c>
      <c r="L46" s="24"/>
      <c r="M46" s="23" t="s">
        <v>15</v>
      </c>
      <c r="N46" s="88" t="s">
        <v>25</v>
      </c>
    </row>
    <row r="47" spans="1:14" s="18" customFormat="1" ht="11.25">
      <c r="A47" s="880"/>
      <c r="B47" s="878"/>
      <c r="C47" s="877"/>
      <c r="D47" s="23" t="s">
        <v>539</v>
      </c>
      <c r="E47" s="24" t="s">
        <v>148</v>
      </c>
      <c r="F47" s="24" t="s">
        <v>145</v>
      </c>
      <c r="G47" s="24" t="s">
        <v>478</v>
      </c>
      <c r="H47" s="24" t="s">
        <v>145</v>
      </c>
      <c r="I47" s="24" t="s">
        <v>476</v>
      </c>
      <c r="J47" s="24" t="s">
        <v>24</v>
      </c>
      <c r="K47" s="24" t="s">
        <v>11</v>
      </c>
      <c r="L47" s="24"/>
      <c r="M47" s="23" t="s">
        <v>15</v>
      </c>
      <c r="N47" s="88" t="s">
        <v>12</v>
      </c>
    </row>
    <row r="48" spans="1:14" s="18" customFormat="1" ht="24.75" customHeight="1">
      <c r="A48" s="880"/>
      <c r="B48" s="878"/>
      <c r="C48" s="877"/>
      <c r="D48" s="23" t="s">
        <v>540</v>
      </c>
      <c r="E48" s="24" t="s">
        <v>148</v>
      </c>
      <c r="F48" s="24" t="s">
        <v>145</v>
      </c>
      <c r="G48" s="24" t="s">
        <v>478</v>
      </c>
      <c r="H48" s="24" t="s">
        <v>145</v>
      </c>
      <c r="I48" s="24" t="s">
        <v>476</v>
      </c>
      <c r="J48" s="24" t="s">
        <v>24</v>
      </c>
      <c r="K48" s="24" t="s">
        <v>11</v>
      </c>
      <c r="L48" s="24"/>
      <c r="M48" s="23" t="s">
        <v>15</v>
      </c>
      <c r="N48" s="88" t="s">
        <v>12</v>
      </c>
    </row>
    <row r="49" spans="1:14" s="18" customFormat="1" ht="22.15" customHeight="1">
      <c r="A49" s="24" t="s">
        <v>541</v>
      </c>
      <c r="B49" s="23" t="s">
        <v>542</v>
      </c>
      <c r="C49" s="24" t="s">
        <v>11</v>
      </c>
      <c r="D49" s="23"/>
      <c r="E49" s="24" t="s">
        <v>145</v>
      </c>
      <c r="F49" s="24" t="s">
        <v>145</v>
      </c>
      <c r="G49" s="24" t="s">
        <v>145</v>
      </c>
      <c r="H49" s="24" t="s">
        <v>145</v>
      </c>
      <c r="I49" s="24" t="s">
        <v>478</v>
      </c>
      <c r="J49" s="24" t="s">
        <v>11</v>
      </c>
      <c r="K49" s="24" t="s">
        <v>11</v>
      </c>
      <c r="L49" s="24"/>
      <c r="M49" s="23" t="s">
        <v>15</v>
      </c>
      <c r="N49" s="88" t="s">
        <v>25</v>
      </c>
    </row>
    <row r="50" spans="1:14" s="18" customFormat="1" ht="22.15" customHeight="1">
      <c r="A50" s="24" t="s">
        <v>543</v>
      </c>
      <c r="B50" s="23" t="s">
        <v>544</v>
      </c>
      <c r="C50" s="24" t="s">
        <v>11</v>
      </c>
      <c r="D50" s="23"/>
      <c r="E50" s="24" t="s">
        <v>145</v>
      </c>
      <c r="F50" s="24" t="s">
        <v>145</v>
      </c>
      <c r="G50" s="24" t="s">
        <v>145</v>
      </c>
      <c r="H50" s="24" t="s">
        <v>145</v>
      </c>
      <c r="I50" s="24" t="s">
        <v>478</v>
      </c>
      <c r="J50" s="24" t="s">
        <v>11</v>
      </c>
      <c r="K50" s="24" t="s">
        <v>11</v>
      </c>
      <c r="L50" s="24"/>
      <c r="M50" s="23" t="s">
        <v>15</v>
      </c>
      <c r="N50" s="88" t="s">
        <v>25</v>
      </c>
    </row>
    <row r="51" spans="1:14" s="18" customFormat="1" ht="22.15" customHeight="1">
      <c r="A51" s="24" t="s">
        <v>545</v>
      </c>
      <c r="B51" s="23" t="s">
        <v>546</v>
      </c>
      <c r="C51" s="24" t="s">
        <v>11</v>
      </c>
      <c r="D51" s="23"/>
      <c r="E51" s="24" t="s">
        <v>145</v>
      </c>
      <c r="F51" s="24" t="s">
        <v>145</v>
      </c>
      <c r="G51" s="24" t="s">
        <v>145</v>
      </c>
      <c r="H51" s="24" t="s">
        <v>145</v>
      </c>
      <c r="I51" s="24" t="s">
        <v>478</v>
      </c>
      <c r="J51" s="24" t="s">
        <v>11</v>
      </c>
      <c r="K51" s="24" t="s">
        <v>11</v>
      </c>
      <c r="L51" s="24"/>
      <c r="M51" s="23" t="s">
        <v>15</v>
      </c>
      <c r="N51" s="88" t="s">
        <v>25</v>
      </c>
    </row>
    <row r="52" spans="1:14" s="18" customFormat="1" ht="22.15" customHeight="1">
      <c r="A52" s="24" t="s">
        <v>547</v>
      </c>
      <c r="B52" s="23" t="s">
        <v>548</v>
      </c>
      <c r="C52" s="24" t="s">
        <v>145</v>
      </c>
      <c r="D52" s="23"/>
      <c r="E52" s="24" t="s">
        <v>145</v>
      </c>
      <c r="F52" s="24" t="s">
        <v>145</v>
      </c>
      <c r="G52" s="24" t="s">
        <v>145</v>
      </c>
      <c r="H52" s="24" t="s">
        <v>145</v>
      </c>
      <c r="I52" s="24" t="s">
        <v>145</v>
      </c>
      <c r="J52" s="24" t="s">
        <v>145</v>
      </c>
      <c r="K52" s="24" t="s">
        <v>145</v>
      </c>
      <c r="L52" s="24"/>
      <c r="M52" s="23" t="s">
        <v>15</v>
      </c>
      <c r="N52" s="88" t="s">
        <v>12</v>
      </c>
    </row>
    <row r="53" spans="1:14" s="18" customFormat="1" ht="11.25">
      <c r="A53" s="24" t="s">
        <v>15</v>
      </c>
      <c r="B53" s="23" t="s">
        <v>549</v>
      </c>
      <c r="C53" s="24"/>
      <c r="D53" s="23"/>
      <c r="E53" s="24" t="s">
        <v>15</v>
      </c>
      <c r="F53" s="24"/>
      <c r="G53" s="24"/>
      <c r="H53" s="24"/>
      <c r="I53" s="24"/>
      <c r="J53" s="24"/>
      <c r="K53" s="24"/>
      <c r="L53" s="24"/>
      <c r="M53" s="24"/>
      <c r="N53" s="88" t="s">
        <v>12</v>
      </c>
    </row>
    <row r="54" spans="1:14">
      <c r="B54" s="25"/>
      <c r="H54" s="25"/>
      <c r="J54" s="25"/>
      <c r="K54" s="25"/>
    </row>
    <row r="55" spans="1:14">
      <c r="H55" s="18"/>
      <c r="J55" s="18"/>
      <c r="K55" s="18"/>
    </row>
    <row r="61" spans="1:14">
      <c r="D61" s="18"/>
    </row>
    <row r="62" spans="1:14">
      <c r="D62" s="21"/>
    </row>
    <row r="63" spans="1:14">
      <c r="B63" s="18"/>
      <c r="D63" s="21"/>
    </row>
    <row r="64" spans="1:14">
      <c r="B64" s="21"/>
      <c r="D64" s="18"/>
    </row>
    <row r="65" spans="1:9">
      <c r="B65" s="21"/>
      <c r="D65" s="21"/>
    </row>
    <row r="66" spans="1:9">
      <c r="B66" s="21"/>
      <c r="D66" s="21"/>
    </row>
    <row r="67" spans="1:9">
      <c r="D67" s="21"/>
    </row>
    <row r="73" spans="1:9" ht="15.75">
      <c r="A73" s="151"/>
      <c r="B73" s="876"/>
      <c r="C73" s="876"/>
      <c r="D73" s="876"/>
      <c r="E73" s="876"/>
      <c r="F73" s="876"/>
      <c r="G73" s="876"/>
      <c r="H73" s="876"/>
      <c r="I73" s="876"/>
    </row>
    <row r="74" spans="1:9" ht="15.75">
      <c r="A74" s="151"/>
      <c r="B74" s="876"/>
      <c r="C74" s="876"/>
      <c r="D74" s="876"/>
      <c r="E74" s="876"/>
      <c r="F74" s="876"/>
      <c r="G74" s="876"/>
      <c r="H74" s="876"/>
      <c r="I74" s="876"/>
    </row>
    <row r="90" spans="2:8">
      <c r="D90" s="18"/>
      <c r="E90" s="152"/>
      <c r="F90" s="152"/>
      <c r="G90" s="152"/>
      <c r="H90" s="152"/>
    </row>
    <row r="91" spans="2:8">
      <c r="D91" s="21"/>
      <c r="E91" s="152"/>
      <c r="F91" s="152"/>
      <c r="G91" s="152"/>
      <c r="H91" s="152"/>
    </row>
    <row r="92" spans="2:8">
      <c r="B92" s="21"/>
      <c r="D92" s="18"/>
      <c r="E92" s="152"/>
      <c r="F92" s="152"/>
      <c r="G92" s="152"/>
      <c r="H92" s="152"/>
    </row>
    <row r="93" spans="2:8">
      <c r="B93" s="21"/>
      <c r="D93" s="18"/>
      <c r="E93" s="152"/>
      <c r="F93" s="152"/>
      <c r="G93" s="152"/>
      <c r="H93" s="152"/>
    </row>
    <row r="94" spans="2:8">
      <c r="B94" s="21"/>
      <c r="D94" s="18"/>
      <c r="E94" s="152"/>
      <c r="F94" s="152"/>
      <c r="G94" s="152"/>
      <c r="H94" s="152"/>
    </row>
    <row r="95" spans="2:8">
      <c r="B95" s="21"/>
      <c r="D95" s="18"/>
    </row>
    <row r="96" spans="2:8">
      <c r="B96" s="21"/>
      <c r="D96" s="21"/>
    </row>
    <row r="97" spans="4:4">
      <c r="D97" s="21"/>
    </row>
  </sheetData>
  <sheetProtection formatCells="0" formatColumns="0" formatRows="0"/>
  <mergeCells count="41">
    <mergeCell ref="B35:B36"/>
    <mergeCell ref="I6:I7"/>
    <mergeCell ref="L6:L7"/>
    <mergeCell ref="M6:M7"/>
    <mergeCell ref="D6:D7"/>
    <mergeCell ref="E6:E7"/>
    <mergeCell ref="F6:F7"/>
    <mergeCell ref="G6:G7"/>
    <mergeCell ref="H6:H7"/>
    <mergeCell ref="B74:I74"/>
    <mergeCell ref="A6:A7"/>
    <mergeCell ref="A8:A11"/>
    <mergeCell ref="A12:A19"/>
    <mergeCell ref="A21:A23"/>
    <mergeCell ref="A24:A27"/>
    <mergeCell ref="A28:A29"/>
    <mergeCell ref="A35:A36"/>
    <mergeCell ref="A37:A43"/>
    <mergeCell ref="A46:A48"/>
    <mergeCell ref="B6:B7"/>
    <mergeCell ref="B8:B11"/>
    <mergeCell ref="B37:B43"/>
    <mergeCell ref="B46:B48"/>
    <mergeCell ref="C6:C7"/>
    <mergeCell ref="C8:C11"/>
    <mergeCell ref="N6:N7"/>
    <mergeCell ref="A2:M2"/>
    <mergeCell ref="A3:M3"/>
    <mergeCell ref="J6:K6"/>
    <mergeCell ref="B73:I73"/>
    <mergeCell ref="C12:C19"/>
    <mergeCell ref="C21:C23"/>
    <mergeCell ref="C24:C27"/>
    <mergeCell ref="C28:C29"/>
    <mergeCell ref="C35:C36"/>
    <mergeCell ref="C37:C43"/>
    <mergeCell ref="C46:C48"/>
    <mergeCell ref="B12:B19"/>
    <mergeCell ref="B21:B23"/>
    <mergeCell ref="B24:B27"/>
    <mergeCell ref="B28:B29"/>
  </mergeCells>
  <phoneticPr fontId="28" type="noConversion"/>
  <conditionalFormatting sqref="A49:C52">
    <cfRule type="cellIs" dxfId="279" priority="91" stopIfTrue="1" operator="equal">
      <formula>"tbd"</formula>
    </cfRule>
    <cfRule type="cellIs" dxfId="278" priority="90" stopIfTrue="1" operator="equal">
      <formula>"-"</formula>
    </cfRule>
  </conditionalFormatting>
  <conditionalFormatting sqref="A53:D53">
    <cfRule type="cellIs" dxfId="277" priority="201" stopIfTrue="1" operator="equal">
      <formula>"tbd"</formula>
    </cfRule>
    <cfRule type="cellIs" dxfId="276" priority="200" stopIfTrue="1" operator="equal">
      <formula>"-"</formula>
    </cfRule>
  </conditionalFormatting>
  <conditionalFormatting sqref="C32:C34">
    <cfRule type="cellIs" dxfId="275" priority="111" stopIfTrue="1" operator="equal">
      <formula>"TBD"</formula>
    </cfRule>
    <cfRule type="cellIs" dxfId="274" priority="110" stopIfTrue="1" operator="equal">
      <formula>"N/A"</formula>
    </cfRule>
    <cfRule type="cellIs" dxfId="273" priority="112" stopIfTrue="1" operator="equal">
      <formula>"No"</formula>
    </cfRule>
  </conditionalFormatting>
  <conditionalFormatting sqref="C32:C35">
    <cfRule type="cellIs" dxfId="272" priority="83" stopIfTrue="1" operator="equal">
      <formula>"tbd"</formula>
    </cfRule>
    <cfRule type="cellIs" dxfId="271" priority="82" stopIfTrue="1" operator="equal">
      <formula>"-"</formula>
    </cfRule>
  </conditionalFormatting>
  <conditionalFormatting sqref="C45">
    <cfRule type="cellIs" dxfId="270" priority="97" stopIfTrue="1" operator="equal">
      <formula>"No"</formula>
    </cfRule>
    <cfRule type="cellIs" dxfId="269" priority="96" stopIfTrue="1" operator="equal">
      <formula>"TBD"</formula>
    </cfRule>
    <cfRule type="cellIs" dxfId="268" priority="95" stopIfTrue="1" operator="equal">
      <formula>"N/A"</formula>
    </cfRule>
    <cfRule type="cellIs" dxfId="267" priority="89" stopIfTrue="1" operator="equal">
      <formula>"tbd"</formula>
    </cfRule>
    <cfRule type="cellIs" dxfId="266" priority="88" stopIfTrue="1" operator="equal">
      <formula>"-"</formula>
    </cfRule>
  </conditionalFormatting>
  <conditionalFormatting sqref="C52">
    <cfRule type="cellIs" dxfId="265" priority="57" stopIfTrue="1" operator="equal">
      <formula>"tbd"</formula>
    </cfRule>
    <cfRule type="cellIs" dxfId="264" priority="56" stopIfTrue="1" operator="equal">
      <formula>"-"</formula>
    </cfRule>
    <cfRule type="cellIs" dxfId="263" priority="55" stopIfTrue="1" operator="equal">
      <formula>"tbd"</formula>
    </cfRule>
    <cfRule type="cellIs" dxfId="262" priority="54" stopIfTrue="1" operator="equal">
      <formula>"-"</formula>
    </cfRule>
  </conditionalFormatting>
  <conditionalFormatting sqref="C8:D8 F8:I20 C12:C18 C20:C22 I21:I23 F21:H29 C24 C28 I30 C30:C33 A30:B34 F30:G38 H30:H40 I32:I40 B35:B36 C37 A37:B43 B44:B45 A44:A46 C44:C46 M45:M51 F53:G53 B54 F44:H52 F39:F41">
    <cfRule type="cellIs" dxfId="261" priority="235" stopIfTrue="1" operator="equal">
      <formula>"tbd"</formula>
    </cfRule>
  </conditionalFormatting>
  <conditionalFormatting sqref="D9:D52">
    <cfRule type="cellIs" dxfId="260" priority="1" stopIfTrue="1" operator="equal">
      <formula>"-"</formula>
    </cfRule>
    <cfRule type="cellIs" dxfId="259" priority="2" stopIfTrue="1" operator="equal">
      <formula>"tbd"</formula>
    </cfRule>
  </conditionalFormatting>
  <conditionalFormatting sqref="E8 H53:H54">
    <cfRule type="cellIs" dxfId="258" priority="299" stopIfTrue="1" operator="equal">
      <formula>"tbd"</formula>
    </cfRule>
  </conditionalFormatting>
  <conditionalFormatting sqref="E8:E29 F9 E38 E40:E42 E44:E47 E53">
    <cfRule type="cellIs" dxfId="257" priority="242" stopIfTrue="1" operator="equal">
      <formula>"No"</formula>
    </cfRule>
    <cfRule type="cellIs" dxfId="256" priority="241" stopIfTrue="1" operator="equal">
      <formula>"TBD"</formula>
    </cfRule>
    <cfRule type="cellIs" dxfId="255" priority="240" stopIfTrue="1" operator="equal">
      <formula>"N/A"</formula>
    </cfRule>
  </conditionalFormatting>
  <conditionalFormatting sqref="E21:E22">
    <cfRule type="cellIs" dxfId="254" priority="77" stopIfTrue="1" operator="equal">
      <formula>"tbd"</formula>
    </cfRule>
    <cfRule type="cellIs" dxfId="253" priority="74" stopIfTrue="1" operator="equal">
      <formula>"-"</formula>
    </cfRule>
    <cfRule type="cellIs" dxfId="252" priority="75" stopIfTrue="1" operator="equal">
      <formula>"tbd"</formula>
    </cfRule>
    <cfRule type="cellIs" dxfId="251" priority="76" stopIfTrue="1" operator="equal">
      <formula>"-"</formula>
    </cfRule>
  </conditionalFormatting>
  <conditionalFormatting sqref="E25:E26">
    <cfRule type="cellIs" dxfId="250" priority="27" stopIfTrue="1" operator="equal">
      <formula>"tbd"</formula>
    </cfRule>
    <cfRule type="cellIs" dxfId="249" priority="24" stopIfTrue="1" operator="equal">
      <formula>"-"</formula>
    </cfRule>
    <cfRule type="cellIs" dxfId="248" priority="25" stopIfTrue="1" operator="equal">
      <formula>"tbd"</formula>
    </cfRule>
    <cfRule type="cellIs" dxfId="247" priority="26" stopIfTrue="1" operator="equal">
      <formula>"-"</formula>
    </cfRule>
  </conditionalFormatting>
  <conditionalFormatting sqref="E30:E37">
    <cfRule type="cellIs" dxfId="246" priority="70" stopIfTrue="1" operator="equal">
      <formula>"-"</formula>
    </cfRule>
    <cfRule type="cellIs" dxfId="245" priority="71" stopIfTrue="1" operator="equal">
      <formula>"tbd"</formula>
    </cfRule>
    <cfRule type="cellIs" dxfId="244" priority="72" stopIfTrue="1" operator="equal">
      <formula>"-"</formula>
    </cfRule>
    <cfRule type="cellIs" dxfId="243" priority="73" stopIfTrue="1" operator="equal">
      <formula>"tbd"</formula>
    </cfRule>
  </conditionalFormatting>
  <conditionalFormatting sqref="E39">
    <cfRule type="cellIs" dxfId="242" priority="64" stopIfTrue="1" operator="equal">
      <formula>"-"</formula>
    </cfRule>
    <cfRule type="cellIs" dxfId="241" priority="65" stopIfTrue="1" operator="equal">
      <formula>"tbd"</formula>
    </cfRule>
    <cfRule type="cellIs" dxfId="240" priority="66" stopIfTrue="1" operator="equal">
      <formula>"-"</formula>
    </cfRule>
    <cfRule type="cellIs" dxfId="239" priority="67" stopIfTrue="1" operator="equal">
      <formula>"tbd"</formula>
    </cfRule>
  </conditionalFormatting>
  <conditionalFormatting sqref="E39:E40">
    <cfRule type="cellIs" dxfId="238" priority="68" stopIfTrue="1" operator="equal">
      <formula>"-"</formula>
    </cfRule>
    <cfRule type="cellIs" dxfId="237" priority="69" stopIfTrue="1" operator="equal">
      <formula>"tbd"</formula>
    </cfRule>
  </conditionalFormatting>
  <conditionalFormatting sqref="E41">
    <cfRule type="cellIs" dxfId="236" priority="60" stopIfTrue="1" operator="equal">
      <formula>"-"</formula>
    </cfRule>
    <cfRule type="cellIs" dxfId="235" priority="61" stopIfTrue="1" operator="equal">
      <formula>"tbd"</formula>
    </cfRule>
    <cfRule type="cellIs" dxfId="234" priority="62" stopIfTrue="1" operator="equal">
      <formula>"-"</formula>
    </cfRule>
    <cfRule type="cellIs" dxfId="233" priority="63" stopIfTrue="1" operator="equal">
      <formula>"tbd"</formula>
    </cfRule>
  </conditionalFormatting>
  <conditionalFormatting sqref="E43">
    <cfRule type="cellIs" dxfId="232" priority="17" stopIfTrue="1" operator="equal">
      <formula>"No"</formula>
    </cfRule>
    <cfRule type="cellIs" dxfId="231" priority="15" stopIfTrue="1" operator="equal">
      <formula>"N/A"</formula>
    </cfRule>
    <cfRule type="cellIs" dxfId="230" priority="16" stopIfTrue="1" operator="equal">
      <formula>"TBD"</formula>
    </cfRule>
  </conditionalFormatting>
  <conditionalFormatting sqref="E44:E45">
    <cfRule type="cellIs" dxfId="229" priority="50" stopIfTrue="1" operator="equal">
      <formula>"-"</formula>
    </cfRule>
    <cfRule type="cellIs" dxfId="228" priority="53" stopIfTrue="1" operator="equal">
      <formula>"tbd"</formula>
    </cfRule>
    <cfRule type="cellIs" dxfId="227" priority="52" stopIfTrue="1" operator="equal">
      <formula>"-"</formula>
    </cfRule>
    <cfRule type="cellIs" dxfId="226" priority="51" stopIfTrue="1" operator="equal">
      <formula>"tbd"</formula>
    </cfRule>
  </conditionalFormatting>
  <conditionalFormatting sqref="E47">
    <cfRule type="cellIs" dxfId="225" priority="44" stopIfTrue="1" operator="equal">
      <formula>"-"</formula>
    </cfRule>
    <cfRule type="cellIs" dxfId="224" priority="43" stopIfTrue="1" operator="equal">
      <formula>"tbd"</formula>
    </cfRule>
  </conditionalFormatting>
  <conditionalFormatting sqref="E47:E52">
    <cfRule type="cellIs" dxfId="223" priority="42" stopIfTrue="1" operator="equal">
      <formula>"-"</formula>
    </cfRule>
    <cfRule type="cellIs" dxfId="222" priority="45" stopIfTrue="1" operator="equal">
      <formula>"tbd"</formula>
    </cfRule>
  </conditionalFormatting>
  <conditionalFormatting sqref="E48:E52">
    <cfRule type="cellIs" dxfId="221" priority="49" stopIfTrue="1" operator="equal">
      <formula>"tbd"</formula>
    </cfRule>
    <cfRule type="cellIs" dxfId="220" priority="48" stopIfTrue="1" operator="equal">
      <formula>"-"</formula>
    </cfRule>
  </conditionalFormatting>
  <conditionalFormatting sqref="E8:I20 I21:I23 E21:H29 I30 C30:C34 E30:G38 H30:H40 I32:I40 F39:F41 E41:I42 C44:C46 E44:H52 C53:I53 L29:L42 G40 C49:C52 M44">
    <cfRule type="cellIs" dxfId="219" priority="236" stopIfTrue="1" operator="equal">
      <formula>"-"</formula>
    </cfRule>
  </conditionalFormatting>
  <conditionalFormatting sqref="E8:I20 I21:I23 E21:H29 L29:L42 I30 C30:C34 E30:G38 H30:H40 I32:I40 F39:F41 G40 E41:I42 M44 C44:C46 E44:H52 C49:C52 C53:I53">
    <cfRule type="cellIs" dxfId="218" priority="237" stopIfTrue="1" operator="equal">
      <formula>"tbd"</formula>
    </cfRule>
  </conditionalFormatting>
  <conditionalFormatting sqref="E43:I43">
    <cfRule type="cellIs" dxfId="217" priority="11" stopIfTrue="1" operator="equal">
      <formula>"-"</formula>
    </cfRule>
    <cfRule type="cellIs" dxfId="216" priority="12" stopIfTrue="1" operator="equal">
      <formula>"tbd"</formula>
    </cfRule>
  </conditionalFormatting>
  <conditionalFormatting sqref="F27">
    <cfRule type="cellIs" dxfId="215" priority="173" stopIfTrue="1" operator="equal">
      <formula>"N/A"</formula>
    </cfRule>
    <cfRule type="cellIs" dxfId="214" priority="174" stopIfTrue="1" operator="equal">
      <formula>"TBD"</formula>
    </cfRule>
    <cfRule type="cellIs" dxfId="213" priority="175" stopIfTrue="1" operator="equal">
      <formula>"No"</formula>
    </cfRule>
  </conditionalFormatting>
  <conditionalFormatting sqref="F39:F43 M43">
    <cfRule type="cellIs" dxfId="212" priority="9" stopIfTrue="1" operator="equal">
      <formula>"-"</formula>
    </cfRule>
  </conditionalFormatting>
  <conditionalFormatting sqref="F43:G43">
    <cfRule type="cellIs" dxfId="211" priority="13" stopIfTrue="1" operator="equal">
      <formula>"-"</formula>
    </cfRule>
    <cfRule type="cellIs" dxfId="210" priority="14" stopIfTrue="1" operator="equal">
      <formula>"tbd"</formula>
    </cfRule>
  </conditionalFormatting>
  <conditionalFormatting sqref="F21:H29 C30:C33 C44:C46 C8:D8 F8:I20 C12:C18 C20:C22 I21:I23 C24 C28 I30 A30:B34 F30:G38 H30:H40 I32:I40 B35:B36 C37 A37:B43 B44:B45 A44:A46 M45:M51 F53:G53 B54">
    <cfRule type="cellIs" dxfId="209" priority="234" stopIfTrue="1" operator="equal">
      <formula>"-"</formula>
    </cfRule>
  </conditionalFormatting>
  <conditionalFormatting sqref="F44:H52">
    <cfRule type="cellIs" dxfId="208" priority="41" stopIfTrue="1" operator="equal">
      <formula>"-"</formula>
    </cfRule>
  </conditionalFormatting>
  <conditionalFormatting sqref="F20:I20 I21:I23 F21:H29 F30:G38 H30:I40 F39:F41 G40 F41:I42 F44:H52 L20">
    <cfRule type="cellIs" dxfId="207" priority="238" stopIfTrue="1" operator="equal">
      <formula>"-"</formula>
    </cfRule>
  </conditionalFormatting>
  <conditionalFormatting sqref="F20:I20 L20 I21:I23 F21:H29 F30:G38 H30:I40 F39:F41 G40 F41:I42 F44:H52">
    <cfRule type="cellIs" dxfId="206" priority="239" stopIfTrue="1" operator="equal">
      <formula>"tbd"</formula>
    </cfRule>
  </conditionalFormatting>
  <conditionalFormatting sqref="F41:I43 L43:M43">
    <cfRule type="cellIs" dxfId="205" priority="10" stopIfTrue="1" operator="equal">
      <formula>"tbd"</formula>
    </cfRule>
  </conditionalFormatting>
  <conditionalFormatting sqref="F41:I43">
    <cfRule type="cellIs" dxfId="204" priority="3" stopIfTrue="1" operator="equal">
      <formula>"-"</formula>
    </cfRule>
  </conditionalFormatting>
  <conditionalFormatting sqref="G39">
    <cfRule type="cellIs" dxfId="203" priority="171" stopIfTrue="1" operator="equal">
      <formula>"-"</formula>
    </cfRule>
    <cfRule type="cellIs" dxfId="202" priority="170" stopIfTrue="1" operator="equal">
      <formula>"tbd"</formula>
    </cfRule>
    <cfRule type="cellIs" dxfId="201" priority="169" stopIfTrue="1" operator="equal">
      <formula>"-"</formula>
    </cfRule>
    <cfRule type="cellIs" dxfId="200" priority="168" stopIfTrue="1" operator="equal">
      <formula>"tbd"</formula>
    </cfRule>
  </conditionalFormatting>
  <conditionalFormatting sqref="G39:G40">
    <cfRule type="cellIs" dxfId="199" priority="167" stopIfTrue="1" operator="equal">
      <formula>"-"</formula>
    </cfRule>
    <cfRule type="cellIs" dxfId="198" priority="172" stopIfTrue="1" operator="equal">
      <formula>"tbd"</formula>
    </cfRule>
  </conditionalFormatting>
  <conditionalFormatting sqref="H44:H48">
    <cfRule type="cellIs" dxfId="197" priority="34" stopIfTrue="1" operator="equal">
      <formula>"-"</formula>
    </cfRule>
  </conditionalFormatting>
  <conditionalFormatting sqref="H53:H54 E8">
    <cfRule type="cellIs" dxfId="196" priority="298" stopIfTrue="1" operator="equal">
      <formula>"-"</formula>
    </cfRule>
  </conditionalFormatting>
  <conditionalFormatting sqref="H53:H54">
    <cfRule type="cellIs" dxfId="195" priority="246" stopIfTrue="1" operator="equal">
      <formula>"-"</formula>
    </cfRule>
    <cfRule type="cellIs" dxfId="194" priority="247" stopIfTrue="1" operator="equal">
      <formula>"tbd"</formula>
    </cfRule>
  </conditionalFormatting>
  <conditionalFormatting sqref="I24:I29">
    <cfRule type="cellIs" dxfId="193" priority="126" stopIfTrue="1" operator="equal">
      <formula>"-"</formula>
    </cfRule>
    <cfRule type="cellIs" dxfId="192" priority="125" stopIfTrue="1" operator="equal">
      <formula>"tbd"</formula>
    </cfRule>
    <cfRule type="cellIs" dxfId="191" priority="124" stopIfTrue="1" operator="equal">
      <formula>"-"</formula>
    </cfRule>
  </conditionalFormatting>
  <conditionalFormatting sqref="I30:I31">
    <cfRule type="cellIs" dxfId="190" priority="273" stopIfTrue="1" operator="equal">
      <formula>"-"</formula>
    </cfRule>
  </conditionalFormatting>
  <conditionalFormatting sqref="I44">
    <cfRule type="cellIs" dxfId="189" priority="28" stopIfTrue="1" operator="equal">
      <formula>"-"</formula>
    </cfRule>
    <cfRule type="cellIs" dxfId="188" priority="29" stopIfTrue="1" operator="equal">
      <formula>"tbd"</formula>
    </cfRule>
    <cfRule type="cellIs" dxfId="187" priority="31" stopIfTrue="1" operator="equal">
      <formula>"tbd"</formula>
    </cfRule>
    <cfRule type="cellIs" dxfId="186" priority="30" stopIfTrue="1" operator="equal">
      <formula>"-"</formula>
    </cfRule>
  </conditionalFormatting>
  <conditionalFormatting sqref="I44:I45">
    <cfRule type="cellIs" dxfId="185" priority="33" stopIfTrue="1" operator="equal">
      <formula>"tbd"</formula>
    </cfRule>
    <cfRule type="cellIs" dxfId="184" priority="32" stopIfTrue="1" operator="equal">
      <formula>"-"</formula>
    </cfRule>
  </conditionalFormatting>
  <conditionalFormatting sqref="I45:I51">
    <cfRule type="cellIs" dxfId="183" priority="123" stopIfTrue="1" operator="equal">
      <formula>"-"</formula>
    </cfRule>
  </conditionalFormatting>
  <conditionalFormatting sqref="I46:I48">
    <cfRule type="cellIs" dxfId="182" priority="281" stopIfTrue="1" operator="equal">
      <formula>"tbd"</formula>
    </cfRule>
    <cfRule type="cellIs" dxfId="181" priority="282" stopIfTrue="1" operator="equal">
      <formula>"-"</formula>
    </cfRule>
  </conditionalFormatting>
  <conditionalFormatting sqref="I49:I51">
    <cfRule type="cellIs" dxfId="180" priority="121" stopIfTrue="1" operator="equal">
      <formula>"-"</formula>
    </cfRule>
    <cfRule type="cellIs" dxfId="179" priority="122" stopIfTrue="1" operator="equal">
      <formula>"tbd"</formula>
    </cfRule>
  </conditionalFormatting>
  <conditionalFormatting sqref="I52:K52">
    <cfRule type="cellIs" dxfId="178" priority="39" stopIfTrue="1" operator="equal">
      <formula>"-"</formula>
    </cfRule>
    <cfRule type="cellIs" dxfId="177" priority="36" stopIfTrue="1" operator="equal">
      <formula>"tbd"</formula>
    </cfRule>
    <cfRule type="cellIs" dxfId="176" priority="37" stopIfTrue="1" operator="equal">
      <formula>"-"</formula>
    </cfRule>
    <cfRule type="cellIs" dxfId="175" priority="38" stopIfTrue="1" operator="equal">
      <formula>"tbd"</formula>
    </cfRule>
  </conditionalFormatting>
  <conditionalFormatting sqref="I52:M53">
    <cfRule type="cellIs" dxfId="174" priority="40" stopIfTrue="1" operator="equal">
      <formula>"tbd"</formula>
    </cfRule>
    <cfRule type="cellIs" dxfId="173" priority="35" stopIfTrue="1" operator="equal">
      <formula>"-"</formula>
    </cfRule>
  </conditionalFormatting>
  <conditionalFormatting sqref="J39">
    <cfRule type="cellIs" dxfId="172" priority="153" stopIfTrue="1" operator="equal">
      <formula>"-"</formula>
    </cfRule>
    <cfRule type="cellIs" dxfId="171" priority="215" stopIfTrue="1" operator="equal">
      <formula>"tbd"</formula>
    </cfRule>
  </conditionalFormatting>
  <conditionalFormatting sqref="J8:K31 J35:K38 J40:K42 J44:L51 J53:K54">
    <cfRule type="cellIs" dxfId="170" priority="231" stopIfTrue="1" operator="equal">
      <formula>"tbd"</formula>
    </cfRule>
  </conditionalFormatting>
  <conditionalFormatting sqref="J8:K38">
    <cfRule type="cellIs" dxfId="169" priority="23" stopIfTrue="1" operator="equal">
      <formula>"tbd"</formula>
    </cfRule>
  </conditionalFormatting>
  <conditionalFormatting sqref="J32:K34">
    <cfRule type="cellIs" dxfId="168" priority="22" stopIfTrue="1" operator="equal">
      <formula>"-"</formula>
    </cfRule>
    <cfRule type="cellIs" dxfId="167" priority="21" stopIfTrue="1" operator="equal">
      <formula>"tbd"</formula>
    </cfRule>
    <cfRule type="cellIs" dxfId="166" priority="20" stopIfTrue="1" operator="equal">
      <formula>"-"</formula>
    </cfRule>
    <cfRule type="cellIs" dxfId="165" priority="19" stopIfTrue="1" operator="equal">
      <formula>"tbd"</formula>
    </cfRule>
  </conditionalFormatting>
  <conditionalFormatting sqref="J39:K42">
    <cfRule type="cellIs" dxfId="164" priority="130" stopIfTrue="1" operator="equal">
      <formula>"tbd"</formula>
    </cfRule>
  </conditionalFormatting>
  <conditionalFormatting sqref="J43:K51">
    <cfRule type="cellIs" dxfId="163" priority="8" stopIfTrue="1" operator="equal">
      <formula>"tbd"</formula>
    </cfRule>
  </conditionalFormatting>
  <conditionalFormatting sqref="J54:K54">
    <cfRule type="cellIs" dxfId="162" priority="245" stopIfTrue="1" operator="equal">
      <formula>"-"</formula>
    </cfRule>
  </conditionalFormatting>
  <conditionalFormatting sqref="J8:L27">
    <cfRule type="cellIs" dxfId="161" priority="233" stopIfTrue="1" operator="equal">
      <formula>"tbd"</formula>
    </cfRule>
    <cfRule type="cellIs" dxfId="160" priority="232" stopIfTrue="1" operator="equal">
      <formula>"-"</formula>
    </cfRule>
  </conditionalFormatting>
  <conditionalFormatting sqref="J43:L43">
    <cfRule type="cellIs" dxfId="159" priority="7" stopIfTrue="1" operator="equal">
      <formula>"-"</formula>
    </cfRule>
    <cfRule type="cellIs" dxfId="158" priority="5" stopIfTrue="1" operator="equal">
      <formula>"tbd"</formula>
    </cfRule>
  </conditionalFormatting>
  <conditionalFormatting sqref="J43:L51">
    <cfRule type="cellIs" dxfId="157" priority="4" stopIfTrue="1" operator="equal">
      <formula>"-"</formula>
    </cfRule>
  </conditionalFormatting>
  <conditionalFormatting sqref="J44:L51 J40:K42 J53:K54 J8:K31 J35:K38">
    <cfRule type="cellIs" dxfId="156" priority="230" stopIfTrue="1" operator="equal">
      <formula>"-"</formula>
    </cfRule>
  </conditionalFormatting>
  <conditionalFormatting sqref="J8:M42">
    <cfRule type="cellIs" dxfId="155" priority="18" stopIfTrue="1" operator="equal">
      <formula>"-"</formula>
    </cfRule>
  </conditionalFormatting>
  <conditionalFormatting sqref="K39">
    <cfRule type="cellIs" dxfId="154" priority="129" stopIfTrue="1" operator="equal">
      <formula>"-"</formula>
    </cfRule>
    <cfRule type="cellIs" dxfId="153" priority="128" stopIfTrue="1" operator="equal">
      <formula>"tbd"</formula>
    </cfRule>
  </conditionalFormatting>
  <conditionalFormatting sqref="L44:L53 L8:M42">
    <cfRule type="cellIs" dxfId="152" priority="203" stopIfTrue="1" operator="equal">
      <formula>"tbd"</formula>
    </cfRule>
  </conditionalFormatting>
  <conditionalFormatting sqref="L52:L53">
    <cfRule type="cellIs" dxfId="151" priority="202" stopIfTrue="1" operator="equal">
      <formula>"-"</formula>
    </cfRule>
  </conditionalFormatting>
  <conditionalFormatting sqref="N20">
    <cfRule type="expression" dxfId="150" priority="190">
      <formula>$E$20=""</formula>
    </cfRule>
    <cfRule type="expression" dxfId="149" priority="195">
      <formula>$E$20="N"</formula>
    </cfRule>
  </conditionalFormatting>
  <conditionalFormatting sqref="N21:N23">
    <cfRule type="expression" dxfId="148" priority="176">
      <formula>$E$38=""</formula>
    </cfRule>
    <cfRule type="expression" dxfId="147" priority="177">
      <formula>$E$38="N"</formula>
    </cfRule>
  </conditionalFormatting>
  <conditionalFormatting sqref="N24">
    <cfRule type="expression" dxfId="146" priority="189">
      <formula>$E$24=""</formula>
    </cfRule>
    <cfRule type="expression" dxfId="145" priority="193">
      <formula>$E$24="N"</formula>
    </cfRule>
  </conditionalFormatting>
  <conditionalFormatting sqref="N25">
    <cfRule type="expression" dxfId="144" priority="178">
      <formula>$E$38=""</formula>
    </cfRule>
    <cfRule type="expression" dxfId="143" priority="179">
      <formula>$E$38="N"</formula>
    </cfRule>
  </conditionalFormatting>
  <conditionalFormatting sqref="N30:N31">
    <cfRule type="expression" dxfId="142" priority="188">
      <formula>$C$30=""</formula>
    </cfRule>
    <cfRule type="expression" dxfId="141" priority="194">
      <formula>$C$30="N"</formula>
    </cfRule>
  </conditionalFormatting>
  <conditionalFormatting sqref="N40">
    <cfRule type="expression" dxfId="140" priority="191">
      <formula>$E$40="N"</formula>
    </cfRule>
    <cfRule type="expression" dxfId="139" priority="186">
      <formula>$E$40=""</formula>
    </cfRule>
  </conditionalFormatting>
  <dataValidations count="5">
    <dataValidation type="list" allowBlank="1" showInputMessage="1" showErrorMessage="1" sqref="M44:M45 M49:M53" xr:uid="{00000000-0002-0000-0300-000000000000}">
      <formula1>"○,N/A,-,tbd"</formula1>
    </dataValidation>
    <dataValidation type="list" allowBlank="1" showInputMessage="1" showErrorMessage="1" sqref="C53 F53 I53:K53" xr:uid="{00000000-0002-0000-0300-000001000000}">
      <formula1>"Y,N,TBD"</formula1>
    </dataValidation>
    <dataValidation type="list" allowBlank="1" showInputMessage="1" showErrorMessage="1" sqref="J54:K54" xr:uid="{00000000-0002-0000-0300-000003000000}">
      <formula1>"Level1,Level2,N,DOI,TBD"</formula1>
    </dataValidation>
    <dataValidation type="list" allowBlank="1" showInputMessage="1" showErrorMessage="1" sqref="B66" xr:uid="{00000000-0002-0000-0300-000004000000}">
      <formula1>"模式1,模式2,模式3 (0x04),..."</formula1>
    </dataValidation>
    <dataValidation type="list" allowBlank="1" showInputMessage="1" showErrorMessage="1" sqref="G2:G3 G53:G89 G95:G1048576" xr:uid="{00000000-0002-0000-0300-000005000000}">
      <formula1>$B$90:$B$96</formula1>
    </dataValidation>
  </dataValidations>
  <hyperlinks>
    <hyperlink ref="D40" location="Snapshot!A1" display="0x04 ReportDTCSnapshotRecordByDTCNumber_x000a_0x04 通过DTC报告Snapshot的记录" xr:uid="{00000000-0004-0000-0300-000000000000}"/>
    <hyperlink ref="D41" location="ExtendedData!A1" display="0x06 ReportDTCExtendedDataRecordByDTCNumber_x000a_0x06 通过DTC报告扩展数据记录" xr:uid="{00000000-0004-0000-0300-000001000000}"/>
    <hyperlink ref="A44" location="DTCInfo!A1" display="0x14" xr:uid="{00000000-0004-0000-0300-000002000000}"/>
    <hyperlink ref="A34" location="'2AService'!A1" display="0x2A" xr:uid="{00000000-0004-0000-0300-000003000000}"/>
    <hyperlink ref="A32" location="'23_3DService'!A1" display="0x23" xr:uid="{00000000-0004-0000-0300-000004000000}"/>
    <hyperlink ref="L6:L7" location="NRC!A1" display="Support Customized NRC_x000a_支持的自定义否定响应码" xr:uid="{00000000-0004-0000-0300-000005000000}"/>
    <hyperlink ref="A46:A48" location="'31Service'!A1" display="0x31" xr:uid="{00000000-0004-0000-0300-000006000000}"/>
    <hyperlink ref="A45" location="'2FService'!A1" display="0x2F" xr:uid="{00000000-0004-0000-0300-000007000000}"/>
    <hyperlink ref="A30" location="DIDData!A1" display="0x22" xr:uid="{00000000-0004-0000-0300-000008000000}"/>
    <hyperlink ref="A12:A15" location="'27Service'!A1" display="0x27" xr:uid="{00000000-0004-0000-0300-000009000000}"/>
    <hyperlink ref="A24:A27" location="'28Service'!A1" display="0x28" xr:uid="{00000000-0004-0000-0300-00000A000000}"/>
    <hyperlink ref="A31" location="DIDData!A1" display="0x2E" xr:uid="{00000000-0004-0000-0300-00000B000000}"/>
    <hyperlink ref="A33" location="'23_3DService'!A1" display="0x3D" xr:uid="{00000000-0004-0000-0300-00000C000000}"/>
  </hyperlinks>
  <pageMargins left="0.69930555555555596" right="0.69930555555555596" top="0.75" bottom="0.75" header="0.3" footer="0.3"/>
  <pageSetup paperSize="9" orientation="landscape" r:id="rId1"/>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6000000}">
          <x14:formula1>
            <xm:f>Cover!$W$1:$W$3</xm:f>
          </x14:formula1>
          <xm:sqref>E46 J8:K31 E8:F11 E27:E29 F20:F29 E12:E20 J35:K38 E38 E40 F35:F42 E53 E23:E24 J44:K51 C8:C51 J40:K42 E42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工作表6"/>
  <dimension ref="A1:N19"/>
  <sheetViews>
    <sheetView topLeftCell="G1" zoomScaleNormal="100" workbookViewId="0">
      <selection activeCell="J25" sqref="J25"/>
    </sheetView>
  </sheetViews>
  <sheetFormatPr defaultColWidth="9" defaultRowHeight="15"/>
  <cols>
    <col min="1" max="1" width="8.875" style="48" customWidth="1"/>
    <col min="2" max="2" width="26" style="48" customWidth="1"/>
    <col min="3" max="3" width="34.5" style="48" customWidth="1"/>
    <col min="4" max="4" width="14" style="48" customWidth="1"/>
    <col min="5" max="5" width="13" style="48" customWidth="1"/>
    <col min="6" max="6" width="14.75" style="48" customWidth="1"/>
    <col min="7" max="7" width="34.5" style="48" bestFit="1" customWidth="1"/>
    <col min="8" max="8" width="35.5" style="48" bestFit="1" customWidth="1"/>
    <col min="9" max="9" width="34.625" style="48" bestFit="1" customWidth="1"/>
    <col min="10" max="10" width="38.375" style="48" bestFit="1" customWidth="1"/>
    <col min="11" max="11" width="35.375" style="48" bestFit="1" customWidth="1"/>
    <col min="12" max="12" width="32.25" style="48" customWidth="1"/>
    <col min="13" max="13" width="5.625" style="48" bestFit="1" customWidth="1"/>
    <col min="14" max="16384" width="9" style="48"/>
  </cols>
  <sheetData>
    <row r="1" spans="1:14" ht="19.5" customHeight="1">
      <c r="A1" s="121" t="s">
        <v>0</v>
      </c>
      <c r="B1" s="49"/>
      <c r="C1" s="49"/>
      <c r="D1" s="49"/>
      <c r="E1" s="49"/>
      <c r="F1" s="49"/>
    </row>
    <row r="2" spans="1:14" ht="15.75">
      <c r="A2" s="873" t="s">
        <v>550</v>
      </c>
      <c r="B2" s="873"/>
      <c r="C2" s="873"/>
      <c r="D2" s="873"/>
      <c r="E2" s="873"/>
      <c r="F2" s="873"/>
    </row>
    <row r="3" spans="1:14" ht="15.75">
      <c r="A3" s="874"/>
      <c r="B3" s="874"/>
      <c r="C3" s="874"/>
      <c r="D3" s="874"/>
      <c r="E3" s="874"/>
      <c r="F3" s="874"/>
    </row>
    <row r="4" spans="1:14" ht="9" customHeight="1">
      <c r="A4" s="888" t="s">
        <v>2</v>
      </c>
      <c r="B4" s="888" t="s">
        <v>460</v>
      </c>
      <c r="C4" s="888" t="s">
        <v>462</v>
      </c>
      <c r="D4" s="888" t="s">
        <v>551</v>
      </c>
      <c r="E4" s="888"/>
      <c r="F4" s="891" t="s">
        <v>470</v>
      </c>
      <c r="G4" s="875" t="s">
        <v>552</v>
      </c>
      <c r="H4" s="875"/>
      <c r="I4" s="875"/>
      <c r="J4" s="875"/>
      <c r="K4" s="875"/>
      <c r="L4" s="875"/>
      <c r="M4" s="875"/>
      <c r="N4" s="875"/>
    </row>
    <row r="5" spans="1:14" s="18" customFormat="1" ht="33" customHeight="1">
      <c r="A5" s="888"/>
      <c r="B5" s="888"/>
      <c r="C5" s="888"/>
      <c r="D5" s="890"/>
      <c r="E5" s="890"/>
      <c r="F5" s="891"/>
      <c r="G5" s="251" t="s">
        <v>553</v>
      </c>
      <c r="H5" s="553" t="s">
        <v>554</v>
      </c>
      <c r="I5" s="251" t="s">
        <v>555</v>
      </c>
      <c r="J5" s="251" t="s">
        <v>556</v>
      </c>
      <c r="K5" s="251" t="s">
        <v>557</v>
      </c>
      <c r="L5" s="553" t="s">
        <v>554</v>
      </c>
      <c r="M5" s="56"/>
      <c r="N5" s="56"/>
    </row>
    <row r="6" spans="1:14" s="18" customFormat="1" ht="38.25" customHeight="1" thickBot="1">
      <c r="A6" s="889"/>
      <c r="B6" s="890"/>
      <c r="C6" s="890"/>
      <c r="D6" s="56" t="s">
        <v>558</v>
      </c>
      <c r="E6" s="56" t="s">
        <v>559</v>
      </c>
      <c r="F6" s="892"/>
      <c r="G6" s="56" t="s">
        <v>560</v>
      </c>
      <c r="H6" s="56" t="s">
        <v>561</v>
      </c>
      <c r="I6" s="56" t="s">
        <v>562</v>
      </c>
      <c r="J6" s="86" t="s">
        <v>563</v>
      </c>
      <c r="K6" s="86" t="s">
        <v>564</v>
      </c>
      <c r="L6" s="86" t="s">
        <v>565</v>
      </c>
      <c r="M6" s="86"/>
      <c r="N6" s="86"/>
    </row>
    <row r="7" spans="1:14" s="18" customFormat="1" ht="27" customHeight="1">
      <c r="A7" s="885" t="s">
        <v>481</v>
      </c>
      <c r="B7" s="878" t="s">
        <v>482</v>
      </c>
      <c r="C7" s="37" t="str">
        <f>IF(Services!D12="","",Services!D12)</f>
        <v>0x01 requestSeed (Level 1)</v>
      </c>
      <c r="D7" s="24" t="s">
        <v>566</v>
      </c>
      <c r="E7" s="33"/>
      <c r="F7" s="23" t="s">
        <v>567</v>
      </c>
      <c r="G7" s="149"/>
      <c r="H7" s="149"/>
      <c r="I7" s="149"/>
      <c r="J7" s="149"/>
      <c r="K7" s="149"/>
      <c r="L7" s="149"/>
      <c r="M7" s="149"/>
      <c r="N7" s="149"/>
    </row>
    <row r="8" spans="1:14" s="18" customFormat="1" ht="27.75" customHeight="1">
      <c r="A8" s="886"/>
      <c r="B8" s="878"/>
      <c r="C8" s="37" t="str">
        <f>IF(Services!D13="","",Services!D13)</f>
        <v>0x02 sendKey (Level 1)</v>
      </c>
      <c r="D8" s="33"/>
      <c r="E8" s="24" t="s">
        <v>566</v>
      </c>
      <c r="F8" s="23"/>
      <c r="G8" s="149"/>
      <c r="H8" s="149"/>
      <c r="I8" s="149"/>
      <c r="J8" s="149"/>
      <c r="K8" s="149"/>
      <c r="L8" s="149"/>
      <c r="M8" s="149"/>
      <c r="N8" s="149"/>
    </row>
    <row r="9" spans="1:14" s="18" customFormat="1" ht="29.25" customHeight="1">
      <c r="A9" s="886"/>
      <c r="B9" s="878"/>
      <c r="C9" s="37" t="str">
        <f>IF(Services!D14="","",Services!D14)</f>
        <v>0x03 requestSeed (Level 3)</v>
      </c>
      <c r="D9" s="24" t="s">
        <v>566</v>
      </c>
      <c r="E9" s="33" t="s">
        <v>15</v>
      </c>
      <c r="F9" s="23" t="s">
        <v>567</v>
      </c>
      <c r="G9" s="149"/>
      <c r="H9" s="149"/>
      <c r="I9" s="149"/>
      <c r="J9" s="149"/>
      <c r="K9" s="149"/>
      <c r="L9" s="149"/>
      <c r="M9" s="149"/>
      <c r="N9" s="149"/>
    </row>
    <row r="10" spans="1:14" s="18" customFormat="1" ht="29.25" customHeight="1">
      <c r="A10" s="886"/>
      <c r="B10" s="878"/>
      <c r="C10" s="37" t="str">
        <f>IF(Services!D15="","",Services!D15)</f>
        <v>0x04 sendKey (Level 3)</v>
      </c>
      <c r="D10" s="33"/>
      <c r="E10" s="24" t="s">
        <v>566</v>
      </c>
      <c r="F10" s="23" t="s">
        <v>15</v>
      </c>
      <c r="G10" s="149"/>
      <c r="H10" s="149"/>
      <c r="I10" s="149"/>
      <c r="J10" s="149"/>
      <c r="K10" s="149"/>
      <c r="L10" s="149"/>
      <c r="M10" s="149"/>
      <c r="N10" s="149"/>
    </row>
    <row r="11" spans="1:14" s="18" customFormat="1" ht="29.25" customHeight="1">
      <c r="A11" s="886"/>
      <c r="B11" s="878"/>
      <c r="C11" s="37" t="str">
        <f>IF(Services!D16="","",Services!D16)</f>
        <v>0x05 requestSeed (Level 5)</v>
      </c>
      <c r="D11" s="24"/>
      <c r="E11" s="33"/>
      <c r="F11" s="23" t="s">
        <v>15</v>
      </c>
      <c r="G11" s="149"/>
      <c r="H11" s="149"/>
      <c r="I11" s="149"/>
      <c r="J11" s="149"/>
      <c r="K11" s="149"/>
      <c r="L11" s="149"/>
      <c r="M11" s="149"/>
      <c r="N11" s="149"/>
    </row>
    <row r="12" spans="1:14" s="18" customFormat="1" ht="29.25" customHeight="1">
      <c r="A12" s="886"/>
      <c r="B12" s="878"/>
      <c r="C12" s="37" t="str">
        <f>IF(Services!D17="","",Services!D17)</f>
        <v>0x06 sendKey (Level 5)</v>
      </c>
      <c r="D12" s="33" t="s">
        <v>15</v>
      </c>
      <c r="E12" s="24" t="s">
        <v>15</v>
      </c>
      <c r="F12" s="23" t="s">
        <v>15</v>
      </c>
      <c r="G12" s="149"/>
      <c r="H12" s="149"/>
      <c r="I12" s="149"/>
      <c r="J12" s="149"/>
      <c r="K12" s="149"/>
      <c r="L12" s="149"/>
      <c r="M12" s="149"/>
      <c r="N12" s="149"/>
    </row>
    <row r="13" spans="1:14" s="18" customFormat="1" ht="29.25" customHeight="1">
      <c r="A13" s="886"/>
      <c r="B13" s="878"/>
      <c r="C13" s="32" t="str">
        <f>IF(Services!D18="","",Services!D18)</f>
        <v/>
      </c>
      <c r="D13" s="24" t="s">
        <v>15</v>
      </c>
      <c r="E13" s="33" t="s">
        <v>15</v>
      </c>
      <c r="F13" s="23"/>
      <c r="G13" s="149"/>
      <c r="H13" s="149"/>
      <c r="I13" s="149"/>
      <c r="J13" s="149"/>
      <c r="K13" s="149"/>
      <c r="L13" s="149"/>
      <c r="M13" s="149"/>
      <c r="N13" s="149"/>
    </row>
    <row r="14" spans="1:14" s="18" customFormat="1" ht="28.5" customHeight="1">
      <c r="A14" s="886"/>
      <c r="B14" s="887"/>
      <c r="C14" s="173" t="str">
        <f>IF(Services!D19="","",Services!D19)</f>
        <v/>
      </c>
      <c r="D14" s="174" t="s">
        <v>15</v>
      </c>
      <c r="E14" s="175" t="s">
        <v>15</v>
      </c>
      <c r="F14" s="172"/>
      <c r="G14" s="176"/>
      <c r="H14" s="176"/>
      <c r="I14" s="176"/>
      <c r="J14" s="176"/>
      <c r="K14" s="176"/>
      <c r="L14" s="176"/>
      <c r="M14" s="176"/>
      <c r="N14" s="176"/>
    </row>
    <row r="15" spans="1:14" s="18" customFormat="1" ht="11.25">
      <c r="A15" s="149" t="s">
        <v>568</v>
      </c>
      <c r="B15" s="884"/>
      <c r="C15" s="884"/>
      <c r="D15" s="884"/>
      <c r="E15" s="884"/>
      <c r="F15" s="884"/>
      <c r="G15" s="250" t="s">
        <v>569</v>
      </c>
      <c r="H15" s="250" t="s">
        <v>570</v>
      </c>
      <c r="I15" s="250" t="s">
        <v>571</v>
      </c>
      <c r="J15" s="250" t="s">
        <v>572</v>
      </c>
      <c r="K15" s="250" t="s">
        <v>573</v>
      </c>
      <c r="L15" s="149" t="s">
        <v>574</v>
      </c>
      <c r="M15" s="149"/>
      <c r="N15" s="149"/>
    </row>
    <row r="16" spans="1:14" s="18" customFormat="1" ht="11.25">
      <c r="A16" s="149" t="s">
        <v>575</v>
      </c>
      <c r="B16" s="884"/>
      <c r="C16" s="884"/>
      <c r="D16" s="884"/>
      <c r="E16" s="884"/>
      <c r="F16" s="884"/>
      <c r="G16" s="250" t="s">
        <v>576</v>
      </c>
      <c r="H16" s="250" t="s">
        <v>577</v>
      </c>
      <c r="I16" s="250" t="s">
        <v>578</v>
      </c>
      <c r="J16" s="250" t="s">
        <v>579</v>
      </c>
      <c r="K16" s="250" t="s">
        <v>580</v>
      </c>
      <c r="L16" s="149" t="s">
        <v>581</v>
      </c>
      <c r="M16" s="149"/>
      <c r="N16" s="149"/>
    </row>
    <row r="17" spans="1:14" s="18" customFormat="1" ht="11.25">
      <c r="A17" s="149" t="s">
        <v>582</v>
      </c>
      <c r="B17" s="884"/>
      <c r="C17" s="884"/>
      <c r="D17" s="884"/>
      <c r="E17" s="884"/>
      <c r="F17" s="884"/>
      <c r="G17" s="250" t="s">
        <v>583</v>
      </c>
      <c r="H17" s="250" t="s">
        <v>584</v>
      </c>
      <c r="I17" s="250" t="s">
        <v>585</v>
      </c>
      <c r="J17" s="250" t="s">
        <v>586</v>
      </c>
      <c r="K17" s="250" t="s">
        <v>587</v>
      </c>
      <c r="L17" s="149" t="s">
        <v>588</v>
      </c>
      <c r="M17" s="149"/>
      <c r="N17" s="149"/>
    </row>
    <row r="19" spans="1:14">
      <c r="B19" s="25"/>
    </row>
  </sheetData>
  <sheetProtection formatCells="0" formatColumns="0" formatRows="0"/>
  <mergeCells count="13">
    <mergeCell ref="G4:N4"/>
    <mergeCell ref="A4:A6"/>
    <mergeCell ref="B4:B6"/>
    <mergeCell ref="C4:C6"/>
    <mergeCell ref="D4:E5"/>
    <mergeCell ref="F4:F6"/>
    <mergeCell ref="B17:F17"/>
    <mergeCell ref="B15:F15"/>
    <mergeCell ref="B16:F16"/>
    <mergeCell ref="A2:F2"/>
    <mergeCell ref="A3:F3"/>
    <mergeCell ref="A7:A14"/>
    <mergeCell ref="B7:B14"/>
  </mergeCells>
  <phoneticPr fontId="28" type="noConversion"/>
  <conditionalFormatting sqref="C7:F14 B19">
    <cfRule type="cellIs" dxfId="138" priority="2" stopIfTrue="1" operator="equal">
      <formula>"-"</formula>
    </cfRule>
    <cfRule type="cellIs" dxfId="137" priority="3" stopIfTrue="1" operator="equal">
      <formula>"tbd"</formula>
    </cfRule>
  </conditionalFormatting>
  <conditionalFormatting sqref="D7:E14">
    <cfRule type="cellIs" dxfId="136" priority="4" stopIfTrue="1" operator="equal">
      <formula>"-"</formula>
    </cfRule>
    <cfRule type="cellIs" dxfId="135" priority="5" stopIfTrue="1" operator="equal">
      <formula>"tbd"</formula>
    </cfRule>
  </conditionalFormatting>
  <conditionalFormatting sqref="G4">
    <cfRule type="cellIs" dxfId="134" priority="1" stopIfTrue="1" operator="equal">
      <formula>"tbd"</formula>
    </cfRule>
  </conditionalFormatting>
  <hyperlinks>
    <hyperlink ref="A1" location="_0x27" display="Return" xr:uid="{00000000-0004-0000-0400-000000000000}"/>
  </hyperlinks>
  <pageMargins left="0.69930555555555596" right="0.69930555555555596" top="0.75" bottom="0.75" header="0.3" footer="0.3"/>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工作表7"/>
  <dimension ref="A1:G12"/>
  <sheetViews>
    <sheetView zoomScale="115" zoomScaleNormal="115" workbookViewId="0">
      <selection activeCell="D17" sqref="D17"/>
    </sheetView>
  </sheetViews>
  <sheetFormatPr defaultColWidth="9" defaultRowHeight="15"/>
  <cols>
    <col min="1" max="1" width="8.875" style="48" customWidth="1"/>
    <col min="2" max="2" width="24.625" style="48" customWidth="1"/>
    <col min="3" max="3" width="34.5" style="48" customWidth="1"/>
    <col min="4" max="4" width="11.25" style="48" customWidth="1"/>
    <col min="5" max="5" width="11.125" style="48" customWidth="1"/>
    <col min="6" max="6" width="16.375" style="48" customWidth="1"/>
    <col min="7" max="7" width="14.75" style="48" customWidth="1"/>
    <col min="8" max="16384" width="9" style="48"/>
  </cols>
  <sheetData>
    <row r="1" spans="1:7" ht="17.25" customHeight="1">
      <c r="A1" s="121" t="s">
        <v>0</v>
      </c>
      <c r="B1" s="49"/>
      <c r="C1" s="49"/>
      <c r="D1" s="49"/>
      <c r="E1" s="49"/>
      <c r="F1" s="49"/>
      <c r="G1" s="49"/>
    </row>
    <row r="2" spans="1:7" ht="15.75">
      <c r="A2" s="873" t="s">
        <v>589</v>
      </c>
      <c r="B2" s="873"/>
      <c r="C2" s="873"/>
      <c r="D2" s="873"/>
      <c r="E2" s="873"/>
      <c r="F2" s="873"/>
      <c r="G2" s="873"/>
    </row>
    <row r="3" spans="1:7" ht="15.75">
      <c r="A3" s="874"/>
      <c r="B3" s="874"/>
      <c r="C3" s="874"/>
      <c r="D3" s="874"/>
      <c r="E3" s="874"/>
      <c r="F3" s="874"/>
      <c r="G3" s="874"/>
    </row>
    <row r="4" spans="1:7" ht="10.15" customHeight="1">
      <c r="A4" s="47"/>
      <c r="B4" s="47"/>
      <c r="C4" s="47"/>
      <c r="D4" s="47"/>
      <c r="E4" s="47"/>
      <c r="F4" s="47"/>
      <c r="G4" s="47"/>
    </row>
    <row r="5" spans="1:7" s="18" customFormat="1" ht="33" customHeight="1">
      <c r="A5" s="875" t="s">
        <v>2</v>
      </c>
      <c r="B5" s="875" t="s">
        <v>460</v>
      </c>
      <c r="C5" s="875" t="s">
        <v>462</v>
      </c>
      <c r="D5" s="875" t="s">
        <v>590</v>
      </c>
      <c r="E5" s="875"/>
      <c r="F5" s="875"/>
      <c r="G5" s="875" t="s">
        <v>470</v>
      </c>
    </row>
    <row r="6" spans="1:7" s="18" customFormat="1" ht="38.25" customHeight="1">
      <c r="A6" s="875"/>
      <c r="B6" s="875"/>
      <c r="C6" s="875"/>
      <c r="D6" s="56" t="s">
        <v>591</v>
      </c>
      <c r="E6" s="56" t="s">
        <v>592</v>
      </c>
      <c r="F6" s="56" t="s">
        <v>593</v>
      </c>
      <c r="G6" s="875"/>
    </row>
    <row r="7" spans="1:7" s="18" customFormat="1" ht="24" customHeight="1">
      <c r="A7" s="893" t="s">
        <v>499</v>
      </c>
      <c r="B7" s="878" t="s">
        <v>500</v>
      </c>
      <c r="C7" s="23" t="s">
        <v>501</v>
      </c>
      <c r="D7" s="24" t="s">
        <v>24</v>
      </c>
      <c r="E7" s="24" t="s">
        <v>24</v>
      </c>
      <c r="F7" s="24" t="s">
        <v>24</v>
      </c>
      <c r="G7" s="23" t="s">
        <v>15</v>
      </c>
    </row>
    <row r="8" spans="1:7" s="18" customFormat="1" ht="27.75" customHeight="1">
      <c r="A8" s="893"/>
      <c r="B8" s="878"/>
      <c r="C8" s="23" t="s">
        <v>502</v>
      </c>
      <c r="D8" s="24"/>
      <c r="E8" s="24"/>
      <c r="F8" s="24"/>
      <c r="G8" s="23"/>
    </row>
    <row r="9" spans="1:7" s="18" customFormat="1" ht="25.15" customHeight="1">
      <c r="A9" s="893"/>
      <c r="B9" s="878"/>
      <c r="C9" s="23" t="s">
        <v>503</v>
      </c>
      <c r="D9" s="24"/>
      <c r="E9" s="24"/>
      <c r="F9" s="24"/>
      <c r="G9" s="23"/>
    </row>
    <row r="10" spans="1:7" s="18" customFormat="1" ht="22.9" customHeight="1">
      <c r="A10" s="893"/>
      <c r="B10" s="878"/>
      <c r="C10" s="23" t="s">
        <v>504</v>
      </c>
      <c r="D10" s="24" t="s">
        <v>24</v>
      </c>
      <c r="E10" s="24" t="s">
        <v>24</v>
      </c>
      <c r="F10" s="24" t="s">
        <v>24</v>
      </c>
      <c r="G10" s="23"/>
    </row>
    <row r="11" spans="1:7" s="18" customFormat="1" ht="11.25"/>
    <row r="12" spans="1:7" s="18" customFormat="1" ht="11.25"/>
  </sheetData>
  <sheetProtection formatCells="0" formatColumns="0" formatRows="0"/>
  <mergeCells count="9">
    <mergeCell ref="A2:G2"/>
    <mergeCell ref="A3:G3"/>
    <mergeCell ref="D5:F5"/>
    <mergeCell ref="A5:A6"/>
    <mergeCell ref="A7:A10"/>
    <mergeCell ref="B5:B6"/>
    <mergeCell ref="B7:B10"/>
    <mergeCell ref="C5:C6"/>
    <mergeCell ref="G5:G6"/>
  </mergeCells>
  <phoneticPr fontId="28" type="noConversion"/>
  <conditionalFormatting sqref="C7:G10">
    <cfRule type="cellIs" dxfId="133" priority="1" stopIfTrue="1" operator="equal">
      <formula>"-"</formula>
    </cfRule>
    <cfRule type="cellIs" dxfId="132" priority="2" stopIfTrue="1" operator="equal">
      <formula>"tbd"</formula>
    </cfRule>
  </conditionalFormatting>
  <conditionalFormatting sqref="D7:F10">
    <cfRule type="cellIs" dxfId="131" priority="3" stopIfTrue="1" operator="equal">
      <formula>"-"</formula>
    </cfRule>
    <cfRule type="cellIs" dxfId="130" priority="4" stopIfTrue="1" operator="equal">
      <formula>"tbd"</formula>
    </cfRule>
  </conditionalFormatting>
  <hyperlinks>
    <hyperlink ref="A1" location="_0x28" display="Return" xr:uid="{00000000-0004-0000-0500-000000000000}"/>
  </hyperlinks>
  <pageMargins left="0.69930555555555596" right="0.69930555555555596" top="0.75" bottom="0.75" header="0.3" footer="0.3"/>
  <pageSetup paperSize="9" orientation="portrait" horizontalDpi="300" verticalDpi="300" r:id="rId1"/>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Cover!$W$1:$W$3</xm:f>
          </x14:formula1>
          <xm:sqref>D7:F10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E11BB-E038-42CC-96B1-E1509EB1E0A8}">
  <dimension ref="A1:G32"/>
  <sheetViews>
    <sheetView topLeftCell="A19" zoomScaleNormal="100" workbookViewId="0">
      <selection activeCell="C37" sqref="C37"/>
    </sheetView>
  </sheetViews>
  <sheetFormatPr defaultColWidth="9" defaultRowHeight="15"/>
  <cols>
    <col min="1" max="1" width="7.75" style="379" customWidth="1"/>
    <col min="2" max="2" width="23.875" style="379" customWidth="1"/>
    <col min="3" max="3" width="49" style="379" customWidth="1"/>
    <col min="4" max="4" width="12.375" style="379" customWidth="1"/>
    <col min="5" max="5" width="17.25" style="379" customWidth="1"/>
    <col min="6" max="16384" width="9" style="379"/>
  </cols>
  <sheetData>
    <row r="1" spans="1:6" ht="17.25" customHeight="1">
      <c r="A1" s="327" t="s">
        <v>0</v>
      </c>
      <c r="B1" s="378"/>
      <c r="C1" s="378"/>
      <c r="D1" s="378"/>
      <c r="E1" s="378"/>
    </row>
    <row r="2" spans="1:6" ht="15.75">
      <c r="A2" s="798" t="s">
        <v>1</v>
      </c>
      <c r="B2" s="798"/>
      <c r="C2" s="798"/>
      <c r="D2" s="798"/>
      <c r="E2" s="798"/>
    </row>
    <row r="3" spans="1:6" ht="15.75">
      <c r="A3" s="797"/>
      <c r="B3" s="797"/>
      <c r="C3" s="797"/>
      <c r="D3" s="797"/>
      <c r="E3" s="797"/>
    </row>
    <row r="4" spans="1:6" ht="9" customHeight="1">
      <c r="A4" s="361"/>
      <c r="B4" s="361"/>
      <c r="C4" s="361"/>
      <c r="D4" s="361"/>
      <c r="E4" s="361"/>
    </row>
    <row r="5" spans="1:6" s="263" customFormat="1" ht="33" customHeight="1">
      <c r="A5" s="894" t="s">
        <v>2</v>
      </c>
      <c r="B5" s="894" t="s">
        <v>3</v>
      </c>
      <c r="C5" s="894" t="s">
        <v>4</v>
      </c>
      <c r="D5" s="894" t="s">
        <v>5</v>
      </c>
      <c r="E5" s="894" t="s">
        <v>6</v>
      </c>
      <c r="F5" s="894" t="s">
        <v>7</v>
      </c>
    </row>
    <row r="6" spans="1:6" s="263" customFormat="1" ht="38.25" customHeight="1">
      <c r="A6" s="895"/>
      <c r="B6" s="895"/>
      <c r="C6" s="895"/>
      <c r="D6" s="895"/>
      <c r="E6" s="895"/>
      <c r="F6" s="895"/>
    </row>
    <row r="7" spans="1:6" s="263" customFormat="1" ht="11.25">
      <c r="A7" s="896" t="s">
        <v>8</v>
      </c>
      <c r="B7" s="349" t="s">
        <v>594</v>
      </c>
      <c r="C7" s="349" t="s">
        <v>10</v>
      </c>
      <c r="D7" s="381" t="s">
        <v>24</v>
      </c>
      <c r="E7" s="392"/>
      <c r="F7" s="393" t="s">
        <v>456</v>
      </c>
    </row>
    <row r="8" spans="1:6" s="263" customFormat="1" ht="11.25">
      <c r="A8" s="897"/>
      <c r="B8" s="349" t="s">
        <v>13</v>
      </c>
      <c r="C8" s="349" t="s">
        <v>14</v>
      </c>
      <c r="D8" s="342" t="s">
        <v>11</v>
      </c>
      <c r="E8" s="349" t="s">
        <v>15</v>
      </c>
      <c r="F8" s="346" t="s">
        <v>12</v>
      </c>
    </row>
    <row r="9" spans="1:6" s="263" customFormat="1" ht="11.25">
      <c r="A9" s="897"/>
      <c r="B9" s="349" t="s">
        <v>16</v>
      </c>
      <c r="C9" s="349" t="s">
        <v>17</v>
      </c>
      <c r="D9" s="342" t="s">
        <v>11</v>
      </c>
      <c r="E9" s="349" t="s">
        <v>15</v>
      </c>
      <c r="F9" s="346" t="s">
        <v>12</v>
      </c>
    </row>
    <row r="10" spans="1:6" s="263" customFormat="1" ht="11.25">
      <c r="A10" s="897"/>
      <c r="B10" s="349" t="s">
        <v>18</v>
      </c>
      <c r="C10" s="349" t="s">
        <v>19</v>
      </c>
      <c r="D10" s="342" t="s">
        <v>11</v>
      </c>
      <c r="E10" s="349" t="s">
        <v>15</v>
      </c>
      <c r="F10" s="346" t="s">
        <v>12</v>
      </c>
    </row>
    <row r="11" spans="1:6" s="263" customFormat="1" ht="11.25">
      <c r="A11" s="897"/>
      <c r="B11" s="349" t="s">
        <v>20</v>
      </c>
      <c r="C11" s="349" t="s">
        <v>21</v>
      </c>
      <c r="D11" s="342" t="s">
        <v>11</v>
      </c>
      <c r="E11" s="349" t="s">
        <v>15</v>
      </c>
      <c r="F11" s="346" t="s">
        <v>12</v>
      </c>
    </row>
    <row r="12" spans="1:6" s="263" customFormat="1" ht="11.25">
      <c r="A12" s="898"/>
      <c r="B12" s="349" t="s">
        <v>22</v>
      </c>
      <c r="C12" s="349" t="s">
        <v>23</v>
      </c>
      <c r="D12" s="342" t="s">
        <v>24</v>
      </c>
      <c r="E12" s="349" t="s">
        <v>15</v>
      </c>
      <c r="F12" s="346" t="s">
        <v>25</v>
      </c>
    </row>
    <row r="13" spans="1:6" s="263" customFormat="1" ht="16.149999999999999" customHeight="1"/>
    <row r="14" spans="1:6" s="263" customFormat="1" ht="15" customHeight="1">
      <c r="A14" s="797" t="s">
        <v>26</v>
      </c>
      <c r="B14" s="797"/>
      <c r="C14" s="797"/>
      <c r="D14" s="797"/>
      <c r="E14" s="797"/>
    </row>
    <row r="15" spans="1:6" ht="15.75">
      <c r="A15" s="797"/>
      <c r="B15" s="797"/>
      <c r="C15" s="797"/>
      <c r="D15" s="797"/>
      <c r="E15" s="797"/>
    </row>
    <row r="16" spans="1:6" ht="12" customHeight="1">
      <c r="A16" s="382"/>
      <c r="B16" s="382"/>
      <c r="C16" s="382"/>
      <c r="D16" s="382"/>
      <c r="E16" s="382"/>
    </row>
    <row r="17" spans="1:7" ht="15" customHeight="1">
      <c r="A17" s="380" t="s">
        <v>27</v>
      </c>
      <c r="B17" s="380" t="s">
        <v>28</v>
      </c>
      <c r="C17" s="380" t="s">
        <v>29</v>
      </c>
      <c r="D17" s="380" t="s">
        <v>5</v>
      </c>
      <c r="E17" s="380" t="s">
        <v>6</v>
      </c>
      <c r="F17" s="380" t="s">
        <v>7</v>
      </c>
    </row>
    <row r="18" spans="1:7" ht="22.5">
      <c r="A18" s="342" t="s">
        <v>30</v>
      </c>
      <c r="B18" s="349" t="s">
        <v>31</v>
      </c>
      <c r="C18" s="349" t="s">
        <v>32</v>
      </c>
      <c r="D18" s="381" t="s">
        <v>24</v>
      </c>
      <c r="E18" s="342" t="s">
        <v>15</v>
      </c>
      <c r="F18" s="346" t="s">
        <v>25</v>
      </c>
      <c r="G18" s="393" t="s">
        <v>456</v>
      </c>
    </row>
    <row r="19" spans="1:7" ht="22.5">
      <c r="A19" s="342" t="s">
        <v>33</v>
      </c>
      <c r="B19" s="349" t="s">
        <v>34</v>
      </c>
      <c r="C19" s="349" t="s">
        <v>35</v>
      </c>
      <c r="D19" s="381" t="s">
        <v>24</v>
      </c>
      <c r="E19" s="392"/>
      <c r="F19" s="393" t="s">
        <v>456</v>
      </c>
    </row>
    <row r="20" spans="1:7" ht="22.5">
      <c r="A20" s="342" t="s">
        <v>36</v>
      </c>
      <c r="B20" s="349" t="s">
        <v>37</v>
      </c>
      <c r="C20" s="349" t="s">
        <v>32</v>
      </c>
      <c r="D20" s="381" t="s">
        <v>24</v>
      </c>
      <c r="E20" s="342" t="s">
        <v>15</v>
      </c>
      <c r="F20" s="346" t="s">
        <v>25</v>
      </c>
      <c r="G20" s="393" t="s">
        <v>456</v>
      </c>
    </row>
    <row r="21" spans="1:7" ht="22.5">
      <c r="A21" s="342" t="s">
        <v>38</v>
      </c>
      <c r="B21" s="349" t="s">
        <v>39</v>
      </c>
      <c r="C21" s="349" t="s">
        <v>32</v>
      </c>
      <c r="D21" s="381" t="s">
        <v>24</v>
      </c>
      <c r="E21" s="342" t="s">
        <v>15</v>
      </c>
      <c r="F21" s="346" t="s">
        <v>25</v>
      </c>
      <c r="G21" s="393" t="s">
        <v>456</v>
      </c>
    </row>
    <row r="22" spans="1:7" ht="22.5">
      <c r="A22" s="342" t="s">
        <v>40</v>
      </c>
      <c r="B22" s="349" t="s">
        <v>41</v>
      </c>
      <c r="C22" s="349" t="s">
        <v>32</v>
      </c>
      <c r="D22" s="381" t="s">
        <v>24</v>
      </c>
      <c r="E22" s="392"/>
      <c r="F22" s="393" t="s">
        <v>456</v>
      </c>
    </row>
    <row r="23" spans="1:7" ht="22.5">
      <c r="A23" s="342" t="s">
        <v>42</v>
      </c>
      <c r="B23" s="349" t="s">
        <v>43</v>
      </c>
      <c r="C23" s="349" t="s">
        <v>32</v>
      </c>
      <c r="D23" s="381" t="s">
        <v>145</v>
      </c>
      <c r="E23" s="342" t="s">
        <v>15</v>
      </c>
      <c r="F23" s="346" t="s">
        <v>12</v>
      </c>
    </row>
    <row r="24" spans="1:7" ht="22.5">
      <c r="A24" s="342" t="s">
        <v>44</v>
      </c>
      <c r="B24" s="349" t="s">
        <v>45</v>
      </c>
      <c r="C24" s="349" t="s">
        <v>32</v>
      </c>
      <c r="D24" s="381" t="s">
        <v>24</v>
      </c>
      <c r="E24" s="392"/>
      <c r="F24" s="393" t="s">
        <v>456</v>
      </c>
    </row>
    <row r="25" spans="1:7" ht="22.5">
      <c r="A25" s="342" t="s">
        <v>46</v>
      </c>
      <c r="B25" s="349" t="s">
        <v>47</v>
      </c>
      <c r="C25" s="349" t="s">
        <v>32</v>
      </c>
      <c r="D25" s="381" t="s">
        <v>145</v>
      </c>
      <c r="E25" s="342" t="s">
        <v>15</v>
      </c>
      <c r="F25" s="346" t="s">
        <v>12</v>
      </c>
    </row>
    <row r="27" spans="1:7" ht="15.75">
      <c r="A27" s="797" t="s">
        <v>595</v>
      </c>
      <c r="B27" s="797"/>
      <c r="C27" s="797"/>
      <c r="D27" s="797"/>
      <c r="E27" s="797"/>
    </row>
    <row r="28" spans="1:7">
      <c r="A28" s="899" t="s">
        <v>596</v>
      </c>
      <c r="B28" s="899"/>
      <c r="C28" s="899"/>
      <c r="D28" s="899"/>
      <c r="E28" s="899"/>
    </row>
    <row r="29" spans="1:7" ht="18">
      <c r="A29" s="382"/>
      <c r="B29" s="382"/>
      <c r="C29" s="382"/>
      <c r="D29" s="382"/>
      <c r="E29" s="382"/>
    </row>
    <row r="30" spans="1:7" ht="21">
      <c r="A30" s="380" t="s">
        <v>597</v>
      </c>
      <c r="B30" s="380" t="s">
        <v>598</v>
      </c>
      <c r="C30" s="380" t="s">
        <v>599</v>
      </c>
      <c r="D30" s="380" t="s">
        <v>5</v>
      </c>
      <c r="E30" s="380" t="s">
        <v>6</v>
      </c>
      <c r="F30" s="380" t="s">
        <v>7</v>
      </c>
    </row>
    <row r="31" spans="1:7" ht="22.5">
      <c r="A31" s="342" t="s">
        <v>600</v>
      </c>
      <c r="B31" s="349" t="s">
        <v>601</v>
      </c>
      <c r="C31" s="349" t="s">
        <v>602</v>
      </c>
      <c r="D31" s="381" t="s">
        <v>11</v>
      </c>
      <c r="E31" s="342" t="s">
        <v>15</v>
      </c>
      <c r="F31" s="346" t="s">
        <v>25</v>
      </c>
    </row>
    <row r="32" spans="1:7" ht="22.5">
      <c r="A32" s="342" t="s">
        <v>603</v>
      </c>
      <c r="B32" s="349" t="s">
        <v>604</v>
      </c>
      <c r="C32" s="349" t="s">
        <v>605</v>
      </c>
      <c r="D32" s="381" t="s">
        <v>24</v>
      </c>
      <c r="E32" s="392"/>
      <c r="F32" s="393" t="s">
        <v>456</v>
      </c>
    </row>
  </sheetData>
  <sheetProtection formatCells="0" formatColumns="0" formatRows="0"/>
  <protectedRanges>
    <protectedRange sqref="D8:E12 F19 F22 F24 G18 G20:G21 D18:E25 D7:F7 F32 D31:E32" name="範圍1_1"/>
  </protectedRanges>
  <mergeCells count="13">
    <mergeCell ref="A28:E28"/>
    <mergeCell ref="A2:E2"/>
    <mergeCell ref="A3:E3"/>
    <mergeCell ref="A5:A6"/>
    <mergeCell ref="B5:B6"/>
    <mergeCell ref="C5:C6"/>
    <mergeCell ref="D5:D6"/>
    <mergeCell ref="E5:E6"/>
    <mergeCell ref="F5:F6"/>
    <mergeCell ref="A7:A12"/>
    <mergeCell ref="A14:E14"/>
    <mergeCell ref="A15:E15"/>
    <mergeCell ref="A27:E27"/>
  </mergeCells>
  <phoneticPr fontId="45" type="noConversion"/>
  <conditionalFormatting sqref="B7:E12">
    <cfRule type="cellIs" dxfId="129" priority="20" stopIfTrue="1" operator="equal">
      <formula>"-"</formula>
    </cfRule>
  </conditionalFormatting>
  <conditionalFormatting sqref="D7:D12">
    <cfRule type="cellIs" dxfId="128" priority="21" stopIfTrue="1" operator="equal">
      <formula>"-"</formula>
    </cfRule>
  </conditionalFormatting>
  <conditionalFormatting sqref="D18:D25">
    <cfRule type="cellIs" dxfId="127" priority="16" stopIfTrue="1" operator="equal">
      <formula>"-"</formula>
    </cfRule>
    <cfRule type="cellIs" dxfId="126" priority="17" stopIfTrue="1" operator="equal">
      <formula>"tbd"</formula>
    </cfRule>
  </conditionalFormatting>
  <conditionalFormatting sqref="D22">
    <cfRule type="cellIs" dxfId="125" priority="18" stopIfTrue="1" operator="equal">
      <formula>"-"</formula>
    </cfRule>
    <cfRule type="cellIs" dxfId="124" priority="19" stopIfTrue="1" operator="equal">
      <formula>"tbd"</formula>
    </cfRule>
  </conditionalFormatting>
  <conditionalFormatting sqref="D24:D25">
    <cfRule type="cellIs" dxfId="123" priority="14" stopIfTrue="1" operator="equal">
      <formula>"tbd"</formula>
    </cfRule>
    <cfRule type="cellIs" dxfId="122" priority="15" stopIfTrue="1" operator="equal">
      <formula>"-"</formula>
    </cfRule>
  </conditionalFormatting>
  <conditionalFormatting sqref="D31:D32">
    <cfRule type="cellIs" dxfId="121" priority="10" stopIfTrue="1" operator="equal">
      <formula>"-"</formula>
    </cfRule>
  </conditionalFormatting>
  <conditionalFormatting sqref="F7">
    <cfRule type="cellIs" dxfId="120" priority="12" stopIfTrue="1" operator="equal">
      <formula>"-"</formula>
    </cfRule>
    <cfRule type="cellIs" dxfId="119" priority="13" stopIfTrue="1" operator="equal">
      <formula>"tbd"</formula>
    </cfRule>
  </conditionalFormatting>
  <conditionalFormatting sqref="F19">
    <cfRule type="cellIs" dxfId="118" priority="11" stopIfTrue="1" operator="equal">
      <formula>"tbd"</formula>
    </cfRule>
    <cfRule type="cellIs" dxfId="117" priority="22" stopIfTrue="1" operator="equal">
      <formula>"-"</formula>
    </cfRule>
  </conditionalFormatting>
  <conditionalFormatting sqref="F22">
    <cfRule type="cellIs" dxfId="116" priority="8" stopIfTrue="1" operator="equal">
      <formula>"-"</formula>
    </cfRule>
    <cfRule type="cellIs" dxfId="115" priority="9" stopIfTrue="1" operator="equal">
      <formula>"tbd"</formula>
    </cfRule>
  </conditionalFormatting>
  <conditionalFormatting sqref="F24">
    <cfRule type="cellIs" dxfId="114" priority="6" stopIfTrue="1" operator="equal">
      <formula>"-"</formula>
    </cfRule>
    <cfRule type="cellIs" dxfId="113" priority="7" stopIfTrue="1" operator="equal">
      <formula>"tbd"</formula>
    </cfRule>
  </conditionalFormatting>
  <conditionalFormatting sqref="F32">
    <cfRule type="cellIs" dxfId="112" priority="1" stopIfTrue="1" operator="equal">
      <formula>"-"</formula>
    </cfRule>
  </conditionalFormatting>
  <conditionalFormatting sqref="G18">
    <cfRule type="cellIs" dxfId="111" priority="4" stopIfTrue="1" operator="equal">
      <formula>"-"</formula>
    </cfRule>
    <cfRule type="cellIs" dxfId="110" priority="5" stopIfTrue="1" operator="equal">
      <formula>"tbd"</formula>
    </cfRule>
  </conditionalFormatting>
  <conditionalFormatting sqref="G20:G21">
    <cfRule type="cellIs" dxfId="109" priority="2" stopIfTrue="1" operator="equal">
      <formula>"-"</formula>
    </cfRule>
    <cfRule type="cellIs" dxfId="108" priority="3" stopIfTrue="1" operator="equal">
      <formula>"tbd"</formula>
    </cfRule>
  </conditionalFormatting>
  <hyperlinks>
    <hyperlink ref="A1" location="_0x14" display="Return" xr:uid="{92705732-F30C-4052-A46E-9E9C72A178E4}"/>
  </hyperlinks>
  <pageMargins left="0.69930555555555596" right="0.69930555555555596" top="0.75" bottom="0.75" header="0.3" footer="0.3"/>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764A0-03A6-4301-B313-5C7C4AF4BDE6}">
  <dimension ref="A2:AA382"/>
  <sheetViews>
    <sheetView zoomScaleNormal="100" workbookViewId="0">
      <pane xSplit="14" ySplit="6" topLeftCell="V328" activePane="bottomRight" state="frozen"/>
      <selection pane="topRight" activeCell="O1" sqref="O1"/>
      <selection pane="bottomLeft" activeCell="A7" sqref="A7"/>
      <selection pane="bottomRight" activeCell="AE35" sqref="AE35"/>
    </sheetView>
  </sheetViews>
  <sheetFormatPr defaultColWidth="9" defaultRowHeight="11.25"/>
  <cols>
    <col min="1" max="2" width="11.75" style="55" customWidth="1"/>
    <col min="3" max="3" width="76.375" style="18" customWidth="1"/>
    <col min="4" max="4" width="9" style="18"/>
    <col min="5" max="6" width="11.75" style="18" customWidth="1"/>
    <col min="7" max="7" width="6.75" style="18" bestFit="1" customWidth="1"/>
    <col min="8" max="8" width="8.625" style="18" bestFit="1" customWidth="1"/>
    <col min="9" max="9" width="9.125" style="18" bestFit="1" customWidth="1"/>
    <col min="10" max="10" width="5.5" style="18" bestFit="1" customWidth="1"/>
    <col min="11" max="11" width="5.375" style="18" bestFit="1" customWidth="1"/>
    <col min="12" max="12" width="8.125" style="18" customWidth="1"/>
    <col min="13" max="13" width="5.625" style="18" bestFit="1" customWidth="1"/>
    <col min="14" max="14" width="5.375" style="18" bestFit="1" customWidth="1"/>
    <col min="15" max="26" width="0.375" style="18" customWidth="1"/>
    <col min="27" max="27" width="8.875" style="55" bestFit="1" customWidth="1"/>
    <col min="28" max="16384" width="9" style="18"/>
  </cols>
  <sheetData>
    <row r="2" spans="1:27" ht="15.75">
      <c r="A2" s="874" t="s">
        <v>606</v>
      </c>
      <c r="B2" s="874"/>
      <c r="C2" s="874"/>
      <c r="D2" s="874"/>
      <c r="E2" s="874"/>
      <c r="F2" s="874"/>
      <c r="G2" s="874"/>
      <c r="H2" s="874"/>
    </row>
    <row r="3" spans="1:27" ht="15.75">
      <c r="A3" s="874"/>
      <c r="B3" s="874"/>
      <c r="C3" s="874"/>
      <c r="D3" s="874"/>
      <c r="E3" s="874"/>
      <c r="F3" s="874"/>
      <c r="G3" s="874"/>
      <c r="H3" s="874"/>
    </row>
    <row r="4" spans="1:27" ht="15.75">
      <c r="A4" s="874"/>
      <c r="B4" s="874"/>
      <c r="C4" s="874"/>
      <c r="D4" s="874"/>
      <c r="E4" s="874"/>
      <c r="F4" s="874"/>
      <c r="G4" s="874"/>
      <c r="H4" s="874"/>
    </row>
    <row r="5" spans="1:27" s="87" customFormat="1">
      <c r="A5" s="900" t="s">
        <v>607</v>
      </c>
      <c r="B5" s="900" t="s">
        <v>608</v>
      </c>
      <c r="C5" s="900" t="s">
        <v>609</v>
      </c>
      <c r="D5" s="902" t="s">
        <v>7</v>
      </c>
      <c r="E5" s="902" t="s">
        <v>610</v>
      </c>
      <c r="F5" s="902" t="s">
        <v>611</v>
      </c>
      <c r="G5" s="875" t="s">
        <v>552</v>
      </c>
      <c r="H5" s="875"/>
      <c r="I5" s="875"/>
      <c r="J5" s="875"/>
      <c r="K5" s="875"/>
      <c r="L5" s="875"/>
      <c r="M5" s="875"/>
      <c r="N5" s="875"/>
    </row>
    <row r="6" spans="1:27" s="87" customFormat="1" ht="33">
      <c r="A6" s="901"/>
      <c r="B6" s="901"/>
      <c r="C6" s="901"/>
      <c r="D6" s="903"/>
      <c r="E6" s="903"/>
      <c r="F6" s="903"/>
      <c r="G6" s="317" t="s">
        <v>560</v>
      </c>
      <c r="H6" s="317" t="s">
        <v>561</v>
      </c>
      <c r="I6" s="317" t="s">
        <v>562</v>
      </c>
      <c r="J6" s="317" t="s">
        <v>563</v>
      </c>
      <c r="K6" s="317" t="s">
        <v>564</v>
      </c>
      <c r="L6" s="317" t="s">
        <v>565</v>
      </c>
      <c r="M6" s="318"/>
      <c r="N6" s="318"/>
      <c r="AA6" s="555" t="s">
        <v>612</v>
      </c>
    </row>
    <row r="7" spans="1:27">
      <c r="A7" s="24" t="s">
        <v>613</v>
      </c>
      <c r="B7" s="24" t="s">
        <v>614</v>
      </c>
      <c r="C7" s="23" t="s">
        <v>615</v>
      </c>
      <c r="D7" s="149"/>
      <c r="E7" s="88" t="s">
        <v>145</v>
      </c>
      <c r="F7" s="88" t="s">
        <v>145</v>
      </c>
      <c r="G7" s="88" t="s">
        <v>145</v>
      </c>
      <c r="H7" s="88" t="s">
        <v>145</v>
      </c>
      <c r="I7" s="88" t="s">
        <v>145</v>
      </c>
      <c r="J7" s="88" t="s">
        <v>145</v>
      </c>
      <c r="K7" s="88" t="s">
        <v>145</v>
      </c>
      <c r="L7" s="88" t="s">
        <v>145</v>
      </c>
      <c r="M7" s="24"/>
      <c r="N7" s="24"/>
      <c r="O7" s="149"/>
      <c r="P7" s="149"/>
      <c r="Q7" s="149"/>
      <c r="R7" s="149"/>
      <c r="S7" s="149"/>
      <c r="T7" s="149"/>
      <c r="U7" s="149"/>
      <c r="V7" s="149"/>
      <c r="W7" s="149"/>
      <c r="X7" s="149"/>
      <c r="Y7" s="149"/>
      <c r="Z7" s="149"/>
      <c r="AA7" s="24" t="s">
        <v>616</v>
      </c>
    </row>
    <row r="8" spans="1:27">
      <c r="A8" s="24" t="s">
        <v>617</v>
      </c>
      <c r="B8" s="24" t="s">
        <v>618</v>
      </c>
      <c r="C8" s="23" t="s">
        <v>619</v>
      </c>
      <c r="D8" s="149"/>
      <c r="E8" s="88" t="s">
        <v>145</v>
      </c>
      <c r="F8" s="88" t="s">
        <v>145</v>
      </c>
      <c r="G8" s="88" t="s">
        <v>145</v>
      </c>
      <c r="H8" s="88" t="s">
        <v>145</v>
      </c>
      <c r="I8" s="88" t="s">
        <v>145</v>
      </c>
      <c r="J8" s="88" t="s">
        <v>145</v>
      </c>
      <c r="K8" s="88" t="s">
        <v>145</v>
      </c>
      <c r="L8" s="88" t="s">
        <v>145</v>
      </c>
      <c r="M8" s="24"/>
      <c r="N8" s="24"/>
      <c r="O8" s="149"/>
      <c r="P8" s="149"/>
      <c r="Q8" s="149"/>
      <c r="R8" s="149"/>
      <c r="S8" s="149"/>
      <c r="T8" s="149"/>
      <c r="U8" s="149"/>
      <c r="V8" s="149"/>
      <c r="W8" s="149"/>
      <c r="X8" s="149"/>
      <c r="Y8" s="149"/>
      <c r="Z8" s="149"/>
      <c r="AA8" s="24" t="s">
        <v>616</v>
      </c>
    </row>
    <row r="9" spans="1:27">
      <c r="A9" s="24" t="s">
        <v>620</v>
      </c>
      <c r="B9" s="24" t="s">
        <v>621</v>
      </c>
      <c r="C9" s="23" t="s">
        <v>622</v>
      </c>
      <c r="D9" s="149"/>
      <c r="E9" s="88" t="s">
        <v>145</v>
      </c>
      <c r="F9" s="88" t="s">
        <v>145</v>
      </c>
      <c r="G9" s="88" t="s">
        <v>145</v>
      </c>
      <c r="H9" s="88" t="s">
        <v>145</v>
      </c>
      <c r="I9" s="88" t="s">
        <v>145</v>
      </c>
      <c r="J9" s="88" t="s">
        <v>145</v>
      </c>
      <c r="K9" s="88" t="s">
        <v>145</v>
      </c>
      <c r="L9" s="88" t="s">
        <v>145</v>
      </c>
      <c r="M9" s="24"/>
      <c r="N9" s="24"/>
      <c r="O9" s="149"/>
      <c r="P9" s="149"/>
      <c r="Q9" s="149"/>
      <c r="R9" s="149"/>
      <c r="S9" s="149"/>
      <c r="T9" s="149"/>
      <c r="U9" s="149"/>
      <c r="V9" s="149"/>
      <c r="W9" s="149"/>
      <c r="X9" s="149"/>
      <c r="Y9" s="149"/>
      <c r="Z9" s="149"/>
      <c r="AA9" s="24" t="s">
        <v>616</v>
      </c>
    </row>
    <row r="10" spans="1:27">
      <c r="A10" s="24" t="s">
        <v>623</v>
      </c>
      <c r="B10" s="24" t="s">
        <v>624</v>
      </c>
      <c r="C10" s="23" t="s">
        <v>625</v>
      </c>
      <c r="D10" s="149"/>
      <c r="E10" s="88" t="s">
        <v>145</v>
      </c>
      <c r="F10" s="88" t="s">
        <v>145</v>
      </c>
      <c r="G10" s="88" t="s">
        <v>145</v>
      </c>
      <c r="H10" s="88" t="s">
        <v>145</v>
      </c>
      <c r="I10" s="88" t="s">
        <v>145</v>
      </c>
      <c r="J10" s="88" t="s">
        <v>145</v>
      </c>
      <c r="K10" s="88" t="s">
        <v>145</v>
      </c>
      <c r="L10" s="88" t="s">
        <v>145</v>
      </c>
      <c r="M10" s="24"/>
      <c r="N10" s="24"/>
      <c r="O10" s="149"/>
      <c r="P10" s="149"/>
      <c r="Q10" s="149"/>
      <c r="R10" s="149"/>
      <c r="S10" s="149"/>
      <c r="T10" s="149"/>
      <c r="U10" s="149"/>
      <c r="V10" s="149"/>
      <c r="W10" s="149"/>
      <c r="X10" s="149"/>
      <c r="Y10" s="149"/>
      <c r="Z10" s="149"/>
      <c r="AA10" s="24" t="s">
        <v>616</v>
      </c>
    </row>
    <row r="11" spans="1:27">
      <c r="A11" s="24" t="s">
        <v>626</v>
      </c>
      <c r="B11" s="24" t="s">
        <v>627</v>
      </c>
      <c r="C11" s="23" t="s">
        <v>622</v>
      </c>
      <c r="D11" s="149"/>
      <c r="E11" s="88" t="s">
        <v>145</v>
      </c>
      <c r="F11" s="88" t="s">
        <v>145</v>
      </c>
      <c r="G11" s="88" t="s">
        <v>145</v>
      </c>
      <c r="H11" s="88" t="s">
        <v>145</v>
      </c>
      <c r="I11" s="88" t="s">
        <v>145</v>
      </c>
      <c r="J11" s="88" t="s">
        <v>145</v>
      </c>
      <c r="K11" s="88" t="s">
        <v>145</v>
      </c>
      <c r="L11" s="88" t="s">
        <v>145</v>
      </c>
      <c r="M11" s="24"/>
      <c r="N11" s="24"/>
      <c r="O11" s="149"/>
      <c r="P11" s="149"/>
      <c r="Q11" s="149"/>
      <c r="R11" s="149"/>
      <c r="S11" s="149"/>
      <c r="T11" s="149"/>
      <c r="U11" s="149"/>
      <c r="V11" s="149"/>
      <c r="W11" s="149"/>
      <c r="X11" s="149"/>
      <c r="Y11" s="149"/>
      <c r="Z11" s="149"/>
      <c r="AA11" s="24" t="s">
        <v>616</v>
      </c>
    </row>
    <row r="12" spans="1:27">
      <c r="A12" s="24" t="s">
        <v>628</v>
      </c>
      <c r="B12" s="24" t="s">
        <v>629</v>
      </c>
      <c r="C12" s="23" t="s">
        <v>625</v>
      </c>
      <c r="D12" s="149"/>
      <c r="E12" s="88" t="s">
        <v>145</v>
      </c>
      <c r="F12" s="88" t="s">
        <v>145</v>
      </c>
      <c r="G12" s="88" t="s">
        <v>145</v>
      </c>
      <c r="H12" s="88" t="s">
        <v>145</v>
      </c>
      <c r="I12" s="88" t="s">
        <v>145</v>
      </c>
      <c r="J12" s="88" t="s">
        <v>145</v>
      </c>
      <c r="K12" s="88" t="s">
        <v>145</v>
      </c>
      <c r="L12" s="88" t="s">
        <v>145</v>
      </c>
      <c r="M12" s="24"/>
      <c r="N12" s="24"/>
      <c r="O12" s="149"/>
      <c r="P12" s="149"/>
      <c r="Q12" s="149"/>
      <c r="R12" s="149"/>
      <c r="S12" s="149"/>
      <c r="T12" s="149"/>
      <c r="U12" s="149"/>
      <c r="V12" s="149"/>
      <c r="W12" s="149"/>
      <c r="X12" s="149"/>
      <c r="Y12" s="149"/>
      <c r="Z12" s="149"/>
      <c r="AA12" s="24" t="s">
        <v>616</v>
      </c>
    </row>
    <row r="13" spans="1:27">
      <c r="A13" s="24" t="s">
        <v>630</v>
      </c>
      <c r="B13" s="24" t="s">
        <v>631</v>
      </c>
      <c r="C13" s="23" t="s">
        <v>632</v>
      </c>
      <c r="D13" s="149"/>
      <c r="E13" s="88" t="s">
        <v>145</v>
      </c>
      <c r="F13" s="88" t="s">
        <v>145</v>
      </c>
      <c r="G13" s="88" t="s">
        <v>145</v>
      </c>
      <c r="H13" s="88" t="s">
        <v>145</v>
      </c>
      <c r="I13" s="88" t="s">
        <v>145</v>
      </c>
      <c r="J13" s="88" t="s">
        <v>145</v>
      </c>
      <c r="K13" s="88" t="s">
        <v>145</v>
      </c>
      <c r="L13" s="88" t="s">
        <v>145</v>
      </c>
      <c r="M13" s="24"/>
      <c r="N13" s="24"/>
      <c r="O13" s="149"/>
      <c r="P13" s="149"/>
      <c r="Q13" s="149"/>
      <c r="R13" s="149"/>
      <c r="S13" s="149"/>
      <c r="T13" s="149"/>
      <c r="U13" s="149"/>
      <c r="V13" s="149"/>
      <c r="W13" s="149"/>
      <c r="X13" s="149"/>
      <c r="Y13" s="149"/>
      <c r="Z13" s="149"/>
      <c r="AA13" s="24" t="s">
        <v>616</v>
      </c>
    </row>
    <row r="14" spans="1:27">
      <c r="A14" s="24" t="s">
        <v>633</v>
      </c>
      <c r="B14" s="24" t="s">
        <v>634</v>
      </c>
      <c r="C14" s="23" t="s">
        <v>635</v>
      </c>
      <c r="D14" s="149"/>
      <c r="E14" s="88" t="s">
        <v>145</v>
      </c>
      <c r="F14" s="88" t="s">
        <v>145</v>
      </c>
      <c r="G14" s="88" t="s">
        <v>145</v>
      </c>
      <c r="H14" s="88" t="s">
        <v>145</v>
      </c>
      <c r="I14" s="88" t="s">
        <v>145</v>
      </c>
      <c r="J14" s="88" t="s">
        <v>145</v>
      </c>
      <c r="K14" s="88" t="s">
        <v>145</v>
      </c>
      <c r="L14" s="88" t="s">
        <v>145</v>
      </c>
      <c r="M14" s="24"/>
      <c r="N14" s="24"/>
      <c r="O14" s="149"/>
      <c r="P14" s="149"/>
      <c r="Q14" s="149"/>
      <c r="R14" s="149"/>
      <c r="S14" s="149"/>
      <c r="T14" s="149"/>
      <c r="U14" s="149"/>
      <c r="V14" s="149"/>
      <c r="W14" s="149"/>
      <c r="X14" s="149"/>
      <c r="Y14" s="149"/>
      <c r="Z14" s="149"/>
      <c r="AA14" s="24" t="s">
        <v>616</v>
      </c>
    </row>
    <row r="15" spans="1:27">
      <c r="A15" s="24" t="s">
        <v>636</v>
      </c>
      <c r="B15" s="24" t="s">
        <v>637</v>
      </c>
      <c r="C15" s="23" t="s">
        <v>638</v>
      </c>
      <c r="D15" s="149"/>
      <c r="E15" s="88" t="s">
        <v>148</v>
      </c>
      <c r="F15" s="24" t="s">
        <v>24</v>
      </c>
      <c r="G15" s="24" t="s">
        <v>24</v>
      </c>
      <c r="H15" s="24" t="s">
        <v>24</v>
      </c>
      <c r="I15" s="24" t="s">
        <v>24</v>
      </c>
      <c r="J15" s="24" t="s">
        <v>24</v>
      </c>
      <c r="K15" s="24" t="s">
        <v>24</v>
      </c>
      <c r="L15" s="24" t="s">
        <v>24</v>
      </c>
      <c r="M15" s="24"/>
      <c r="N15" s="24"/>
      <c r="O15" s="149"/>
      <c r="P15" s="149"/>
      <c r="Q15" s="149"/>
      <c r="R15" s="149"/>
      <c r="S15" s="149"/>
      <c r="T15" s="149"/>
      <c r="U15" s="149"/>
      <c r="V15" s="149"/>
      <c r="W15" s="149"/>
      <c r="X15" s="149"/>
      <c r="Y15" s="149"/>
      <c r="Z15" s="149"/>
      <c r="AA15" s="24" t="s">
        <v>616</v>
      </c>
    </row>
    <row r="16" spans="1:27">
      <c r="A16" s="24" t="s">
        <v>639</v>
      </c>
      <c r="B16" s="24" t="s">
        <v>640</v>
      </c>
      <c r="C16" s="23" t="s">
        <v>641</v>
      </c>
      <c r="D16" s="149"/>
      <c r="E16" s="88" t="s">
        <v>148</v>
      </c>
      <c r="F16" s="24" t="s">
        <v>24</v>
      </c>
      <c r="G16" s="24" t="s">
        <v>24</v>
      </c>
      <c r="H16" s="24" t="s">
        <v>24</v>
      </c>
      <c r="I16" s="24" t="s">
        <v>24</v>
      </c>
      <c r="J16" s="24" t="s">
        <v>24</v>
      </c>
      <c r="K16" s="24" t="s">
        <v>24</v>
      </c>
      <c r="L16" s="24" t="s">
        <v>24</v>
      </c>
      <c r="M16" s="24"/>
      <c r="N16" s="24"/>
      <c r="O16" s="149"/>
      <c r="P16" s="149"/>
      <c r="Q16" s="149"/>
      <c r="R16" s="149"/>
      <c r="S16" s="149"/>
      <c r="T16" s="149"/>
      <c r="U16" s="149"/>
      <c r="V16" s="149"/>
      <c r="W16" s="149"/>
      <c r="X16" s="149"/>
      <c r="Y16" s="149"/>
      <c r="Z16" s="149"/>
      <c r="AA16" s="24" t="s">
        <v>616</v>
      </c>
    </row>
    <row r="17" spans="1:27">
      <c r="A17" s="24" t="s">
        <v>642</v>
      </c>
      <c r="B17" s="24" t="s">
        <v>643</v>
      </c>
      <c r="C17" s="23" t="s">
        <v>644</v>
      </c>
      <c r="D17" s="149"/>
      <c r="E17" s="88" t="s">
        <v>148</v>
      </c>
      <c r="F17" s="24" t="s">
        <v>24</v>
      </c>
      <c r="G17" s="24" t="s">
        <v>24</v>
      </c>
      <c r="H17" s="24" t="s">
        <v>24</v>
      </c>
      <c r="I17" s="24" t="s">
        <v>24</v>
      </c>
      <c r="J17" s="24" t="s">
        <v>24</v>
      </c>
      <c r="K17" s="24" t="s">
        <v>24</v>
      </c>
      <c r="L17" s="24" t="s">
        <v>24</v>
      </c>
      <c r="M17" s="24"/>
      <c r="N17" s="24"/>
      <c r="O17" s="149"/>
      <c r="P17" s="149"/>
      <c r="Q17" s="149"/>
      <c r="R17" s="149"/>
      <c r="S17" s="149"/>
      <c r="T17" s="149"/>
      <c r="U17" s="149"/>
      <c r="V17" s="149"/>
      <c r="W17" s="149"/>
      <c r="X17" s="149"/>
      <c r="Y17" s="149"/>
      <c r="Z17" s="149"/>
      <c r="AA17" s="24" t="s">
        <v>616</v>
      </c>
    </row>
    <row r="18" spans="1:27">
      <c r="A18" s="24" t="s">
        <v>645</v>
      </c>
      <c r="B18" s="24" t="s">
        <v>646</v>
      </c>
      <c r="C18" s="23" t="s">
        <v>647</v>
      </c>
      <c r="D18" s="149"/>
      <c r="E18" s="88" t="s">
        <v>148</v>
      </c>
      <c r="F18" s="24" t="s">
        <v>24</v>
      </c>
      <c r="G18" s="24" t="s">
        <v>24</v>
      </c>
      <c r="H18" s="24" t="s">
        <v>24</v>
      </c>
      <c r="I18" s="24" t="s">
        <v>24</v>
      </c>
      <c r="J18" s="24" t="s">
        <v>24</v>
      </c>
      <c r="K18" s="24" t="s">
        <v>24</v>
      </c>
      <c r="L18" s="24" t="s">
        <v>24</v>
      </c>
      <c r="M18" s="24"/>
      <c r="N18" s="24"/>
      <c r="O18" s="149"/>
      <c r="P18" s="149"/>
      <c r="Q18" s="149"/>
      <c r="R18" s="149"/>
      <c r="S18" s="149"/>
      <c r="T18" s="149"/>
      <c r="U18" s="149"/>
      <c r="V18" s="149"/>
      <c r="W18" s="149"/>
      <c r="X18" s="149"/>
      <c r="Y18" s="149"/>
      <c r="Z18" s="149"/>
      <c r="AA18" s="24" t="s">
        <v>616</v>
      </c>
    </row>
    <row r="19" spans="1:27">
      <c r="A19" s="24" t="s">
        <v>648</v>
      </c>
      <c r="B19" s="24" t="s">
        <v>649</v>
      </c>
      <c r="C19" s="23" t="s">
        <v>650</v>
      </c>
      <c r="D19" s="149"/>
      <c r="E19" s="88" t="s">
        <v>148</v>
      </c>
      <c r="F19" s="24" t="s">
        <v>24</v>
      </c>
      <c r="G19" s="24" t="s">
        <v>24</v>
      </c>
      <c r="H19" s="24" t="s">
        <v>24</v>
      </c>
      <c r="I19" s="24" t="s">
        <v>24</v>
      </c>
      <c r="J19" s="24" t="s">
        <v>24</v>
      </c>
      <c r="K19" s="24" t="s">
        <v>24</v>
      </c>
      <c r="L19" s="24" t="s">
        <v>24</v>
      </c>
      <c r="M19" s="24"/>
      <c r="N19" s="24"/>
      <c r="O19" s="149"/>
      <c r="P19" s="149"/>
      <c r="Q19" s="149"/>
      <c r="R19" s="149"/>
      <c r="S19" s="149"/>
      <c r="T19" s="149"/>
      <c r="U19" s="149"/>
      <c r="V19" s="149"/>
      <c r="W19" s="149"/>
      <c r="X19" s="149"/>
      <c r="Y19" s="149"/>
      <c r="Z19" s="149"/>
      <c r="AA19" s="24" t="s">
        <v>616</v>
      </c>
    </row>
    <row r="20" spans="1:27">
      <c r="A20" s="24" t="s">
        <v>651</v>
      </c>
      <c r="B20" s="24" t="s">
        <v>652</v>
      </c>
      <c r="C20" s="23" t="s">
        <v>653</v>
      </c>
      <c r="D20" s="149"/>
      <c r="E20" s="88" t="s">
        <v>148</v>
      </c>
      <c r="F20" s="24" t="s">
        <v>24</v>
      </c>
      <c r="G20" s="24" t="s">
        <v>24</v>
      </c>
      <c r="H20" s="24" t="s">
        <v>24</v>
      </c>
      <c r="I20" s="24" t="s">
        <v>24</v>
      </c>
      <c r="J20" s="24" t="s">
        <v>24</v>
      </c>
      <c r="K20" s="24" t="s">
        <v>24</v>
      </c>
      <c r="L20" s="24" t="s">
        <v>24</v>
      </c>
      <c r="M20" s="24"/>
      <c r="N20" s="24"/>
      <c r="O20" s="149"/>
      <c r="P20" s="149"/>
      <c r="Q20" s="149"/>
      <c r="R20" s="149"/>
      <c r="S20" s="149"/>
      <c r="T20" s="149"/>
      <c r="U20" s="149"/>
      <c r="V20" s="149"/>
      <c r="W20" s="149"/>
      <c r="X20" s="149"/>
      <c r="Y20" s="149"/>
      <c r="Z20" s="149"/>
      <c r="AA20" s="24" t="s">
        <v>616</v>
      </c>
    </row>
    <row r="21" spans="1:27">
      <c r="A21" s="24" t="s">
        <v>654</v>
      </c>
      <c r="B21" s="24" t="s">
        <v>655</v>
      </c>
      <c r="C21" s="23" t="s">
        <v>656</v>
      </c>
      <c r="D21" s="149"/>
      <c r="E21" s="88" t="s">
        <v>148</v>
      </c>
      <c r="F21" s="24" t="s">
        <v>24</v>
      </c>
      <c r="G21" s="24" t="s">
        <v>24</v>
      </c>
      <c r="H21" s="24" t="s">
        <v>24</v>
      </c>
      <c r="I21" s="24" t="s">
        <v>24</v>
      </c>
      <c r="J21" s="24" t="s">
        <v>24</v>
      </c>
      <c r="K21" s="24" t="s">
        <v>24</v>
      </c>
      <c r="L21" s="24" t="s">
        <v>24</v>
      </c>
      <c r="M21" s="24"/>
      <c r="N21" s="24"/>
      <c r="O21" s="149"/>
      <c r="P21" s="149"/>
      <c r="Q21" s="149"/>
      <c r="R21" s="149"/>
      <c r="S21" s="149"/>
      <c r="T21" s="149"/>
      <c r="U21" s="149"/>
      <c r="V21" s="149"/>
      <c r="W21" s="149"/>
      <c r="X21" s="149"/>
      <c r="Y21" s="149"/>
      <c r="Z21" s="149"/>
      <c r="AA21" s="24" t="s">
        <v>616</v>
      </c>
    </row>
    <row r="22" spans="1:27">
      <c r="A22" s="24" t="s">
        <v>657</v>
      </c>
      <c r="B22" s="24" t="s">
        <v>658</v>
      </c>
      <c r="C22" s="23" t="s">
        <v>659</v>
      </c>
      <c r="D22" s="149"/>
      <c r="E22" s="88" t="s">
        <v>148</v>
      </c>
      <c r="F22" s="24" t="s">
        <v>24</v>
      </c>
      <c r="G22" s="24" t="s">
        <v>24</v>
      </c>
      <c r="H22" s="24" t="s">
        <v>24</v>
      </c>
      <c r="I22" s="24" t="s">
        <v>24</v>
      </c>
      <c r="J22" s="24" t="s">
        <v>24</v>
      </c>
      <c r="K22" s="24" t="s">
        <v>24</v>
      </c>
      <c r="L22" s="24" t="s">
        <v>24</v>
      </c>
      <c r="M22" s="24"/>
      <c r="N22" s="24"/>
      <c r="O22" s="149"/>
      <c r="P22" s="149"/>
      <c r="Q22" s="149"/>
      <c r="R22" s="149"/>
      <c r="S22" s="149"/>
      <c r="T22" s="149"/>
      <c r="U22" s="149"/>
      <c r="V22" s="149"/>
      <c r="W22" s="149"/>
      <c r="X22" s="149"/>
      <c r="Y22" s="149"/>
      <c r="Z22" s="149"/>
      <c r="AA22" s="24" t="s">
        <v>616</v>
      </c>
    </row>
    <row r="23" spans="1:27">
      <c r="A23" s="24" t="s">
        <v>660</v>
      </c>
      <c r="B23" s="24" t="s">
        <v>661</v>
      </c>
      <c r="C23" s="23" t="s">
        <v>662</v>
      </c>
      <c r="D23" s="149"/>
      <c r="E23" s="88" t="s">
        <v>148</v>
      </c>
      <c r="F23" s="24" t="s">
        <v>24</v>
      </c>
      <c r="G23" s="24" t="s">
        <v>24</v>
      </c>
      <c r="H23" s="24" t="s">
        <v>24</v>
      </c>
      <c r="I23" s="24" t="s">
        <v>24</v>
      </c>
      <c r="J23" s="24" t="s">
        <v>24</v>
      </c>
      <c r="K23" s="24" t="s">
        <v>24</v>
      </c>
      <c r="L23" s="24" t="s">
        <v>24</v>
      </c>
      <c r="M23" s="24"/>
      <c r="N23" s="24"/>
      <c r="O23" s="149"/>
      <c r="P23" s="149"/>
      <c r="Q23" s="149"/>
      <c r="R23" s="149"/>
      <c r="S23" s="149"/>
      <c r="T23" s="149"/>
      <c r="U23" s="149"/>
      <c r="V23" s="149"/>
      <c r="W23" s="149"/>
      <c r="X23" s="149"/>
      <c r="Y23" s="149"/>
      <c r="Z23" s="149"/>
      <c r="AA23" s="24" t="s">
        <v>616</v>
      </c>
    </row>
    <row r="24" spans="1:27">
      <c r="A24" s="24" t="s">
        <v>663</v>
      </c>
      <c r="B24" s="24" t="s">
        <v>664</v>
      </c>
      <c r="C24" s="23" t="s">
        <v>665</v>
      </c>
      <c r="D24" s="149"/>
      <c r="E24" s="88" t="s">
        <v>148</v>
      </c>
      <c r="F24" s="24" t="s">
        <v>24</v>
      </c>
      <c r="G24" s="24" t="s">
        <v>24</v>
      </c>
      <c r="H24" s="24" t="s">
        <v>24</v>
      </c>
      <c r="I24" s="24" t="s">
        <v>24</v>
      </c>
      <c r="J24" s="24" t="s">
        <v>24</v>
      </c>
      <c r="K24" s="24" t="s">
        <v>24</v>
      </c>
      <c r="L24" s="24" t="s">
        <v>24</v>
      </c>
      <c r="M24" s="24"/>
      <c r="N24" s="24"/>
      <c r="O24" s="149"/>
      <c r="P24" s="149"/>
      <c r="Q24" s="149"/>
      <c r="R24" s="149"/>
      <c r="S24" s="149"/>
      <c r="T24" s="149"/>
      <c r="U24" s="149"/>
      <c r="V24" s="149"/>
      <c r="W24" s="149"/>
      <c r="X24" s="149"/>
      <c r="Y24" s="149"/>
      <c r="Z24" s="149"/>
      <c r="AA24" s="24" t="s">
        <v>616</v>
      </c>
    </row>
    <row r="25" spans="1:27">
      <c r="A25" s="24" t="s">
        <v>666</v>
      </c>
      <c r="B25" s="24" t="s">
        <v>667</v>
      </c>
      <c r="C25" s="23" t="s">
        <v>668</v>
      </c>
      <c r="D25" s="149"/>
      <c r="E25" s="88" t="s">
        <v>148</v>
      </c>
      <c r="F25" s="24" t="s">
        <v>24</v>
      </c>
      <c r="G25" s="24" t="s">
        <v>24</v>
      </c>
      <c r="H25" s="24" t="s">
        <v>24</v>
      </c>
      <c r="I25" s="24" t="s">
        <v>24</v>
      </c>
      <c r="J25" s="24" t="s">
        <v>24</v>
      </c>
      <c r="K25" s="24" t="s">
        <v>24</v>
      </c>
      <c r="L25" s="24" t="s">
        <v>24</v>
      </c>
      <c r="M25" s="24"/>
      <c r="N25" s="24"/>
      <c r="O25" s="149"/>
      <c r="P25" s="149"/>
      <c r="Q25" s="149"/>
      <c r="R25" s="149"/>
      <c r="S25" s="149"/>
      <c r="T25" s="149"/>
      <c r="U25" s="149"/>
      <c r="V25" s="149"/>
      <c r="W25" s="149"/>
      <c r="X25" s="149"/>
      <c r="Y25" s="149"/>
      <c r="Z25" s="149"/>
      <c r="AA25" s="24" t="s">
        <v>616</v>
      </c>
    </row>
    <row r="26" spans="1:27">
      <c r="A26" s="24" t="s">
        <v>669</v>
      </c>
      <c r="B26" s="24" t="s">
        <v>670</v>
      </c>
      <c r="C26" s="23" t="s">
        <v>671</v>
      </c>
      <c r="D26" s="149"/>
      <c r="E26" s="88" t="s">
        <v>148</v>
      </c>
      <c r="F26" s="24" t="s">
        <v>24</v>
      </c>
      <c r="G26" s="24" t="s">
        <v>24</v>
      </c>
      <c r="H26" s="24" t="s">
        <v>24</v>
      </c>
      <c r="I26" s="24" t="s">
        <v>24</v>
      </c>
      <c r="J26" s="24" t="s">
        <v>24</v>
      </c>
      <c r="K26" s="24" t="s">
        <v>24</v>
      </c>
      <c r="L26" s="24" t="s">
        <v>24</v>
      </c>
      <c r="M26" s="24"/>
      <c r="N26" s="24"/>
      <c r="O26" s="149"/>
      <c r="P26" s="149"/>
      <c r="Q26" s="149"/>
      <c r="R26" s="149"/>
      <c r="S26" s="149"/>
      <c r="T26" s="149"/>
      <c r="U26" s="149"/>
      <c r="V26" s="149"/>
      <c r="W26" s="149"/>
      <c r="X26" s="149"/>
      <c r="Y26" s="149"/>
      <c r="Z26" s="149"/>
      <c r="AA26" s="24" t="s">
        <v>616</v>
      </c>
    </row>
    <row r="27" spans="1:27">
      <c r="A27" s="24" t="s">
        <v>672</v>
      </c>
      <c r="B27" s="24" t="s">
        <v>673</v>
      </c>
      <c r="C27" s="23" t="s">
        <v>674</v>
      </c>
      <c r="D27" s="149"/>
      <c r="E27" s="88" t="s">
        <v>145</v>
      </c>
      <c r="F27" s="88" t="s">
        <v>145</v>
      </c>
      <c r="G27" s="88" t="s">
        <v>145</v>
      </c>
      <c r="H27" s="88" t="s">
        <v>145</v>
      </c>
      <c r="I27" s="88" t="s">
        <v>145</v>
      </c>
      <c r="J27" s="88" t="s">
        <v>145</v>
      </c>
      <c r="K27" s="88" t="s">
        <v>145</v>
      </c>
      <c r="L27" s="88" t="s">
        <v>145</v>
      </c>
      <c r="M27" s="24"/>
      <c r="N27" s="24"/>
      <c r="O27" s="149"/>
      <c r="P27" s="149"/>
      <c r="Q27" s="149"/>
      <c r="R27" s="149"/>
      <c r="S27" s="149"/>
      <c r="T27" s="149"/>
      <c r="U27" s="149"/>
      <c r="V27" s="149"/>
      <c r="W27" s="149"/>
      <c r="X27" s="149"/>
      <c r="Y27" s="149"/>
      <c r="Z27" s="149"/>
      <c r="AA27" s="24" t="s">
        <v>616</v>
      </c>
    </row>
    <row r="28" spans="1:27">
      <c r="A28" s="24" t="s">
        <v>675</v>
      </c>
      <c r="B28" s="24" t="s">
        <v>676</v>
      </c>
      <c r="C28" s="23" t="s">
        <v>677</v>
      </c>
      <c r="D28" s="149"/>
      <c r="E28" s="88" t="s">
        <v>145</v>
      </c>
      <c r="F28" s="88" t="s">
        <v>145</v>
      </c>
      <c r="G28" s="88" t="s">
        <v>145</v>
      </c>
      <c r="H28" s="88" t="s">
        <v>145</v>
      </c>
      <c r="I28" s="88" t="s">
        <v>145</v>
      </c>
      <c r="J28" s="88" t="s">
        <v>145</v>
      </c>
      <c r="K28" s="88" t="s">
        <v>145</v>
      </c>
      <c r="L28" s="88" t="s">
        <v>145</v>
      </c>
      <c r="M28" s="24"/>
      <c r="N28" s="24"/>
      <c r="O28" s="149"/>
      <c r="P28" s="149"/>
      <c r="Q28" s="149"/>
      <c r="R28" s="149"/>
      <c r="S28" s="149"/>
      <c r="T28" s="149"/>
      <c r="U28" s="149"/>
      <c r="V28" s="149"/>
      <c r="W28" s="149"/>
      <c r="X28" s="149"/>
      <c r="Y28" s="149"/>
      <c r="Z28" s="149"/>
      <c r="AA28" s="24" t="s">
        <v>616</v>
      </c>
    </row>
    <row r="29" spans="1:27">
      <c r="A29" s="24" t="s">
        <v>678</v>
      </c>
      <c r="B29" s="24" t="s">
        <v>679</v>
      </c>
      <c r="C29" s="23" t="s">
        <v>680</v>
      </c>
      <c r="D29" s="149"/>
      <c r="E29" s="88" t="s">
        <v>145</v>
      </c>
      <c r="F29" s="88" t="s">
        <v>145</v>
      </c>
      <c r="G29" s="88" t="s">
        <v>145</v>
      </c>
      <c r="H29" s="88" t="s">
        <v>145</v>
      </c>
      <c r="I29" s="88" t="s">
        <v>145</v>
      </c>
      <c r="J29" s="88" t="s">
        <v>145</v>
      </c>
      <c r="K29" s="88" t="s">
        <v>145</v>
      </c>
      <c r="L29" s="88" t="s">
        <v>145</v>
      </c>
      <c r="M29" s="24"/>
      <c r="N29" s="24"/>
      <c r="O29" s="149"/>
      <c r="P29" s="149"/>
      <c r="Q29" s="149"/>
      <c r="R29" s="149"/>
      <c r="S29" s="149"/>
      <c r="T29" s="149"/>
      <c r="U29" s="149"/>
      <c r="V29" s="149"/>
      <c r="W29" s="149"/>
      <c r="X29" s="149"/>
      <c r="Y29" s="149"/>
      <c r="Z29" s="149"/>
      <c r="AA29" s="24" t="s">
        <v>616</v>
      </c>
    </row>
    <row r="30" spans="1:27">
      <c r="A30" s="24" t="s">
        <v>681</v>
      </c>
      <c r="B30" s="24" t="s">
        <v>682</v>
      </c>
      <c r="C30" s="23" t="s">
        <v>683</v>
      </c>
      <c r="D30" s="149"/>
      <c r="E30" s="88" t="s">
        <v>145</v>
      </c>
      <c r="F30" s="88" t="s">
        <v>145</v>
      </c>
      <c r="G30" s="88" t="s">
        <v>145</v>
      </c>
      <c r="H30" s="88" t="s">
        <v>145</v>
      </c>
      <c r="I30" s="88" t="s">
        <v>145</v>
      </c>
      <c r="J30" s="88" t="s">
        <v>145</v>
      </c>
      <c r="K30" s="88" t="s">
        <v>145</v>
      </c>
      <c r="L30" s="88" t="s">
        <v>145</v>
      </c>
      <c r="M30" s="24"/>
      <c r="N30" s="24"/>
      <c r="O30" s="149"/>
      <c r="P30" s="149"/>
      <c r="Q30" s="149"/>
      <c r="R30" s="149"/>
      <c r="S30" s="149"/>
      <c r="T30" s="149"/>
      <c r="U30" s="149"/>
      <c r="V30" s="149"/>
      <c r="W30" s="149"/>
      <c r="X30" s="149"/>
      <c r="Y30" s="149"/>
      <c r="Z30" s="149"/>
      <c r="AA30" s="24" t="s">
        <v>616</v>
      </c>
    </row>
    <row r="31" spans="1:27">
      <c r="A31" s="24" t="s">
        <v>684</v>
      </c>
      <c r="B31" s="24" t="s">
        <v>685</v>
      </c>
      <c r="C31" s="23" t="s">
        <v>686</v>
      </c>
      <c r="D31" s="149"/>
      <c r="E31" s="88" t="s">
        <v>145</v>
      </c>
      <c r="F31" s="88" t="s">
        <v>145</v>
      </c>
      <c r="G31" s="88" t="s">
        <v>145</v>
      </c>
      <c r="H31" s="88" t="s">
        <v>145</v>
      </c>
      <c r="I31" s="88" t="s">
        <v>145</v>
      </c>
      <c r="J31" s="88" t="s">
        <v>145</v>
      </c>
      <c r="K31" s="88" t="s">
        <v>145</v>
      </c>
      <c r="L31" s="88" t="s">
        <v>145</v>
      </c>
      <c r="M31" s="24"/>
      <c r="N31" s="24"/>
      <c r="O31" s="149"/>
      <c r="P31" s="149"/>
      <c r="Q31" s="149"/>
      <c r="R31" s="149"/>
      <c r="S31" s="149"/>
      <c r="T31" s="149"/>
      <c r="U31" s="149"/>
      <c r="V31" s="149"/>
      <c r="W31" s="149"/>
      <c r="X31" s="149"/>
      <c r="Y31" s="149"/>
      <c r="Z31" s="149"/>
      <c r="AA31" s="24" t="s">
        <v>616</v>
      </c>
    </row>
    <row r="32" spans="1:27">
      <c r="A32" s="24" t="s">
        <v>687</v>
      </c>
      <c r="B32" s="24" t="s">
        <v>688</v>
      </c>
      <c r="C32" s="23" t="s">
        <v>689</v>
      </c>
      <c r="D32" s="149"/>
      <c r="E32" s="88" t="s">
        <v>145</v>
      </c>
      <c r="F32" s="88" t="s">
        <v>145</v>
      </c>
      <c r="G32" s="88" t="s">
        <v>145</v>
      </c>
      <c r="H32" s="88" t="s">
        <v>145</v>
      </c>
      <c r="I32" s="88" t="s">
        <v>145</v>
      </c>
      <c r="J32" s="88" t="s">
        <v>145</v>
      </c>
      <c r="K32" s="88" t="s">
        <v>145</v>
      </c>
      <c r="L32" s="88" t="s">
        <v>145</v>
      </c>
      <c r="M32" s="24"/>
      <c r="N32" s="24"/>
      <c r="O32" s="149"/>
      <c r="P32" s="149"/>
      <c r="Q32" s="149"/>
      <c r="R32" s="149"/>
      <c r="S32" s="149"/>
      <c r="T32" s="149"/>
      <c r="U32" s="149"/>
      <c r="V32" s="149"/>
      <c r="W32" s="149"/>
      <c r="X32" s="149"/>
      <c r="Y32" s="149"/>
      <c r="Z32" s="149"/>
      <c r="AA32" s="24" t="s">
        <v>616</v>
      </c>
    </row>
    <row r="33" spans="1:27">
      <c r="A33" s="24" t="s">
        <v>690</v>
      </c>
      <c r="B33" s="24" t="s">
        <v>691</v>
      </c>
      <c r="C33" s="23" t="s">
        <v>692</v>
      </c>
      <c r="D33" s="149"/>
      <c r="E33" s="88" t="s">
        <v>145</v>
      </c>
      <c r="F33" s="88" t="s">
        <v>145</v>
      </c>
      <c r="G33" s="88" t="s">
        <v>145</v>
      </c>
      <c r="H33" s="88" t="s">
        <v>145</v>
      </c>
      <c r="I33" s="88" t="s">
        <v>145</v>
      </c>
      <c r="J33" s="88" t="s">
        <v>145</v>
      </c>
      <c r="K33" s="88" t="s">
        <v>145</v>
      </c>
      <c r="L33" s="88" t="s">
        <v>145</v>
      </c>
      <c r="M33" s="24"/>
      <c r="N33" s="24"/>
      <c r="O33" s="149"/>
      <c r="P33" s="149"/>
      <c r="Q33" s="149"/>
      <c r="R33" s="149"/>
      <c r="S33" s="149"/>
      <c r="T33" s="149"/>
      <c r="U33" s="149"/>
      <c r="V33" s="149"/>
      <c r="W33" s="149"/>
      <c r="X33" s="149"/>
      <c r="Y33" s="149"/>
      <c r="Z33" s="149"/>
      <c r="AA33" s="24" t="s">
        <v>616</v>
      </c>
    </row>
    <row r="34" spans="1:27">
      <c r="A34" s="24" t="s">
        <v>693</v>
      </c>
      <c r="B34" s="24" t="s">
        <v>694</v>
      </c>
      <c r="C34" s="23" t="s">
        <v>695</v>
      </c>
      <c r="D34" s="149"/>
      <c r="E34" s="88" t="s">
        <v>145</v>
      </c>
      <c r="F34" s="88" t="s">
        <v>145</v>
      </c>
      <c r="G34" s="88" t="s">
        <v>145</v>
      </c>
      <c r="H34" s="88" t="s">
        <v>145</v>
      </c>
      <c r="I34" s="88" t="s">
        <v>145</v>
      </c>
      <c r="J34" s="88" t="s">
        <v>145</v>
      </c>
      <c r="K34" s="88" t="s">
        <v>145</v>
      </c>
      <c r="L34" s="88" t="s">
        <v>145</v>
      </c>
      <c r="M34" s="24"/>
      <c r="N34" s="24"/>
      <c r="O34" s="149"/>
      <c r="P34" s="149"/>
      <c r="Q34" s="149"/>
      <c r="R34" s="149"/>
      <c r="S34" s="149"/>
      <c r="T34" s="149"/>
      <c r="U34" s="149"/>
      <c r="V34" s="149"/>
      <c r="W34" s="149"/>
      <c r="X34" s="149"/>
      <c r="Y34" s="149"/>
      <c r="Z34" s="149"/>
      <c r="AA34" s="24" t="s">
        <v>616</v>
      </c>
    </row>
    <row r="35" spans="1:27">
      <c r="A35" s="24" t="s">
        <v>696</v>
      </c>
      <c r="B35" s="24" t="s">
        <v>697</v>
      </c>
      <c r="C35" s="23" t="s">
        <v>698</v>
      </c>
      <c r="D35" s="149"/>
      <c r="E35" s="88" t="s">
        <v>145</v>
      </c>
      <c r="F35" s="88" t="s">
        <v>145</v>
      </c>
      <c r="G35" s="88" t="s">
        <v>145</v>
      </c>
      <c r="H35" s="88" t="s">
        <v>145</v>
      </c>
      <c r="I35" s="88" t="s">
        <v>145</v>
      </c>
      <c r="J35" s="88" t="s">
        <v>145</v>
      </c>
      <c r="K35" s="88" t="s">
        <v>145</v>
      </c>
      <c r="L35" s="88" t="s">
        <v>145</v>
      </c>
      <c r="M35" s="24"/>
      <c r="N35" s="24"/>
      <c r="O35" s="149"/>
      <c r="P35" s="149"/>
      <c r="Q35" s="149"/>
      <c r="R35" s="149"/>
      <c r="S35" s="149"/>
      <c r="T35" s="149"/>
      <c r="U35" s="149"/>
      <c r="V35" s="149"/>
      <c r="W35" s="149"/>
      <c r="X35" s="149"/>
      <c r="Y35" s="149"/>
      <c r="Z35" s="149"/>
      <c r="AA35" s="24" t="s">
        <v>616</v>
      </c>
    </row>
    <row r="36" spans="1:27">
      <c r="A36" s="24" t="s">
        <v>699</v>
      </c>
      <c r="B36" s="24" t="s">
        <v>700</v>
      </c>
      <c r="C36" s="23" t="s">
        <v>701</v>
      </c>
      <c r="D36" s="149"/>
      <c r="E36" s="88" t="s">
        <v>145</v>
      </c>
      <c r="F36" s="88" t="s">
        <v>145</v>
      </c>
      <c r="G36" s="88" t="s">
        <v>145</v>
      </c>
      <c r="H36" s="88" t="s">
        <v>145</v>
      </c>
      <c r="I36" s="88" t="s">
        <v>145</v>
      </c>
      <c r="J36" s="88" t="s">
        <v>145</v>
      </c>
      <c r="K36" s="88" t="s">
        <v>145</v>
      </c>
      <c r="L36" s="88" t="s">
        <v>145</v>
      </c>
      <c r="M36" s="24"/>
      <c r="N36" s="24"/>
      <c r="O36" s="149"/>
      <c r="P36" s="149"/>
      <c r="Q36" s="149"/>
      <c r="R36" s="149"/>
      <c r="S36" s="149"/>
      <c r="T36" s="149"/>
      <c r="U36" s="149"/>
      <c r="V36" s="149"/>
      <c r="W36" s="149"/>
      <c r="X36" s="149"/>
      <c r="Y36" s="149"/>
      <c r="Z36" s="149"/>
      <c r="AA36" s="24" t="s">
        <v>616</v>
      </c>
    </row>
    <row r="37" spans="1:27">
      <c r="A37" s="24" t="s">
        <v>702</v>
      </c>
      <c r="B37" s="24" t="s">
        <v>703</v>
      </c>
      <c r="C37" s="23" t="s">
        <v>704</v>
      </c>
      <c r="D37" s="149"/>
      <c r="E37" s="88" t="s">
        <v>145</v>
      </c>
      <c r="F37" s="88" t="s">
        <v>145</v>
      </c>
      <c r="G37" s="88" t="s">
        <v>145</v>
      </c>
      <c r="H37" s="88" t="s">
        <v>145</v>
      </c>
      <c r="I37" s="88" t="s">
        <v>145</v>
      </c>
      <c r="J37" s="88" t="s">
        <v>145</v>
      </c>
      <c r="K37" s="88" t="s">
        <v>145</v>
      </c>
      <c r="L37" s="88" t="s">
        <v>145</v>
      </c>
      <c r="M37" s="24"/>
      <c r="N37" s="24"/>
      <c r="O37" s="149"/>
      <c r="P37" s="149"/>
      <c r="Q37" s="149"/>
      <c r="R37" s="149"/>
      <c r="S37" s="149"/>
      <c r="T37" s="149"/>
      <c r="U37" s="149"/>
      <c r="V37" s="149"/>
      <c r="W37" s="149"/>
      <c r="X37" s="149"/>
      <c r="Y37" s="149"/>
      <c r="Z37" s="149"/>
      <c r="AA37" s="24" t="s">
        <v>616</v>
      </c>
    </row>
    <row r="38" spans="1:27">
      <c r="A38" s="24" t="s">
        <v>705</v>
      </c>
      <c r="B38" s="24" t="s">
        <v>706</v>
      </c>
      <c r="C38" s="23" t="s">
        <v>707</v>
      </c>
      <c r="D38" s="149"/>
      <c r="E38" s="88" t="s">
        <v>145</v>
      </c>
      <c r="F38" s="88" t="s">
        <v>145</v>
      </c>
      <c r="G38" s="88" t="s">
        <v>145</v>
      </c>
      <c r="H38" s="88" t="s">
        <v>145</v>
      </c>
      <c r="I38" s="88" t="s">
        <v>145</v>
      </c>
      <c r="J38" s="88" t="s">
        <v>145</v>
      </c>
      <c r="K38" s="88" t="s">
        <v>145</v>
      </c>
      <c r="L38" s="88" t="s">
        <v>145</v>
      </c>
      <c r="M38" s="24"/>
      <c r="N38" s="24"/>
      <c r="O38" s="149"/>
      <c r="P38" s="149"/>
      <c r="Q38" s="149"/>
      <c r="R38" s="149"/>
      <c r="S38" s="149"/>
      <c r="T38" s="149"/>
      <c r="U38" s="149"/>
      <c r="V38" s="149"/>
      <c r="W38" s="149"/>
      <c r="X38" s="149"/>
      <c r="Y38" s="149"/>
      <c r="Z38" s="149"/>
      <c r="AA38" s="24" t="s">
        <v>616</v>
      </c>
    </row>
    <row r="39" spans="1:27">
      <c r="A39" s="24" t="s">
        <v>708</v>
      </c>
      <c r="B39" s="24" t="s">
        <v>709</v>
      </c>
      <c r="C39" s="23" t="s">
        <v>710</v>
      </c>
      <c r="D39" s="149"/>
      <c r="E39" s="88" t="s">
        <v>148</v>
      </c>
      <c r="F39" s="24" t="s">
        <v>24</v>
      </c>
      <c r="G39" s="24" t="s">
        <v>24</v>
      </c>
      <c r="H39" s="24" t="s">
        <v>24</v>
      </c>
      <c r="I39" s="24" t="s">
        <v>24</v>
      </c>
      <c r="J39" s="24" t="s">
        <v>24</v>
      </c>
      <c r="K39" s="24" t="s">
        <v>24</v>
      </c>
      <c r="L39" s="24" t="s">
        <v>24</v>
      </c>
      <c r="M39" s="24"/>
      <c r="N39" s="24"/>
      <c r="O39" s="149"/>
      <c r="P39" s="149"/>
      <c r="Q39" s="149"/>
      <c r="R39" s="149"/>
      <c r="S39" s="149"/>
      <c r="T39" s="149"/>
      <c r="U39" s="149"/>
      <c r="V39" s="149"/>
      <c r="W39" s="149"/>
      <c r="X39" s="149"/>
      <c r="Y39" s="149"/>
      <c r="Z39" s="149"/>
      <c r="AA39" s="24" t="s">
        <v>711</v>
      </c>
    </row>
    <row r="40" spans="1:27">
      <c r="A40" s="24" t="s">
        <v>712</v>
      </c>
      <c r="B40" s="24" t="s">
        <v>713</v>
      </c>
      <c r="C40" s="23" t="s">
        <v>714</v>
      </c>
      <c r="D40" s="149"/>
      <c r="E40" s="88" t="s">
        <v>148</v>
      </c>
      <c r="F40" s="24" t="s">
        <v>24</v>
      </c>
      <c r="G40" s="24" t="s">
        <v>24</v>
      </c>
      <c r="H40" s="24" t="s">
        <v>24</v>
      </c>
      <c r="I40" s="24" t="s">
        <v>24</v>
      </c>
      <c r="J40" s="24" t="s">
        <v>24</v>
      </c>
      <c r="K40" s="24" t="s">
        <v>24</v>
      </c>
      <c r="L40" s="24" t="s">
        <v>24</v>
      </c>
      <c r="M40" s="24"/>
      <c r="N40" s="24"/>
      <c r="O40" s="149"/>
      <c r="P40" s="149"/>
      <c r="Q40" s="149"/>
      <c r="R40" s="149"/>
      <c r="S40" s="149"/>
      <c r="T40" s="149"/>
      <c r="U40" s="149"/>
      <c r="V40" s="149"/>
      <c r="W40" s="149"/>
      <c r="X40" s="149"/>
      <c r="Y40" s="149"/>
      <c r="Z40" s="149"/>
      <c r="AA40" s="24" t="s">
        <v>711</v>
      </c>
    </row>
    <row r="41" spans="1:27">
      <c r="A41" s="24" t="s">
        <v>715</v>
      </c>
      <c r="B41" s="24" t="s">
        <v>716</v>
      </c>
      <c r="C41" s="23" t="s">
        <v>717</v>
      </c>
      <c r="D41" s="149"/>
      <c r="E41" s="88" t="s">
        <v>148</v>
      </c>
      <c r="F41" s="24" t="s">
        <v>24</v>
      </c>
      <c r="G41" s="24" t="s">
        <v>24</v>
      </c>
      <c r="H41" s="24" t="s">
        <v>24</v>
      </c>
      <c r="I41" s="24" t="s">
        <v>24</v>
      </c>
      <c r="J41" s="24" t="s">
        <v>24</v>
      </c>
      <c r="K41" s="24" t="s">
        <v>24</v>
      </c>
      <c r="L41" s="24" t="s">
        <v>24</v>
      </c>
      <c r="M41" s="24"/>
      <c r="N41" s="24"/>
      <c r="O41" s="149"/>
      <c r="P41" s="149"/>
      <c r="Q41" s="149"/>
      <c r="R41" s="149"/>
      <c r="S41" s="149"/>
      <c r="T41" s="149"/>
      <c r="U41" s="149"/>
      <c r="V41" s="149"/>
      <c r="W41" s="149"/>
      <c r="X41" s="149"/>
      <c r="Y41" s="149"/>
      <c r="Z41" s="149"/>
      <c r="AA41" s="24" t="s">
        <v>711</v>
      </c>
    </row>
    <row r="42" spans="1:27">
      <c r="A42" s="24" t="s">
        <v>718</v>
      </c>
      <c r="B42" s="24" t="s">
        <v>719</v>
      </c>
      <c r="C42" s="23" t="s">
        <v>720</v>
      </c>
      <c r="D42" s="149"/>
      <c r="E42" s="88" t="s">
        <v>148</v>
      </c>
      <c r="F42" s="24" t="s">
        <v>24</v>
      </c>
      <c r="G42" s="24" t="s">
        <v>24</v>
      </c>
      <c r="H42" s="24" t="s">
        <v>24</v>
      </c>
      <c r="I42" s="24" t="s">
        <v>24</v>
      </c>
      <c r="J42" s="24" t="s">
        <v>24</v>
      </c>
      <c r="K42" s="24" t="s">
        <v>24</v>
      </c>
      <c r="L42" s="24" t="s">
        <v>24</v>
      </c>
      <c r="M42" s="24"/>
      <c r="N42" s="24"/>
      <c r="O42" s="149"/>
      <c r="P42" s="149"/>
      <c r="Q42" s="149"/>
      <c r="R42" s="149"/>
      <c r="S42" s="149"/>
      <c r="T42" s="149"/>
      <c r="U42" s="149"/>
      <c r="V42" s="149"/>
      <c r="W42" s="149"/>
      <c r="X42" s="149"/>
      <c r="Y42" s="149"/>
      <c r="Z42" s="149"/>
      <c r="AA42" s="24" t="s">
        <v>711</v>
      </c>
    </row>
    <row r="43" spans="1:27">
      <c r="A43" s="24" t="s">
        <v>721</v>
      </c>
      <c r="B43" s="24" t="s">
        <v>722</v>
      </c>
      <c r="C43" s="23" t="s">
        <v>723</v>
      </c>
      <c r="D43" s="149"/>
      <c r="E43" s="88" t="s">
        <v>148</v>
      </c>
      <c r="F43" s="24" t="s">
        <v>24</v>
      </c>
      <c r="G43" s="24" t="s">
        <v>24</v>
      </c>
      <c r="H43" s="24" t="s">
        <v>24</v>
      </c>
      <c r="I43" s="24" t="s">
        <v>24</v>
      </c>
      <c r="J43" s="24" t="s">
        <v>24</v>
      </c>
      <c r="K43" s="24" t="s">
        <v>24</v>
      </c>
      <c r="L43" s="24" t="s">
        <v>24</v>
      </c>
      <c r="M43" s="24"/>
      <c r="N43" s="24"/>
      <c r="O43" s="149"/>
      <c r="P43" s="149"/>
      <c r="Q43" s="149"/>
      <c r="R43" s="149"/>
      <c r="S43" s="149"/>
      <c r="T43" s="149"/>
      <c r="U43" s="149"/>
      <c r="V43" s="149"/>
      <c r="W43" s="149"/>
      <c r="X43" s="149"/>
      <c r="Y43" s="149"/>
      <c r="Z43" s="149"/>
      <c r="AA43" s="24" t="s">
        <v>711</v>
      </c>
    </row>
    <row r="44" spans="1:27">
      <c r="A44" s="88" t="s">
        <v>724</v>
      </c>
      <c r="B44" s="88" t="s">
        <v>725</v>
      </c>
      <c r="C44" s="149" t="s">
        <v>726</v>
      </c>
      <c r="D44" s="149"/>
      <c r="E44" s="88" t="s">
        <v>148</v>
      </c>
      <c r="F44" s="24" t="s">
        <v>24</v>
      </c>
      <c r="G44" s="24" t="s">
        <v>24</v>
      </c>
      <c r="H44" s="24" t="s">
        <v>24</v>
      </c>
      <c r="I44" s="24" t="s">
        <v>24</v>
      </c>
      <c r="J44" s="24" t="s">
        <v>24</v>
      </c>
      <c r="K44" s="24" t="s">
        <v>24</v>
      </c>
      <c r="L44" s="24" t="s">
        <v>24</v>
      </c>
      <c r="M44" s="24"/>
      <c r="N44" s="149"/>
      <c r="O44" s="149"/>
      <c r="P44" s="149"/>
      <c r="Q44" s="149"/>
      <c r="R44" s="149"/>
      <c r="S44" s="149"/>
      <c r="T44" s="149"/>
      <c r="U44" s="149"/>
      <c r="V44" s="149"/>
      <c r="W44" s="149"/>
      <c r="X44" s="149"/>
      <c r="Y44" s="149"/>
      <c r="Z44" s="149"/>
      <c r="AA44" s="24" t="s">
        <v>727</v>
      </c>
    </row>
    <row r="45" spans="1:27">
      <c r="A45" s="88" t="s">
        <v>728</v>
      </c>
      <c r="B45" s="88" t="s">
        <v>729</v>
      </c>
      <c r="C45" s="149" t="s">
        <v>730</v>
      </c>
      <c r="D45" s="149"/>
      <c r="E45" s="88" t="s">
        <v>148</v>
      </c>
      <c r="F45" s="24" t="s">
        <v>24</v>
      </c>
      <c r="G45" s="24" t="s">
        <v>24</v>
      </c>
      <c r="H45" s="24" t="s">
        <v>24</v>
      </c>
      <c r="I45" s="24" t="s">
        <v>24</v>
      </c>
      <c r="J45" s="24" t="s">
        <v>24</v>
      </c>
      <c r="K45" s="24" t="s">
        <v>24</v>
      </c>
      <c r="L45" s="24" t="s">
        <v>24</v>
      </c>
      <c r="M45" s="24"/>
      <c r="N45" s="149"/>
      <c r="O45" s="149"/>
      <c r="P45" s="149"/>
      <c r="Q45" s="149"/>
      <c r="R45" s="149"/>
      <c r="S45" s="149"/>
      <c r="T45" s="149"/>
      <c r="U45" s="149"/>
      <c r="V45" s="149"/>
      <c r="W45" s="149"/>
      <c r="X45" s="149"/>
      <c r="Y45" s="149"/>
      <c r="Z45" s="149"/>
      <c r="AA45" s="24" t="s">
        <v>727</v>
      </c>
    </row>
    <row r="46" spans="1:27">
      <c r="A46" s="88" t="s">
        <v>731</v>
      </c>
      <c r="B46" s="88" t="s">
        <v>732</v>
      </c>
      <c r="C46" s="149" t="s">
        <v>733</v>
      </c>
      <c r="D46" s="149"/>
      <c r="E46" s="88" t="s">
        <v>148</v>
      </c>
      <c r="F46" s="24" t="s">
        <v>24</v>
      </c>
      <c r="G46" s="24" t="s">
        <v>24</v>
      </c>
      <c r="H46" s="24" t="s">
        <v>24</v>
      </c>
      <c r="I46" s="24" t="s">
        <v>24</v>
      </c>
      <c r="J46" s="24" t="s">
        <v>24</v>
      </c>
      <c r="K46" s="24" t="s">
        <v>24</v>
      </c>
      <c r="L46" s="24" t="s">
        <v>24</v>
      </c>
      <c r="M46" s="24"/>
      <c r="N46" s="149"/>
      <c r="O46" s="149"/>
      <c r="P46" s="149"/>
      <c r="Q46" s="149"/>
      <c r="R46" s="149"/>
      <c r="S46" s="149"/>
      <c r="T46" s="149"/>
      <c r="U46" s="149"/>
      <c r="V46" s="149"/>
      <c r="W46" s="149"/>
      <c r="X46" s="149"/>
      <c r="Y46" s="149"/>
      <c r="Z46" s="149"/>
      <c r="AA46" s="24" t="s">
        <v>727</v>
      </c>
    </row>
    <row r="47" spans="1:27">
      <c r="A47" s="88" t="s">
        <v>734</v>
      </c>
      <c r="B47" s="88" t="s">
        <v>735</v>
      </c>
      <c r="C47" s="149" t="s">
        <v>736</v>
      </c>
      <c r="D47" s="149"/>
      <c r="E47" s="88" t="s">
        <v>148</v>
      </c>
      <c r="F47" s="24" t="s">
        <v>24</v>
      </c>
      <c r="G47" s="24" t="s">
        <v>24</v>
      </c>
      <c r="H47" s="24" t="s">
        <v>24</v>
      </c>
      <c r="I47" s="24" t="s">
        <v>24</v>
      </c>
      <c r="J47" s="24" t="s">
        <v>24</v>
      </c>
      <c r="K47" s="24" t="s">
        <v>24</v>
      </c>
      <c r="L47" s="24" t="s">
        <v>24</v>
      </c>
      <c r="M47" s="24"/>
      <c r="N47" s="149"/>
      <c r="O47" s="149"/>
      <c r="P47" s="149"/>
      <c r="Q47" s="149"/>
      <c r="R47" s="149"/>
      <c r="S47" s="149"/>
      <c r="T47" s="149"/>
      <c r="U47" s="149"/>
      <c r="V47" s="149"/>
      <c r="W47" s="149"/>
      <c r="X47" s="149"/>
      <c r="Y47" s="149"/>
      <c r="Z47" s="149"/>
      <c r="AA47" s="24" t="s">
        <v>727</v>
      </c>
    </row>
    <row r="48" spans="1:27">
      <c r="A48" s="24" t="s">
        <v>737</v>
      </c>
      <c r="B48" s="24" t="s">
        <v>738</v>
      </c>
      <c r="C48" s="349" t="s">
        <v>739</v>
      </c>
      <c r="D48" s="149"/>
      <c r="E48" s="88" t="s">
        <v>148</v>
      </c>
      <c r="F48" s="24" t="s">
        <v>24</v>
      </c>
      <c r="G48" s="24" t="s">
        <v>24</v>
      </c>
      <c r="H48" s="24" t="s">
        <v>24</v>
      </c>
      <c r="I48" s="24" t="s">
        <v>24</v>
      </c>
      <c r="J48" s="24" t="s">
        <v>24</v>
      </c>
      <c r="K48" s="24" t="s">
        <v>24</v>
      </c>
      <c r="L48" s="24" t="s">
        <v>24</v>
      </c>
      <c r="M48" s="24"/>
      <c r="N48" s="24"/>
      <c r="O48" s="149"/>
      <c r="P48" s="149"/>
      <c r="Q48" s="149"/>
      <c r="R48" s="149"/>
      <c r="S48" s="149"/>
      <c r="T48" s="149"/>
      <c r="U48" s="149"/>
      <c r="V48" s="149"/>
      <c r="W48" s="149"/>
      <c r="X48" s="149"/>
      <c r="Y48" s="149"/>
      <c r="Z48" s="149"/>
      <c r="AA48" s="24" t="s">
        <v>740</v>
      </c>
    </row>
    <row r="49" spans="1:27">
      <c r="A49" s="24" t="s">
        <v>741</v>
      </c>
      <c r="B49" s="24" t="s">
        <v>742</v>
      </c>
      <c r="C49" s="349" t="s">
        <v>743</v>
      </c>
      <c r="D49" s="149"/>
      <c r="E49" s="88" t="s">
        <v>148</v>
      </c>
      <c r="F49" s="24" t="s">
        <v>24</v>
      </c>
      <c r="G49" s="24" t="s">
        <v>24</v>
      </c>
      <c r="H49" s="24" t="s">
        <v>24</v>
      </c>
      <c r="I49" s="24" t="s">
        <v>24</v>
      </c>
      <c r="J49" s="24" t="s">
        <v>24</v>
      </c>
      <c r="K49" s="24" t="s">
        <v>24</v>
      </c>
      <c r="L49" s="24" t="s">
        <v>24</v>
      </c>
      <c r="M49" s="24"/>
      <c r="N49" s="24"/>
      <c r="O49" s="149"/>
      <c r="P49" s="149"/>
      <c r="Q49" s="149"/>
      <c r="R49" s="149"/>
      <c r="S49" s="149"/>
      <c r="T49" s="149"/>
      <c r="U49" s="149"/>
      <c r="V49" s="149"/>
      <c r="W49" s="149"/>
      <c r="X49" s="149"/>
      <c r="Y49" s="149"/>
      <c r="Z49" s="149"/>
      <c r="AA49" s="24" t="s">
        <v>740</v>
      </c>
    </row>
    <row r="50" spans="1:27">
      <c r="A50" s="24" t="s">
        <v>744</v>
      </c>
      <c r="B50" s="24" t="s">
        <v>745</v>
      </c>
      <c r="C50" s="349" t="s">
        <v>746</v>
      </c>
      <c r="D50" s="149"/>
      <c r="E50" s="88" t="s">
        <v>148</v>
      </c>
      <c r="F50" s="24" t="s">
        <v>24</v>
      </c>
      <c r="G50" s="24" t="s">
        <v>24</v>
      </c>
      <c r="H50" s="24" t="s">
        <v>24</v>
      </c>
      <c r="I50" s="24" t="s">
        <v>24</v>
      </c>
      <c r="J50" s="24" t="s">
        <v>24</v>
      </c>
      <c r="K50" s="24" t="s">
        <v>24</v>
      </c>
      <c r="L50" s="24" t="s">
        <v>24</v>
      </c>
      <c r="M50" s="24"/>
      <c r="N50" s="24"/>
      <c r="O50" s="149"/>
      <c r="P50" s="149"/>
      <c r="Q50" s="149"/>
      <c r="R50" s="149"/>
      <c r="S50" s="149"/>
      <c r="T50" s="149"/>
      <c r="U50" s="149"/>
      <c r="V50" s="149"/>
      <c r="W50" s="149"/>
      <c r="X50" s="149"/>
      <c r="Y50" s="149"/>
      <c r="Z50" s="149"/>
      <c r="AA50" s="24" t="s">
        <v>740</v>
      </c>
    </row>
    <row r="51" spans="1:27">
      <c r="A51" s="24" t="s">
        <v>747</v>
      </c>
      <c r="B51" s="24" t="s">
        <v>748</v>
      </c>
      <c r="C51" s="349" t="s">
        <v>749</v>
      </c>
      <c r="D51" s="149"/>
      <c r="E51" s="88" t="s">
        <v>148</v>
      </c>
      <c r="F51" s="24" t="s">
        <v>24</v>
      </c>
      <c r="G51" s="24" t="s">
        <v>24</v>
      </c>
      <c r="H51" s="24" t="s">
        <v>24</v>
      </c>
      <c r="I51" s="24" t="s">
        <v>24</v>
      </c>
      <c r="J51" s="24" t="s">
        <v>24</v>
      </c>
      <c r="K51" s="24" t="s">
        <v>24</v>
      </c>
      <c r="L51" s="24" t="s">
        <v>24</v>
      </c>
      <c r="M51" s="24"/>
      <c r="N51" s="24"/>
      <c r="O51" s="149"/>
      <c r="P51" s="149"/>
      <c r="Q51" s="149"/>
      <c r="R51" s="149"/>
      <c r="S51" s="149"/>
      <c r="T51" s="149"/>
      <c r="U51" s="149"/>
      <c r="V51" s="149"/>
      <c r="W51" s="149"/>
      <c r="X51" s="149"/>
      <c r="Y51" s="149"/>
      <c r="Z51" s="149"/>
      <c r="AA51" s="24" t="s">
        <v>740</v>
      </c>
    </row>
    <row r="52" spans="1:27">
      <c r="A52" s="24" t="s">
        <v>750</v>
      </c>
      <c r="B52" s="24" t="s">
        <v>751</v>
      </c>
      <c r="C52" s="349" t="s">
        <v>752</v>
      </c>
      <c r="D52" s="149"/>
      <c r="E52" s="88" t="s">
        <v>145</v>
      </c>
      <c r="F52" s="88" t="s">
        <v>145</v>
      </c>
      <c r="G52" s="88" t="s">
        <v>145</v>
      </c>
      <c r="H52" s="88" t="s">
        <v>145</v>
      </c>
      <c r="I52" s="88" t="s">
        <v>145</v>
      </c>
      <c r="J52" s="88" t="s">
        <v>145</v>
      </c>
      <c r="K52" s="88" t="s">
        <v>145</v>
      </c>
      <c r="L52" s="88" t="s">
        <v>145</v>
      </c>
      <c r="M52" s="24"/>
      <c r="N52" s="24"/>
      <c r="O52" s="149"/>
      <c r="P52" s="149"/>
      <c r="Q52" s="149"/>
      <c r="R52" s="149"/>
      <c r="S52" s="149"/>
      <c r="T52" s="149"/>
      <c r="U52" s="149"/>
      <c r="V52" s="149"/>
      <c r="W52" s="149"/>
      <c r="X52" s="149"/>
      <c r="Y52" s="149"/>
      <c r="Z52" s="149"/>
      <c r="AA52" s="24" t="s">
        <v>740</v>
      </c>
    </row>
    <row r="53" spans="1:27">
      <c r="A53" s="24" t="s">
        <v>753</v>
      </c>
      <c r="B53" s="24" t="s">
        <v>754</v>
      </c>
      <c r="C53" s="349" t="s">
        <v>755</v>
      </c>
      <c r="D53" s="149"/>
      <c r="E53" s="88" t="s">
        <v>148</v>
      </c>
      <c r="F53" s="24" t="s">
        <v>24</v>
      </c>
      <c r="G53" s="24" t="s">
        <v>24</v>
      </c>
      <c r="H53" s="24" t="s">
        <v>24</v>
      </c>
      <c r="I53" s="24" t="s">
        <v>24</v>
      </c>
      <c r="J53" s="24" t="s">
        <v>24</v>
      </c>
      <c r="K53" s="24" t="s">
        <v>24</v>
      </c>
      <c r="L53" s="24" t="s">
        <v>24</v>
      </c>
      <c r="M53" s="24"/>
      <c r="N53" s="24"/>
      <c r="O53" s="149"/>
      <c r="P53" s="149"/>
      <c r="Q53" s="149"/>
      <c r="R53" s="149"/>
      <c r="S53" s="149"/>
      <c r="T53" s="149"/>
      <c r="U53" s="149"/>
      <c r="V53" s="149"/>
      <c r="W53" s="149"/>
      <c r="X53" s="149"/>
      <c r="Y53" s="149"/>
      <c r="Z53" s="149"/>
      <c r="AA53" s="24" t="s">
        <v>740</v>
      </c>
    </row>
    <row r="54" spans="1:27">
      <c r="A54" s="24" t="s">
        <v>756</v>
      </c>
      <c r="B54" s="24" t="s">
        <v>757</v>
      </c>
      <c r="C54" s="349" t="s">
        <v>758</v>
      </c>
      <c r="D54" s="149"/>
      <c r="E54" s="88" t="s">
        <v>148</v>
      </c>
      <c r="F54" s="24" t="s">
        <v>24</v>
      </c>
      <c r="G54" s="24" t="s">
        <v>24</v>
      </c>
      <c r="H54" s="24" t="s">
        <v>24</v>
      </c>
      <c r="I54" s="24" t="s">
        <v>24</v>
      </c>
      <c r="J54" s="24" t="s">
        <v>24</v>
      </c>
      <c r="K54" s="24" t="s">
        <v>24</v>
      </c>
      <c r="L54" s="24" t="s">
        <v>24</v>
      </c>
      <c r="M54" s="24"/>
      <c r="N54" s="24"/>
      <c r="O54" s="149"/>
      <c r="P54" s="149"/>
      <c r="Q54" s="149"/>
      <c r="R54" s="149"/>
      <c r="S54" s="149"/>
      <c r="T54" s="149"/>
      <c r="U54" s="149"/>
      <c r="V54" s="149"/>
      <c r="W54" s="149"/>
      <c r="X54" s="149"/>
      <c r="Y54" s="149"/>
      <c r="Z54" s="149"/>
      <c r="AA54" s="24" t="s">
        <v>740</v>
      </c>
    </row>
    <row r="55" spans="1:27">
      <c r="A55" s="24" t="s">
        <v>759</v>
      </c>
      <c r="B55" s="24" t="s">
        <v>760</v>
      </c>
      <c r="C55" s="349" t="s">
        <v>761</v>
      </c>
      <c r="D55" s="149"/>
      <c r="E55" s="88" t="s">
        <v>148</v>
      </c>
      <c r="F55" s="24" t="s">
        <v>24</v>
      </c>
      <c r="G55" s="24" t="s">
        <v>24</v>
      </c>
      <c r="H55" s="24" t="s">
        <v>24</v>
      </c>
      <c r="I55" s="24" t="s">
        <v>24</v>
      </c>
      <c r="J55" s="24" t="s">
        <v>24</v>
      </c>
      <c r="K55" s="24" t="s">
        <v>24</v>
      </c>
      <c r="L55" s="24" t="s">
        <v>24</v>
      </c>
      <c r="M55" s="24"/>
      <c r="N55" s="24"/>
      <c r="O55" s="149"/>
      <c r="P55" s="149"/>
      <c r="Q55" s="149"/>
      <c r="R55" s="149"/>
      <c r="S55" s="149"/>
      <c r="T55" s="149"/>
      <c r="U55" s="149"/>
      <c r="V55" s="149"/>
      <c r="W55" s="149"/>
      <c r="X55" s="149"/>
      <c r="Y55" s="149"/>
      <c r="Z55" s="149"/>
      <c r="AA55" s="24" t="s">
        <v>740</v>
      </c>
    </row>
    <row r="56" spans="1:27">
      <c r="A56" s="24" t="s">
        <v>762</v>
      </c>
      <c r="B56" s="24" t="s">
        <v>763</v>
      </c>
      <c r="C56" s="349" t="s">
        <v>764</v>
      </c>
      <c r="D56" s="149"/>
      <c r="E56" s="88" t="s">
        <v>148</v>
      </c>
      <c r="F56" s="24" t="s">
        <v>24</v>
      </c>
      <c r="G56" s="24" t="s">
        <v>24</v>
      </c>
      <c r="H56" s="24" t="s">
        <v>24</v>
      </c>
      <c r="I56" s="24" t="s">
        <v>24</v>
      </c>
      <c r="J56" s="24" t="s">
        <v>24</v>
      </c>
      <c r="K56" s="24" t="s">
        <v>24</v>
      </c>
      <c r="L56" s="24" t="s">
        <v>24</v>
      </c>
      <c r="M56" s="24"/>
      <c r="N56" s="24"/>
      <c r="O56" s="149"/>
      <c r="P56" s="149"/>
      <c r="Q56" s="149"/>
      <c r="R56" s="149"/>
      <c r="S56" s="149"/>
      <c r="T56" s="149"/>
      <c r="U56" s="149"/>
      <c r="V56" s="149"/>
      <c r="W56" s="149"/>
      <c r="X56" s="149"/>
      <c r="Y56" s="149"/>
      <c r="Z56" s="149"/>
      <c r="AA56" s="24" t="s">
        <v>740</v>
      </c>
    </row>
    <row r="57" spans="1:27">
      <c r="A57" s="24" t="s">
        <v>765</v>
      </c>
      <c r="B57" s="24" t="s">
        <v>766</v>
      </c>
      <c r="C57" s="349" t="s">
        <v>767</v>
      </c>
      <c r="D57" s="149"/>
      <c r="E57" s="88" t="s">
        <v>148</v>
      </c>
      <c r="F57" s="24" t="s">
        <v>24</v>
      </c>
      <c r="G57" s="24" t="s">
        <v>24</v>
      </c>
      <c r="H57" s="24" t="s">
        <v>24</v>
      </c>
      <c r="I57" s="24" t="s">
        <v>24</v>
      </c>
      <c r="J57" s="24" t="s">
        <v>24</v>
      </c>
      <c r="K57" s="24" t="s">
        <v>24</v>
      </c>
      <c r="L57" s="24" t="s">
        <v>24</v>
      </c>
      <c r="M57" s="24"/>
      <c r="N57" s="24"/>
      <c r="O57" s="149"/>
      <c r="P57" s="149"/>
      <c r="Q57" s="149"/>
      <c r="R57" s="149"/>
      <c r="S57" s="149"/>
      <c r="T57" s="149"/>
      <c r="U57" s="149"/>
      <c r="V57" s="149"/>
      <c r="W57" s="149"/>
      <c r="X57" s="149"/>
      <c r="Y57" s="149"/>
      <c r="Z57" s="149"/>
      <c r="AA57" s="24" t="s">
        <v>740</v>
      </c>
    </row>
    <row r="58" spans="1:27">
      <c r="A58" s="24" t="s">
        <v>768</v>
      </c>
      <c r="B58" s="24" t="s">
        <v>769</v>
      </c>
      <c r="C58" s="349" t="s">
        <v>770</v>
      </c>
      <c r="D58" s="149"/>
      <c r="E58" s="88" t="s">
        <v>148</v>
      </c>
      <c r="F58" s="24" t="s">
        <v>24</v>
      </c>
      <c r="G58" s="24" t="s">
        <v>24</v>
      </c>
      <c r="H58" s="24" t="s">
        <v>24</v>
      </c>
      <c r="I58" s="24" t="s">
        <v>24</v>
      </c>
      <c r="J58" s="24" t="s">
        <v>24</v>
      </c>
      <c r="K58" s="24" t="s">
        <v>24</v>
      </c>
      <c r="L58" s="24" t="s">
        <v>24</v>
      </c>
      <c r="M58" s="24"/>
      <c r="N58" s="24"/>
      <c r="O58" s="149"/>
      <c r="P58" s="149"/>
      <c r="Q58" s="149"/>
      <c r="R58" s="149"/>
      <c r="S58" s="149"/>
      <c r="T58" s="149"/>
      <c r="U58" s="149"/>
      <c r="V58" s="149"/>
      <c r="W58" s="149"/>
      <c r="X58" s="149"/>
      <c r="Y58" s="149"/>
      <c r="Z58" s="149"/>
      <c r="AA58" s="24" t="s">
        <v>740</v>
      </c>
    </row>
    <row r="59" spans="1:27">
      <c r="A59" s="24" t="s">
        <v>771</v>
      </c>
      <c r="B59" s="24" t="s">
        <v>772</v>
      </c>
      <c r="C59" s="349" t="s">
        <v>773</v>
      </c>
      <c r="D59" s="149"/>
      <c r="E59" s="88" t="s">
        <v>148</v>
      </c>
      <c r="F59" s="24" t="s">
        <v>24</v>
      </c>
      <c r="G59" s="24" t="s">
        <v>24</v>
      </c>
      <c r="H59" s="24" t="s">
        <v>24</v>
      </c>
      <c r="I59" s="24" t="s">
        <v>24</v>
      </c>
      <c r="J59" s="24" t="s">
        <v>24</v>
      </c>
      <c r="K59" s="24" t="s">
        <v>24</v>
      </c>
      <c r="L59" s="24" t="s">
        <v>24</v>
      </c>
      <c r="M59" s="24"/>
      <c r="N59" s="24"/>
      <c r="O59" s="149"/>
      <c r="P59" s="149"/>
      <c r="Q59" s="149"/>
      <c r="R59" s="149"/>
      <c r="S59" s="149"/>
      <c r="T59" s="149"/>
      <c r="U59" s="149"/>
      <c r="V59" s="149"/>
      <c r="W59" s="149"/>
      <c r="X59" s="149"/>
      <c r="Y59" s="149"/>
      <c r="Z59" s="149"/>
      <c r="AA59" s="24" t="s">
        <v>740</v>
      </c>
    </row>
    <row r="60" spans="1:27">
      <c r="A60" s="24" t="s">
        <v>774</v>
      </c>
      <c r="B60" s="24" t="s">
        <v>775</v>
      </c>
      <c r="C60" s="349" t="s">
        <v>776</v>
      </c>
      <c r="D60" s="149"/>
      <c r="E60" s="88" t="s">
        <v>148</v>
      </c>
      <c r="F60" s="24" t="s">
        <v>24</v>
      </c>
      <c r="G60" s="24" t="s">
        <v>24</v>
      </c>
      <c r="H60" s="24" t="s">
        <v>24</v>
      </c>
      <c r="I60" s="24" t="s">
        <v>24</v>
      </c>
      <c r="J60" s="24" t="s">
        <v>24</v>
      </c>
      <c r="K60" s="24" t="s">
        <v>24</v>
      </c>
      <c r="L60" s="24" t="s">
        <v>24</v>
      </c>
      <c r="M60" s="24"/>
      <c r="N60" s="24"/>
      <c r="O60" s="149"/>
      <c r="P60" s="149"/>
      <c r="Q60" s="149"/>
      <c r="R60" s="149"/>
      <c r="S60" s="149"/>
      <c r="T60" s="149"/>
      <c r="U60" s="149"/>
      <c r="V60" s="149"/>
      <c r="W60" s="149"/>
      <c r="X60" s="149"/>
      <c r="Y60" s="149"/>
      <c r="Z60" s="149"/>
      <c r="AA60" s="24" t="s">
        <v>740</v>
      </c>
    </row>
    <row r="61" spans="1:27">
      <c r="A61" s="24" t="s">
        <v>777</v>
      </c>
      <c r="B61" s="24" t="s">
        <v>778</v>
      </c>
      <c r="C61" s="349" t="s">
        <v>779</v>
      </c>
      <c r="D61" s="149"/>
      <c r="E61" s="88" t="s">
        <v>148</v>
      </c>
      <c r="F61" s="24" t="s">
        <v>24</v>
      </c>
      <c r="G61" s="24" t="s">
        <v>24</v>
      </c>
      <c r="H61" s="24" t="s">
        <v>24</v>
      </c>
      <c r="I61" s="24" t="s">
        <v>24</v>
      </c>
      <c r="J61" s="24" t="s">
        <v>24</v>
      </c>
      <c r="K61" s="24" t="s">
        <v>24</v>
      </c>
      <c r="L61" s="24" t="s">
        <v>24</v>
      </c>
      <c r="M61" s="24"/>
      <c r="N61" s="24"/>
      <c r="O61" s="149"/>
      <c r="P61" s="149"/>
      <c r="Q61" s="149"/>
      <c r="R61" s="149"/>
      <c r="S61" s="149"/>
      <c r="T61" s="149"/>
      <c r="U61" s="149"/>
      <c r="V61" s="149"/>
      <c r="W61" s="149"/>
      <c r="X61" s="149"/>
      <c r="Y61" s="149"/>
      <c r="Z61" s="149"/>
      <c r="AA61" s="24" t="s">
        <v>740</v>
      </c>
    </row>
    <row r="62" spans="1:27">
      <c r="A62" s="24" t="s">
        <v>780</v>
      </c>
      <c r="B62" s="24" t="s">
        <v>781</v>
      </c>
      <c r="C62" s="349" t="s">
        <v>782</v>
      </c>
      <c r="D62" s="149"/>
      <c r="E62" s="88" t="s">
        <v>145</v>
      </c>
      <c r="F62" s="88" t="s">
        <v>145</v>
      </c>
      <c r="G62" s="88" t="s">
        <v>145</v>
      </c>
      <c r="H62" s="88" t="s">
        <v>145</v>
      </c>
      <c r="I62" s="88" t="s">
        <v>145</v>
      </c>
      <c r="J62" s="88" t="s">
        <v>145</v>
      </c>
      <c r="K62" s="88" t="s">
        <v>145</v>
      </c>
      <c r="L62" s="88" t="s">
        <v>145</v>
      </c>
      <c r="M62" s="24"/>
      <c r="N62" s="24"/>
      <c r="O62" s="149"/>
      <c r="P62" s="149"/>
      <c r="Q62" s="149"/>
      <c r="R62" s="149"/>
      <c r="S62" s="149"/>
      <c r="T62" s="149"/>
      <c r="U62" s="149"/>
      <c r="V62" s="149"/>
      <c r="W62" s="149"/>
      <c r="X62" s="149"/>
      <c r="Y62" s="149"/>
      <c r="Z62" s="149"/>
      <c r="AA62" s="24" t="s">
        <v>740</v>
      </c>
    </row>
    <row r="63" spans="1:27">
      <c r="A63" s="24" t="s">
        <v>783</v>
      </c>
      <c r="B63" s="24" t="s">
        <v>784</v>
      </c>
      <c r="C63" s="349" t="s">
        <v>785</v>
      </c>
      <c r="D63" s="149"/>
      <c r="E63" s="88" t="s">
        <v>148</v>
      </c>
      <c r="F63" s="24" t="s">
        <v>24</v>
      </c>
      <c r="G63" s="24" t="s">
        <v>24</v>
      </c>
      <c r="H63" s="24" t="s">
        <v>24</v>
      </c>
      <c r="I63" s="24" t="s">
        <v>24</v>
      </c>
      <c r="J63" s="24" t="s">
        <v>24</v>
      </c>
      <c r="K63" s="24" t="s">
        <v>24</v>
      </c>
      <c r="L63" s="24" t="s">
        <v>24</v>
      </c>
      <c r="M63" s="24"/>
      <c r="N63" s="24"/>
      <c r="O63" s="149"/>
      <c r="P63" s="149"/>
      <c r="Q63" s="149"/>
      <c r="R63" s="149"/>
      <c r="S63" s="149"/>
      <c r="T63" s="149"/>
      <c r="U63" s="149"/>
      <c r="V63" s="149"/>
      <c r="W63" s="149"/>
      <c r="X63" s="149"/>
      <c r="Y63" s="149"/>
      <c r="Z63" s="149"/>
      <c r="AA63" s="24" t="s">
        <v>740</v>
      </c>
    </row>
    <row r="64" spans="1:27">
      <c r="A64" s="24" t="s">
        <v>786</v>
      </c>
      <c r="B64" s="24" t="s">
        <v>787</v>
      </c>
      <c r="C64" s="349" t="s">
        <v>788</v>
      </c>
      <c r="D64" s="149"/>
      <c r="E64" s="88" t="s">
        <v>148</v>
      </c>
      <c r="F64" s="24" t="s">
        <v>24</v>
      </c>
      <c r="G64" s="24" t="s">
        <v>24</v>
      </c>
      <c r="H64" s="24" t="s">
        <v>24</v>
      </c>
      <c r="I64" s="24" t="s">
        <v>24</v>
      </c>
      <c r="J64" s="24" t="s">
        <v>24</v>
      </c>
      <c r="K64" s="24" t="s">
        <v>24</v>
      </c>
      <c r="L64" s="24" t="s">
        <v>24</v>
      </c>
      <c r="M64" s="24"/>
      <c r="N64" s="24"/>
      <c r="O64" s="149"/>
      <c r="P64" s="149"/>
      <c r="Q64" s="149"/>
      <c r="R64" s="149"/>
      <c r="S64" s="149"/>
      <c r="T64" s="149"/>
      <c r="U64" s="149"/>
      <c r="V64" s="149"/>
      <c r="W64" s="149"/>
      <c r="X64" s="149"/>
      <c r="Y64" s="149"/>
      <c r="Z64" s="149"/>
      <c r="AA64" s="24" t="s">
        <v>740</v>
      </c>
    </row>
    <row r="65" spans="1:27">
      <c r="A65" s="24" t="s">
        <v>789</v>
      </c>
      <c r="B65" s="24" t="s">
        <v>790</v>
      </c>
      <c r="C65" s="349" t="s">
        <v>791</v>
      </c>
      <c r="D65" s="149"/>
      <c r="E65" s="88" t="s">
        <v>148</v>
      </c>
      <c r="F65" s="24" t="s">
        <v>24</v>
      </c>
      <c r="G65" s="24" t="s">
        <v>24</v>
      </c>
      <c r="H65" s="24" t="s">
        <v>24</v>
      </c>
      <c r="I65" s="24" t="s">
        <v>24</v>
      </c>
      <c r="J65" s="24" t="s">
        <v>24</v>
      </c>
      <c r="K65" s="24" t="s">
        <v>24</v>
      </c>
      <c r="L65" s="24" t="s">
        <v>24</v>
      </c>
      <c r="M65" s="24"/>
      <c r="N65" s="24"/>
      <c r="O65" s="149"/>
      <c r="P65" s="149"/>
      <c r="Q65" s="149"/>
      <c r="R65" s="149"/>
      <c r="S65" s="149"/>
      <c r="T65" s="149"/>
      <c r="U65" s="149"/>
      <c r="V65" s="149"/>
      <c r="W65" s="149"/>
      <c r="X65" s="149"/>
      <c r="Y65" s="149"/>
      <c r="Z65" s="149"/>
      <c r="AA65" s="24" t="s">
        <v>740</v>
      </c>
    </row>
    <row r="66" spans="1:27">
      <c r="A66" s="24" t="s">
        <v>792</v>
      </c>
      <c r="B66" s="24" t="s">
        <v>793</v>
      </c>
      <c r="C66" s="349" t="s">
        <v>794</v>
      </c>
      <c r="D66" s="149"/>
      <c r="E66" s="88" t="s">
        <v>148</v>
      </c>
      <c r="F66" s="24" t="s">
        <v>24</v>
      </c>
      <c r="G66" s="24" t="s">
        <v>24</v>
      </c>
      <c r="H66" s="24" t="s">
        <v>24</v>
      </c>
      <c r="I66" s="24" t="s">
        <v>24</v>
      </c>
      <c r="J66" s="24" t="s">
        <v>24</v>
      </c>
      <c r="K66" s="24" t="s">
        <v>24</v>
      </c>
      <c r="L66" s="24" t="s">
        <v>24</v>
      </c>
      <c r="M66" s="24"/>
      <c r="N66" s="24"/>
      <c r="O66" s="149"/>
      <c r="P66" s="149"/>
      <c r="Q66" s="149"/>
      <c r="R66" s="149"/>
      <c r="S66" s="149"/>
      <c r="T66" s="149"/>
      <c r="U66" s="149"/>
      <c r="V66" s="149"/>
      <c r="W66" s="149"/>
      <c r="X66" s="149"/>
      <c r="Y66" s="149"/>
      <c r="Z66" s="149"/>
      <c r="AA66" s="24" t="s">
        <v>740</v>
      </c>
    </row>
    <row r="67" spans="1:27">
      <c r="A67" s="24" t="s">
        <v>795</v>
      </c>
      <c r="B67" s="24" t="s">
        <v>796</v>
      </c>
      <c r="C67" s="349" t="s">
        <v>797</v>
      </c>
      <c r="D67" s="149"/>
      <c r="E67" s="88" t="s">
        <v>148</v>
      </c>
      <c r="F67" s="24" t="s">
        <v>24</v>
      </c>
      <c r="G67" s="24" t="s">
        <v>24</v>
      </c>
      <c r="H67" s="24" t="s">
        <v>24</v>
      </c>
      <c r="I67" s="24" t="s">
        <v>24</v>
      </c>
      <c r="J67" s="24" t="s">
        <v>24</v>
      </c>
      <c r="K67" s="24" t="s">
        <v>24</v>
      </c>
      <c r="L67" s="24" t="s">
        <v>24</v>
      </c>
      <c r="M67" s="24"/>
      <c r="N67" s="24"/>
      <c r="O67" s="149"/>
      <c r="P67" s="149"/>
      <c r="Q67" s="149"/>
      <c r="R67" s="149"/>
      <c r="S67" s="149"/>
      <c r="T67" s="149"/>
      <c r="U67" s="149"/>
      <c r="V67" s="149"/>
      <c r="W67" s="149"/>
      <c r="X67" s="149"/>
      <c r="Y67" s="149"/>
      <c r="Z67" s="149"/>
      <c r="AA67" s="24" t="s">
        <v>740</v>
      </c>
    </row>
    <row r="68" spans="1:27">
      <c r="A68" s="24" t="s">
        <v>798</v>
      </c>
      <c r="B68" s="24" t="s">
        <v>799</v>
      </c>
      <c r="C68" s="349" t="s">
        <v>800</v>
      </c>
      <c r="D68" s="149"/>
      <c r="E68" s="88" t="s">
        <v>148</v>
      </c>
      <c r="F68" s="24" t="s">
        <v>24</v>
      </c>
      <c r="G68" s="24" t="s">
        <v>24</v>
      </c>
      <c r="H68" s="24" t="s">
        <v>24</v>
      </c>
      <c r="I68" s="24" t="s">
        <v>24</v>
      </c>
      <c r="J68" s="24" t="s">
        <v>24</v>
      </c>
      <c r="K68" s="24" t="s">
        <v>24</v>
      </c>
      <c r="L68" s="24" t="s">
        <v>24</v>
      </c>
      <c r="M68" s="24"/>
      <c r="N68" s="24"/>
      <c r="O68" s="149"/>
      <c r="P68" s="149"/>
      <c r="Q68" s="149"/>
      <c r="R68" s="149"/>
      <c r="S68" s="149"/>
      <c r="T68" s="149"/>
      <c r="U68" s="149"/>
      <c r="V68" s="149"/>
      <c r="W68" s="149"/>
      <c r="X68" s="149"/>
      <c r="Y68" s="149"/>
      <c r="Z68" s="149"/>
      <c r="AA68" s="24" t="s">
        <v>740</v>
      </c>
    </row>
    <row r="69" spans="1:27">
      <c r="A69" s="24" t="s">
        <v>801</v>
      </c>
      <c r="B69" s="24" t="s">
        <v>802</v>
      </c>
      <c r="C69" s="349" t="s">
        <v>803</v>
      </c>
      <c r="D69" s="149"/>
      <c r="E69" s="88" t="s">
        <v>145</v>
      </c>
      <c r="F69" s="88" t="s">
        <v>145</v>
      </c>
      <c r="G69" s="88" t="s">
        <v>145</v>
      </c>
      <c r="H69" s="88" t="s">
        <v>145</v>
      </c>
      <c r="I69" s="88" t="s">
        <v>145</v>
      </c>
      <c r="J69" s="88" t="s">
        <v>145</v>
      </c>
      <c r="K69" s="88" t="s">
        <v>145</v>
      </c>
      <c r="L69" s="88" t="s">
        <v>145</v>
      </c>
      <c r="M69" s="24"/>
      <c r="N69" s="24"/>
      <c r="O69" s="149"/>
      <c r="P69" s="149"/>
      <c r="Q69" s="149"/>
      <c r="R69" s="149"/>
      <c r="S69" s="149"/>
      <c r="T69" s="149"/>
      <c r="U69" s="149"/>
      <c r="V69" s="149"/>
      <c r="W69" s="149"/>
      <c r="X69" s="149"/>
      <c r="Y69" s="149"/>
      <c r="Z69" s="149"/>
      <c r="AA69" s="24" t="s">
        <v>740</v>
      </c>
    </row>
    <row r="70" spans="1:27">
      <c r="A70" s="24" t="s">
        <v>804</v>
      </c>
      <c r="B70" s="24" t="s">
        <v>805</v>
      </c>
      <c r="C70" s="349" t="s">
        <v>806</v>
      </c>
      <c r="D70" s="149"/>
      <c r="E70" s="88" t="s">
        <v>148</v>
      </c>
      <c r="F70" s="24" t="s">
        <v>24</v>
      </c>
      <c r="G70" s="24" t="s">
        <v>24</v>
      </c>
      <c r="H70" s="24" t="s">
        <v>24</v>
      </c>
      <c r="I70" s="24" t="s">
        <v>24</v>
      </c>
      <c r="J70" s="24" t="s">
        <v>24</v>
      </c>
      <c r="K70" s="24" t="s">
        <v>24</v>
      </c>
      <c r="L70" s="24" t="s">
        <v>24</v>
      </c>
      <c r="M70" s="24"/>
      <c r="N70" s="24"/>
      <c r="O70" s="149"/>
      <c r="P70" s="149"/>
      <c r="Q70" s="149"/>
      <c r="R70" s="149"/>
      <c r="S70" s="149"/>
      <c r="T70" s="149"/>
      <c r="U70" s="149"/>
      <c r="V70" s="149"/>
      <c r="W70" s="149"/>
      <c r="X70" s="149"/>
      <c r="Y70" s="149"/>
      <c r="Z70" s="149"/>
      <c r="AA70" s="24" t="s">
        <v>740</v>
      </c>
    </row>
    <row r="71" spans="1:27">
      <c r="A71" s="24" t="s">
        <v>807</v>
      </c>
      <c r="B71" s="24" t="s">
        <v>808</v>
      </c>
      <c r="C71" s="349" t="s">
        <v>809</v>
      </c>
      <c r="D71" s="149"/>
      <c r="E71" s="88" t="s">
        <v>148</v>
      </c>
      <c r="F71" s="24" t="s">
        <v>24</v>
      </c>
      <c r="G71" s="24" t="s">
        <v>24</v>
      </c>
      <c r="H71" s="24" t="s">
        <v>24</v>
      </c>
      <c r="I71" s="24" t="s">
        <v>24</v>
      </c>
      <c r="J71" s="24" t="s">
        <v>24</v>
      </c>
      <c r="K71" s="24" t="s">
        <v>24</v>
      </c>
      <c r="L71" s="24" t="s">
        <v>24</v>
      </c>
      <c r="M71" s="24"/>
      <c r="N71" s="24"/>
      <c r="O71" s="149"/>
      <c r="P71" s="149"/>
      <c r="Q71" s="149"/>
      <c r="R71" s="149"/>
      <c r="S71" s="149"/>
      <c r="T71" s="149"/>
      <c r="U71" s="149"/>
      <c r="V71" s="149"/>
      <c r="W71" s="149"/>
      <c r="X71" s="149"/>
      <c r="Y71" s="149"/>
      <c r="Z71" s="149"/>
      <c r="AA71" s="24" t="s">
        <v>740</v>
      </c>
    </row>
    <row r="72" spans="1:27">
      <c r="A72" s="24" t="s">
        <v>810</v>
      </c>
      <c r="B72" s="24" t="s">
        <v>811</v>
      </c>
      <c r="C72" s="349" t="s">
        <v>812</v>
      </c>
      <c r="D72" s="149"/>
      <c r="E72" s="88" t="s">
        <v>148</v>
      </c>
      <c r="F72" s="24" t="s">
        <v>24</v>
      </c>
      <c r="G72" s="24" t="s">
        <v>24</v>
      </c>
      <c r="H72" s="24" t="s">
        <v>24</v>
      </c>
      <c r="I72" s="24" t="s">
        <v>24</v>
      </c>
      <c r="J72" s="24" t="s">
        <v>24</v>
      </c>
      <c r="K72" s="24" t="s">
        <v>24</v>
      </c>
      <c r="L72" s="24" t="s">
        <v>24</v>
      </c>
      <c r="M72" s="24"/>
      <c r="N72" s="24"/>
      <c r="O72" s="149"/>
      <c r="P72" s="149"/>
      <c r="Q72" s="149"/>
      <c r="R72" s="149"/>
      <c r="S72" s="149"/>
      <c r="T72" s="149"/>
      <c r="U72" s="149"/>
      <c r="V72" s="149"/>
      <c r="W72" s="149"/>
      <c r="X72" s="149"/>
      <c r="Y72" s="149"/>
      <c r="Z72" s="149"/>
      <c r="AA72" s="24" t="s">
        <v>740</v>
      </c>
    </row>
    <row r="73" spans="1:27">
      <c r="A73" s="24" t="s">
        <v>813</v>
      </c>
      <c r="B73" s="24" t="s">
        <v>814</v>
      </c>
      <c r="C73" s="349" t="s">
        <v>815</v>
      </c>
      <c r="D73" s="149"/>
      <c r="E73" s="88" t="s">
        <v>148</v>
      </c>
      <c r="F73" s="24" t="s">
        <v>24</v>
      </c>
      <c r="G73" s="24" t="s">
        <v>24</v>
      </c>
      <c r="H73" s="24" t="s">
        <v>24</v>
      </c>
      <c r="I73" s="24" t="s">
        <v>24</v>
      </c>
      <c r="J73" s="24" t="s">
        <v>24</v>
      </c>
      <c r="K73" s="24" t="s">
        <v>24</v>
      </c>
      <c r="L73" s="24" t="s">
        <v>24</v>
      </c>
      <c r="M73" s="24"/>
      <c r="N73" s="24"/>
      <c r="O73" s="149"/>
      <c r="P73" s="149"/>
      <c r="Q73" s="149"/>
      <c r="R73" s="149"/>
      <c r="S73" s="149"/>
      <c r="T73" s="149"/>
      <c r="U73" s="149"/>
      <c r="V73" s="149"/>
      <c r="W73" s="149"/>
      <c r="X73" s="149"/>
      <c r="Y73" s="149"/>
      <c r="Z73" s="149"/>
      <c r="AA73" s="24" t="s">
        <v>740</v>
      </c>
    </row>
    <row r="74" spans="1:27">
      <c r="A74" s="24" t="s">
        <v>816</v>
      </c>
      <c r="B74" s="24" t="s">
        <v>817</v>
      </c>
      <c r="C74" s="349" t="s">
        <v>818</v>
      </c>
      <c r="D74" s="149"/>
      <c r="E74" s="88" t="s">
        <v>148</v>
      </c>
      <c r="F74" s="24" t="s">
        <v>24</v>
      </c>
      <c r="G74" s="24" t="s">
        <v>24</v>
      </c>
      <c r="H74" s="24" t="s">
        <v>24</v>
      </c>
      <c r="I74" s="24" t="s">
        <v>24</v>
      </c>
      <c r="J74" s="24" t="s">
        <v>24</v>
      </c>
      <c r="K74" s="24" t="s">
        <v>24</v>
      </c>
      <c r="L74" s="24" t="s">
        <v>24</v>
      </c>
      <c r="M74" s="24"/>
      <c r="N74" s="24"/>
      <c r="O74" s="149"/>
      <c r="P74" s="149"/>
      <c r="Q74" s="149"/>
      <c r="R74" s="149"/>
      <c r="S74" s="149"/>
      <c r="T74" s="149"/>
      <c r="U74" s="149"/>
      <c r="V74" s="149"/>
      <c r="W74" s="149"/>
      <c r="X74" s="149"/>
      <c r="Y74" s="149"/>
      <c r="Z74" s="149"/>
      <c r="AA74" s="24" t="s">
        <v>740</v>
      </c>
    </row>
    <row r="75" spans="1:27">
      <c r="A75" s="24" t="s">
        <v>819</v>
      </c>
      <c r="B75" s="24" t="s">
        <v>820</v>
      </c>
      <c r="C75" s="349" t="s">
        <v>821</v>
      </c>
      <c r="D75" s="149"/>
      <c r="E75" s="88" t="s">
        <v>148</v>
      </c>
      <c r="F75" s="24" t="s">
        <v>24</v>
      </c>
      <c r="G75" s="24" t="s">
        <v>24</v>
      </c>
      <c r="H75" s="24" t="s">
        <v>24</v>
      </c>
      <c r="I75" s="24" t="s">
        <v>24</v>
      </c>
      <c r="J75" s="24" t="s">
        <v>24</v>
      </c>
      <c r="K75" s="24" t="s">
        <v>24</v>
      </c>
      <c r="L75" s="24" t="s">
        <v>24</v>
      </c>
      <c r="M75" s="24"/>
      <c r="N75" s="24"/>
      <c r="O75" s="149"/>
      <c r="P75" s="149"/>
      <c r="Q75" s="149"/>
      <c r="R75" s="149"/>
      <c r="S75" s="149"/>
      <c r="T75" s="149"/>
      <c r="U75" s="149"/>
      <c r="V75" s="149"/>
      <c r="W75" s="149"/>
      <c r="X75" s="149"/>
      <c r="Y75" s="149"/>
      <c r="Z75" s="149"/>
      <c r="AA75" s="24" t="s">
        <v>740</v>
      </c>
    </row>
    <row r="76" spans="1:27">
      <c r="A76" s="24" t="s">
        <v>822</v>
      </c>
      <c r="B76" s="24" t="s">
        <v>823</v>
      </c>
      <c r="C76" s="349" t="s">
        <v>824</v>
      </c>
      <c r="D76" s="149"/>
      <c r="E76" s="88" t="s">
        <v>148</v>
      </c>
      <c r="F76" s="24" t="s">
        <v>24</v>
      </c>
      <c r="G76" s="24" t="s">
        <v>24</v>
      </c>
      <c r="H76" s="24" t="s">
        <v>24</v>
      </c>
      <c r="I76" s="24" t="s">
        <v>24</v>
      </c>
      <c r="J76" s="24" t="s">
        <v>24</v>
      </c>
      <c r="K76" s="24" t="s">
        <v>24</v>
      </c>
      <c r="L76" s="24" t="s">
        <v>24</v>
      </c>
      <c r="M76" s="24"/>
      <c r="N76" s="24"/>
      <c r="O76" s="149"/>
      <c r="P76" s="149"/>
      <c r="Q76" s="149"/>
      <c r="R76" s="149"/>
      <c r="S76" s="149"/>
      <c r="T76" s="149"/>
      <c r="U76" s="149"/>
      <c r="V76" s="149"/>
      <c r="W76" s="149"/>
      <c r="X76" s="149"/>
      <c r="Y76" s="149"/>
      <c r="Z76" s="149"/>
      <c r="AA76" s="24" t="s">
        <v>740</v>
      </c>
    </row>
    <row r="77" spans="1:27">
      <c r="A77" s="24" t="s">
        <v>825</v>
      </c>
      <c r="B77" s="24" t="s">
        <v>826</v>
      </c>
      <c r="C77" s="349" t="s">
        <v>827</v>
      </c>
      <c r="D77" s="149"/>
      <c r="E77" s="88" t="s">
        <v>148</v>
      </c>
      <c r="F77" s="24" t="s">
        <v>24</v>
      </c>
      <c r="G77" s="24" t="s">
        <v>24</v>
      </c>
      <c r="H77" s="24" t="s">
        <v>24</v>
      </c>
      <c r="I77" s="24" t="s">
        <v>24</v>
      </c>
      <c r="J77" s="24" t="s">
        <v>24</v>
      </c>
      <c r="K77" s="24" t="s">
        <v>24</v>
      </c>
      <c r="L77" s="24" t="s">
        <v>24</v>
      </c>
      <c r="M77" s="24"/>
      <c r="N77" s="24"/>
      <c r="O77" s="149"/>
      <c r="P77" s="149"/>
      <c r="Q77" s="149"/>
      <c r="R77" s="149"/>
      <c r="S77" s="149"/>
      <c r="T77" s="149"/>
      <c r="U77" s="149"/>
      <c r="V77" s="149"/>
      <c r="W77" s="149"/>
      <c r="X77" s="149"/>
      <c r="Y77" s="149"/>
      <c r="Z77" s="149"/>
      <c r="AA77" s="24" t="s">
        <v>740</v>
      </c>
    </row>
    <row r="78" spans="1:27">
      <c r="A78" s="24" t="s">
        <v>828</v>
      </c>
      <c r="B78" s="24" t="s">
        <v>829</v>
      </c>
      <c r="C78" s="349" t="s">
        <v>830</v>
      </c>
      <c r="D78" s="149"/>
      <c r="E78" s="88" t="s">
        <v>148</v>
      </c>
      <c r="F78" s="24" t="s">
        <v>24</v>
      </c>
      <c r="G78" s="24" t="s">
        <v>24</v>
      </c>
      <c r="H78" s="24" t="s">
        <v>24</v>
      </c>
      <c r="I78" s="24" t="s">
        <v>24</v>
      </c>
      <c r="J78" s="24" t="s">
        <v>24</v>
      </c>
      <c r="K78" s="24" t="s">
        <v>24</v>
      </c>
      <c r="L78" s="24" t="s">
        <v>24</v>
      </c>
      <c r="M78" s="24"/>
      <c r="N78" s="24"/>
      <c r="O78" s="149"/>
      <c r="P78" s="149"/>
      <c r="Q78" s="149"/>
      <c r="R78" s="149"/>
      <c r="S78" s="149"/>
      <c r="T78" s="149"/>
      <c r="U78" s="149"/>
      <c r="V78" s="149"/>
      <c r="W78" s="149"/>
      <c r="X78" s="149"/>
      <c r="Y78" s="149"/>
      <c r="Z78" s="149"/>
      <c r="AA78" s="24" t="s">
        <v>740</v>
      </c>
    </row>
    <row r="79" spans="1:27">
      <c r="A79" s="24" t="s">
        <v>831</v>
      </c>
      <c r="B79" s="24" t="s">
        <v>832</v>
      </c>
      <c r="C79" s="349" t="s">
        <v>833</v>
      </c>
      <c r="D79" s="149"/>
      <c r="E79" s="88" t="s">
        <v>148</v>
      </c>
      <c r="F79" s="24" t="s">
        <v>24</v>
      </c>
      <c r="G79" s="24" t="s">
        <v>24</v>
      </c>
      <c r="H79" s="24" t="s">
        <v>24</v>
      </c>
      <c r="I79" s="24" t="s">
        <v>24</v>
      </c>
      <c r="J79" s="24" t="s">
        <v>24</v>
      </c>
      <c r="K79" s="24" t="s">
        <v>24</v>
      </c>
      <c r="L79" s="24" t="s">
        <v>24</v>
      </c>
      <c r="M79" s="24"/>
      <c r="N79" s="24"/>
      <c r="O79" s="149"/>
      <c r="P79" s="149"/>
      <c r="Q79" s="149"/>
      <c r="R79" s="149"/>
      <c r="S79" s="149"/>
      <c r="T79" s="149"/>
      <c r="U79" s="149"/>
      <c r="V79" s="149"/>
      <c r="W79" s="149"/>
      <c r="X79" s="149"/>
      <c r="Y79" s="149"/>
      <c r="Z79" s="149"/>
      <c r="AA79" s="24" t="s">
        <v>740</v>
      </c>
    </row>
    <row r="80" spans="1:27">
      <c r="A80" s="24" t="s">
        <v>834</v>
      </c>
      <c r="B80" s="24" t="s">
        <v>835</v>
      </c>
      <c r="C80" s="349" t="s">
        <v>836</v>
      </c>
      <c r="D80" s="149"/>
      <c r="E80" s="88" t="s">
        <v>148</v>
      </c>
      <c r="F80" s="24" t="s">
        <v>24</v>
      </c>
      <c r="G80" s="24" t="s">
        <v>24</v>
      </c>
      <c r="H80" s="24" t="s">
        <v>24</v>
      </c>
      <c r="I80" s="24" t="s">
        <v>24</v>
      </c>
      <c r="J80" s="24" t="s">
        <v>24</v>
      </c>
      <c r="K80" s="24" t="s">
        <v>24</v>
      </c>
      <c r="L80" s="24" t="s">
        <v>24</v>
      </c>
      <c r="M80" s="24"/>
      <c r="N80" s="24"/>
      <c r="O80" s="149"/>
      <c r="P80" s="149"/>
      <c r="Q80" s="149"/>
      <c r="R80" s="149"/>
      <c r="S80" s="149"/>
      <c r="T80" s="149"/>
      <c r="U80" s="149"/>
      <c r="V80" s="149"/>
      <c r="W80" s="149"/>
      <c r="X80" s="149"/>
      <c r="Y80" s="149"/>
      <c r="Z80" s="149"/>
      <c r="AA80" s="24" t="s">
        <v>740</v>
      </c>
    </row>
    <row r="81" spans="1:27">
      <c r="A81" s="24" t="s">
        <v>837</v>
      </c>
      <c r="B81" s="24" t="s">
        <v>838</v>
      </c>
      <c r="C81" s="349" t="s">
        <v>839</v>
      </c>
      <c r="D81" s="149"/>
      <c r="E81" s="88" t="s">
        <v>148</v>
      </c>
      <c r="F81" s="24" t="s">
        <v>24</v>
      </c>
      <c r="G81" s="24" t="s">
        <v>24</v>
      </c>
      <c r="H81" s="24" t="s">
        <v>24</v>
      </c>
      <c r="I81" s="24" t="s">
        <v>24</v>
      </c>
      <c r="J81" s="24" t="s">
        <v>24</v>
      </c>
      <c r="K81" s="24" t="s">
        <v>24</v>
      </c>
      <c r="L81" s="24" t="s">
        <v>24</v>
      </c>
      <c r="M81" s="24"/>
      <c r="N81" s="24"/>
      <c r="O81" s="149"/>
      <c r="P81" s="149"/>
      <c r="Q81" s="149"/>
      <c r="R81" s="149"/>
      <c r="S81" s="149"/>
      <c r="T81" s="149"/>
      <c r="U81" s="149"/>
      <c r="V81" s="149"/>
      <c r="W81" s="149"/>
      <c r="X81" s="149"/>
      <c r="Y81" s="149"/>
      <c r="Z81" s="149"/>
      <c r="AA81" s="24" t="s">
        <v>740</v>
      </c>
    </row>
    <row r="82" spans="1:27">
      <c r="A82" s="24" t="s">
        <v>840</v>
      </c>
      <c r="B82" s="24" t="s">
        <v>841</v>
      </c>
      <c r="C82" s="349" t="s">
        <v>842</v>
      </c>
      <c r="D82" s="149"/>
      <c r="E82" s="88" t="s">
        <v>148</v>
      </c>
      <c r="F82" s="24" t="s">
        <v>24</v>
      </c>
      <c r="G82" s="24" t="s">
        <v>24</v>
      </c>
      <c r="H82" s="24" t="s">
        <v>24</v>
      </c>
      <c r="I82" s="24" t="s">
        <v>24</v>
      </c>
      <c r="J82" s="24" t="s">
        <v>24</v>
      </c>
      <c r="K82" s="24" t="s">
        <v>24</v>
      </c>
      <c r="L82" s="24" t="s">
        <v>24</v>
      </c>
      <c r="M82" s="24"/>
      <c r="N82" s="24"/>
      <c r="O82" s="149"/>
      <c r="P82" s="149"/>
      <c r="Q82" s="149"/>
      <c r="R82" s="149"/>
      <c r="S82" s="149"/>
      <c r="T82" s="149"/>
      <c r="U82" s="149"/>
      <c r="V82" s="149"/>
      <c r="W82" s="149"/>
      <c r="X82" s="149"/>
      <c r="Y82" s="149"/>
      <c r="Z82" s="149"/>
      <c r="AA82" s="24" t="s">
        <v>740</v>
      </c>
    </row>
    <row r="83" spans="1:27">
      <c r="A83" s="24" t="s">
        <v>843</v>
      </c>
      <c r="B83" s="24" t="s">
        <v>844</v>
      </c>
      <c r="C83" s="349" t="s">
        <v>845</v>
      </c>
      <c r="D83" s="149"/>
      <c r="E83" s="88" t="s">
        <v>148</v>
      </c>
      <c r="F83" s="24" t="s">
        <v>24</v>
      </c>
      <c r="G83" s="24" t="s">
        <v>24</v>
      </c>
      <c r="H83" s="24" t="s">
        <v>24</v>
      </c>
      <c r="I83" s="24" t="s">
        <v>24</v>
      </c>
      <c r="J83" s="24" t="s">
        <v>24</v>
      </c>
      <c r="K83" s="24" t="s">
        <v>24</v>
      </c>
      <c r="L83" s="24" t="s">
        <v>24</v>
      </c>
      <c r="M83" s="24"/>
      <c r="N83" s="24"/>
      <c r="O83" s="149"/>
      <c r="P83" s="149"/>
      <c r="Q83" s="149"/>
      <c r="R83" s="149"/>
      <c r="S83" s="149"/>
      <c r="T83" s="149"/>
      <c r="U83" s="149"/>
      <c r="V83" s="149"/>
      <c r="W83" s="149"/>
      <c r="X83" s="149"/>
      <c r="Y83" s="149"/>
      <c r="Z83" s="149"/>
      <c r="AA83" s="24" t="s">
        <v>740</v>
      </c>
    </row>
    <row r="84" spans="1:27">
      <c r="A84" s="24" t="s">
        <v>846</v>
      </c>
      <c r="B84" s="24" t="s">
        <v>847</v>
      </c>
      <c r="C84" s="349" t="s">
        <v>848</v>
      </c>
      <c r="D84" s="149"/>
      <c r="E84" s="88" t="s">
        <v>148</v>
      </c>
      <c r="F84" s="24" t="s">
        <v>24</v>
      </c>
      <c r="G84" s="24" t="s">
        <v>24</v>
      </c>
      <c r="H84" s="24" t="s">
        <v>24</v>
      </c>
      <c r="I84" s="24" t="s">
        <v>24</v>
      </c>
      <c r="J84" s="24" t="s">
        <v>24</v>
      </c>
      <c r="K84" s="24" t="s">
        <v>24</v>
      </c>
      <c r="L84" s="24" t="s">
        <v>24</v>
      </c>
      <c r="M84" s="24"/>
      <c r="N84" s="24"/>
      <c r="O84" s="149"/>
      <c r="P84" s="149"/>
      <c r="Q84" s="149"/>
      <c r="R84" s="149"/>
      <c r="S84" s="149"/>
      <c r="T84" s="149"/>
      <c r="U84" s="149"/>
      <c r="V84" s="149"/>
      <c r="W84" s="149"/>
      <c r="X84" s="149"/>
      <c r="Y84" s="149"/>
      <c r="Z84" s="149"/>
      <c r="AA84" s="24" t="s">
        <v>740</v>
      </c>
    </row>
    <row r="85" spans="1:27">
      <c r="A85" s="24" t="s">
        <v>849</v>
      </c>
      <c r="B85" s="24" t="s">
        <v>850</v>
      </c>
      <c r="C85" s="349" t="s">
        <v>851</v>
      </c>
      <c r="D85" s="149"/>
      <c r="E85" s="88" t="s">
        <v>148</v>
      </c>
      <c r="F85" s="24" t="s">
        <v>24</v>
      </c>
      <c r="G85" s="24" t="s">
        <v>24</v>
      </c>
      <c r="H85" s="24" t="s">
        <v>24</v>
      </c>
      <c r="I85" s="24" t="s">
        <v>24</v>
      </c>
      <c r="J85" s="24" t="s">
        <v>24</v>
      </c>
      <c r="K85" s="24" t="s">
        <v>24</v>
      </c>
      <c r="L85" s="24" t="s">
        <v>24</v>
      </c>
      <c r="M85" s="24"/>
      <c r="N85" s="24"/>
      <c r="O85" s="149"/>
      <c r="P85" s="149"/>
      <c r="Q85" s="149"/>
      <c r="R85" s="149"/>
      <c r="S85" s="149"/>
      <c r="T85" s="149"/>
      <c r="U85" s="149"/>
      <c r="V85" s="149"/>
      <c r="W85" s="149"/>
      <c r="X85" s="149"/>
      <c r="Y85" s="149"/>
      <c r="Z85" s="149"/>
      <c r="AA85" s="24" t="s">
        <v>740</v>
      </c>
    </row>
    <row r="86" spans="1:27">
      <c r="A86" s="24" t="s">
        <v>852</v>
      </c>
      <c r="B86" s="24" t="s">
        <v>853</v>
      </c>
      <c r="C86" s="349" t="s">
        <v>854</v>
      </c>
      <c r="D86" s="149"/>
      <c r="E86" s="88" t="s">
        <v>148</v>
      </c>
      <c r="F86" s="24" t="s">
        <v>24</v>
      </c>
      <c r="G86" s="24" t="s">
        <v>24</v>
      </c>
      <c r="H86" s="24" t="s">
        <v>24</v>
      </c>
      <c r="I86" s="24" t="s">
        <v>24</v>
      </c>
      <c r="J86" s="24" t="s">
        <v>24</v>
      </c>
      <c r="K86" s="24" t="s">
        <v>24</v>
      </c>
      <c r="L86" s="24" t="s">
        <v>24</v>
      </c>
      <c r="M86" s="24"/>
      <c r="N86" s="24"/>
      <c r="O86" s="149"/>
      <c r="P86" s="149"/>
      <c r="Q86" s="149"/>
      <c r="R86" s="149"/>
      <c r="S86" s="149"/>
      <c r="T86" s="149"/>
      <c r="U86" s="149"/>
      <c r="V86" s="149"/>
      <c r="W86" s="149"/>
      <c r="X86" s="149"/>
      <c r="Y86" s="149"/>
      <c r="Z86" s="149"/>
      <c r="AA86" s="24" t="s">
        <v>740</v>
      </c>
    </row>
    <row r="87" spans="1:27">
      <c r="A87" s="24" t="s">
        <v>855</v>
      </c>
      <c r="B87" s="24" t="s">
        <v>856</v>
      </c>
      <c r="C87" s="349" t="s">
        <v>857</v>
      </c>
      <c r="D87" s="149"/>
      <c r="E87" s="88" t="s">
        <v>148</v>
      </c>
      <c r="F87" s="24" t="s">
        <v>24</v>
      </c>
      <c r="G87" s="24" t="s">
        <v>24</v>
      </c>
      <c r="H87" s="24" t="s">
        <v>24</v>
      </c>
      <c r="I87" s="24" t="s">
        <v>24</v>
      </c>
      <c r="J87" s="24" t="s">
        <v>24</v>
      </c>
      <c r="K87" s="24" t="s">
        <v>24</v>
      </c>
      <c r="L87" s="24" t="s">
        <v>24</v>
      </c>
      <c r="M87" s="24"/>
      <c r="N87" s="24"/>
      <c r="O87" s="149"/>
      <c r="P87" s="149"/>
      <c r="Q87" s="149"/>
      <c r="R87" s="149"/>
      <c r="S87" s="149"/>
      <c r="T87" s="149"/>
      <c r="U87" s="149"/>
      <c r="V87" s="149"/>
      <c r="W87" s="149"/>
      <c r="X87" s="149"/>
      <c r="Y87" s="149"/>
      <c r="Z87" s="149"/>
      <c r="AA87" s="24" t="s">
        <v>740</v>
      </c>
    </row>
    <row r="88" spans="1:27">
      <c r="A88" s="24" t="s">
        <v>858</v>
      </c>
      <c r="B88" s="24" t="s">
        <v>859</v>
      </c>
      <c r="C88" s="349" t="s">
        <v>860</v>
      </c>
      <c r="D88" s="149"/>
      <c r="E88" s="88" t="s">
        <v>145</v>
      </c>
      <c r="F88" s="88" t="s">
        <v>145</v>
      </c>
      <c r="G88" s="88" t="s">
        <v>145</v>
      </c>
      <c r="H88" s="88" t="s">
        <v>145</v>
      </c>
      <c r="I88" s="88" t="s">
        <v>145</v>
      </c>
      <c r="J88" s="88" t="s">
        <v>145</v>
      </c>
      <c r="K88" s="88" t="s">
        <v>145</v>
      </c>
      <c r="L88" s="88" t="s">
        <v>145</v>
      </c>
      <c r="M88" s="24"/>
      <c r="N88" s="24"/>
      <c r="O88" s="149"/>
      <c r="P88" s="149"/>
      <c r="Q88" s="149"/>
      <c r="R88" s="149"/>
      <c r="S88" s="149"/>
      <c r="T88" s="149"/>
      <c r="U88" s="149"/>
      <c r="V88" s="149"/>
      <c r="W88" s="149"/>
      <c r="X88" s="149"/>
      <c r="Y88" s="149"/>
      <c r="Z88" s="149"/>
      <c r="AA88" s="24" t="s">
        <v>740</v>
      </c>
    </row>
    <row r="89" spans="1:27">
      <c r="A89" s="24" t="s">
        <v>861</v>
      </c>
      <c r="B89" s="24" t="s">
        <v>862</v>
      </c>
      <c r="C89" s="349" t="s">
        <v>863</v>
      </c>
      <c r="D89" s="149"/>
      <c r="E89" s="88" t="s">
        <v>148</v>
      </c>
      <c r="F89" s="24" t="s">
        <v>24</v>
      </c>
      <c r="G89" s="24" t="s">
        <v>24</v>
      </c>
      <c r="H89" s="24" t="s">
        <v>24</v>
      </c>
      <c r="I89" s="24" t="s">
        <v>24</v>
      </c>
      <c r="J89" s="24" t="s">
        <v>24</v>
      </c>
      <c r="K89" s="24" t="s">
        <v>24</v>
      </c>
      <c r="L89" s="24" t="s">
        <v>24</v>
      </c>
      <c r="M89" s="24"/>
      <c r="N89" s="24"/>
      <c r="O89" s="149"/>
      <c r="P89" s="149"/>
      <c r="Q89" s="149"/>
      <c r="R89" s="149"/>
      <c r="S89" s="149"/>
      <c r="T89" s="149"/>
      <c r="U89" s="149"/>
      <c r="V89" s="149"/>
      <c r="W89" s="149"/>
      <c r="X89" s="149"/>
      <c r="Y89" s="149"/>
      <c r="Z89" s="149"/>
      <c r="AA89" s="24" t="s">
        <v>740</v>
      </c>
    </row>
    <row r="90" spans="1:27">
      <c r="A90" s="24" t="s">
        <v>864</v>
      </c>
      <c r="B90" s="24" t="s">
        <v>865</v>
      </c>
      <c r="C90" s="349" t="s">
        <v>866</v>
      </c>
      <c r="D90" s="149"/>
      <c r="E90" s="88" t="s">
        <v>148</v>
      </c>
      <c r="F90" s="24" t="s">
        <v>24</v>
      </c>
      <c r="G90" s="24" t="s">
        <v>24</v>
      </c>
      <c r="H90" s="24" t="s">
        <v>24</v>
      </c>
      <c r="I90" s="24" t="s">
        <v>24</v>
      </c>
      <c r="J90" s="24" t="s">
        <v>24</v>
      </c>
      <c r="K90" s="24" t="s">
        <v>24</v>
      </c>
      <c r="L90" s="24" t="s">
        <v>24</v>
      </c>
      <c r="M90" s="24"/>
      <c r="N90" s="24"/>
      <c r="O90" s="149"/>
      <c r="P90" s="149"/>
      <c r="Q90" s="149"/>
      <c r="R90" s="149"/>
      <c r="S90" s="149"/>
      <c r="T90" s="149"/>
      <c r="U90" s="149"/>
      <c r="V90" s="149"/>
      <c r="W90" s="149"/>
      <c r="X90" s="149"/>
      <c r="Y90" s="149"/>
      <c r="Z90" s="149"/>
      <c r="AA90" s="24" t="s">
        <v>740</v>
      </c>
    </row>
    <row r="91" spans="1:27">
      <c r="A91" s="394" t="s">
        <v>867</v>
      </c>
      <c r="B91" s="394" t="s">
        <v>868</v>
      </c>
      <c r="C91" s="349" t="s">
        <v>869</v>
      </c>
      <c r="D91" s="149"/>
      <c r="E91" s="88" t="s">
        <v>148</v>
      </c>
      <c r="F91" s="24" t="s">
        <v>24</v>
      </c>
      <c r="G91" s="24" t="s">
        <v>24</v>
      </c>
      <c r="H91" s="24" t="s">
        <v>24</v>
      </c>
      <c r="I91" s="24" t="s">
        <v>24</v>
      </c>
      <c r="J91" s="24" t="s">
        <v>24</v>
      </c>
      <c r="K91" s="24" t="s">
        <v>24</v>
      </c>
      <c r="L91" s="24" t="s">
        <v>24</v>
      </c>
      <c r="M91" s="24"/>
      <c r="N91" s="24"/>
      <c r="O91" s="149"/>
      <c r="P91" s="149"/>
      <c r="Q91" s="149"/>
      <c r="R91" s="149"/>
      <c r="S91" s="149"/>
      <c r="T91" s="149"/>
      <c r="U91" s="149"/>
      <c r="V91" s="149"/>
      <c r="W91" s="149"/>
      <c r="X91" s="149"/>
      <c r="Y91" s="149"/>
      <c r="Z91" s="149"/>
      <c r="AA91" s="24" t="s">
        <v>740</v>
      </c>
    </row>
    <row r="92" spans="1:27">
      <c r="A92" s="88" t="s">
        <v>870</v>
      </c>
      <c r="B92" s="88" t="s">
        <v>871</v>
      </c>
      <c r="C92" s="349" t="s">
        <v>872</v>
      </c>
      <c r="D92" s="149"/>
      <c r="E92" s="88" t="s">
        <v>148</v>
      </c>
      <c r="F92" s="24" t="s">
        <v>24</v>
      </c>
      <c r="G92" s="24" t="s">
        <v>24</v>
      </c>
      <c r="H92" s="24" t="s">
        <v>24</v>
      </c>
      <c r="I92" s="24" t="s">
        <v>24</v>
      </c>
      <c r="J92" s="24" t="s">
        <v>24</v>
      </c>
      <c r="K92" s="24" t="s">
        <v>24</v>
      </c>
      <c r="L92" s="24" t="s">
        <v>24</v>
      </c>
      <c r="M92" s="24"/>
      <c r="N92" s="149"/>
      <c r="O92" s="149"/>
      <c r="P92" s="149"/>
      <c r="Q92" s="149"/>
      <c r="R92" s="149"/>
      <c r="S92" s="149"/>
      <c r="T92" s="149"/>
      <c r="U92" s="149"/>
      <c r="V92" s="149"/>
      <c r="W92" s="149"/>
      <c r="X92" s="149"/>
      <c r="Y92" s="149"/>
      <c r="Z92" s="149"/>
      <c r="AA92" s="24" t="s">
        <v>740</v>
      </c>
    </row>
    <row r="93" spans="1:27">
      <c r="A93" s="88" t="s">
        <v>873</v>
      </c>
      <c r="B93" s="88" t="s">
        <v>874</v>
      </c>
      <c r="C93" s="349" t="s">
        <v>875</v>
      </c>
      <c r="D93" s="149"/>
      <c r="E93" s="88" t="s">
        <v>148</v>
      </c>
      <c r="F93" s="24" t="s">
        <v>24</v>
      </c>
      <c r="G93" s="24" t="s">
        <v>24</v>
      </c>
      <c r="H93" s="24" t="s">
        <v>24</v>
      </c>
      <c r="I93" s="24" t="s">
        <v>24</v>
      </c>
      <c r="J93" s="24" t="s">
        <v>24</v>
      </c>
      <c r="K93" s="24" t="s">
        <v>24</v>
      </c>
      <c r="L93" s="24" t="s">
        <v>24</v>
      </c>
      <c r="M93" s="24"/>
      <c r="N93" s="149"/>
      <c r="O93" s="149"/>
      <c r="P93" s="149"/>
      <c r="Q93" s="149"/>
      <c r="R93" s="149"/>
      <c r="S93" s="149"/>
      <c r="T93" s="149"/>
      <c r="U93" s="149"/>
      <c r="V93" s="149"/>
      <c r="W93" s="149"/>
      <c r="X93" s="149"/>
      <c r="Y93" s="149"/>
      <c r="Z93" s="149"/>
      <c r="AA93" s="24" t="s">
        <v>740</v>
      </c>
    </row>
    <row r="94" spans="1:27">
      <c r="A94" s="88" t="s">
        <v>876</v>
      </c>
      <c r="B94" s="88" t="s">
        <v>877</v>
      </c>
      <c r="C94" s="349" t="s">
        <v>878</v>
      </c>
      <c r="D94" s="149"/>
      <c r="E94" s="88" t="s">
        <v>148</v>
      </c>
      <c r="F94" s="24" t="s">
        <v>24</v>
      </c>
      <c r="G94" s="24" t="s">
        <v>24</v>
      </c>
      <c r="H94" s="24" t="s">
        <v>24</v>
      </c>
      <c r="I94" s="24" t="s">
        <v>24</v>
      </c>
      <c r="J94" s="24" t="s">
        <v>24</v>
      </c>
      <c r="K94" s="24" t="s">
        <v>24</v>
      </c>
      <c r="L94" s="24" t="s">
        <v>24</v>
      </c>
      <c r="M94" s="24"/>
      <c r="N94" s="149"/>
      <c r="O94" s="149"/>
      <c r="P94" s="149"/>
      <c r="Q94" s="149"/>
      <c r="R94" s="149"/>
      <c r="S94" s="149"/>
      <c r="T94" s="149"/>
      <c r="U94" s="149"/>
      <c r="V94" s="149"/>
      <c r="W94" s="149"/>
      <c r="X94" s="149"/>
      <c r="Y94" s="149"/>
      <c r="Z94" s="149"/>
      <c r="AA94" s="24" t="s">
        <v>740</v>
      </c>
    </row>
    <row r="95" spans="1:27">
      <c r="A95" s="88" t="s">
        <v>879</v>
      </c>
      <c r="B95" s="88" t="s">
        <v>880</v>
      </c>
      <c r="C95" s="349" t="s">
        <v>881</v>
      </c>
      <c r="D95" s="149"/>
      <c r="E95" s="88" t="s">
        <v>148</v>
      </c>
      <c r="F95" s="24" t="s">
        <v>24</v>
      </c>
      <c r="G95" s="24" t="s">
        <v>24</v>
      </c>
      <c r="H95" s="24" t="s">
        <v>24</v>
      </c>
      <c r="I95" s="24" t="s">
        <v>24</v>
      </c>
      <c r="J95" s="24" t="s">
        <v>24</v>
      </c>
      <c r="K95" s="24" t="s">
        <v>24</v>
      </c>
      <c r="L95" s="24" t="s">
        <v>24</v>
      </c>
      <c r="M95" s="24"/>
      <c r="N95" s="149"/>
      <c r="O95" s="149"/>
      <c r="P95" s="149"/>
      <c r="Q95" s="149"/>
      <c r="R95" s="149"/>
      <c r="S95" s="149"/>
      <c r="T95" s="149"/>
      <c r="U95" s="149"/>
      <c r="V95" s="149"/>
      <c r="W95" s="149"/>
      <c r="X95" s="149"/>
      <c r="Y95" s="149"/>
      <c r="Z95" s="149"/>
      <c r="AA95" s="24" t="s">
        <v>740</v>
      </c>
    </row>
    <row r="96" spans="1:27">
      <c r="A96" s="88" t="s">
        <v>882</v>
      </c>
      <c r="B96" s="88" t="s">
        <v>883</v>
      </c>
      <c r="C96" s="349" t="s">
        <v>884</v>
      </c>
      <c r="D96" s="149"/>
      <c r="E96" s="88" t="s">
        <v>148</v>
      </c>
      <c r="F96" s="24" t="s">
        <v>24</v>
      </c>
      <c r="G96" s="24" t="s">
        <v>24</v>
      </c>
      <c r="H96" s="24" t="s">
        <v>24</v>
      </c>
      <c r="I96" s="24" t="s">
        <v>24</v>
      </c>
      <c r="J96" s="24" t="s">
        <v>24</v>
      </c>
      <c r="K96" s="24" t="s">
        <v>24</v>
      </c>
      <c r="L96" s="24" t="s">
        <v>24</v>
      </c>
      <c r="M96" s="24"/>
      <c r="N96" s="149"/>
      <c r="O96" s="149"/>
      <c r="P96" s="149"/>
      <c r="Q96" s="149"/>
      <c r="R96" s="149"/>
      <c r="S96" s="149"/>
      <c r="T96" s="149"/>
      <c r="U96" s="149"/>
      <c r="V96" s="149"/>
      <c r="W96" s="149"/>
      <c r="X96" s="149"/>
      <c r="Y96" s="149"/>
      <c r="Z96" s="149"/>
      <c r="AA96" s="24" t="s">
        <v>740</v>
      </c>
    </row>
    <row r="97" spans="1:27">
      <c r="A97" s="88" t="s">
        <v>885</v>
      </c>
      <c r="B97" s="88" t="s">
        <v>886</v>
      </c>
      <c r="C97" s="349" t="s">
        <v>887</v>
      </c>
      <c r="D97" s="149"/>
      <c r="E97" s="88" t="s">
        <v>148</v>
      </c>
      <c r="F97" s="24" t="s">
        <v>24</v>
      </c>
      <c r="G97" s="24" t="s">
        <v>24</v>
      </c>
      <c r="H97" s="24" t="s">
        <v>24</v>
      </c>
      <c r="I97" s="24" t="s">
        <v>24</v>
      </c>
      <c r="J97" s="24" t="s">
        <v>24</v>
      </c>
      <c r="K97" s="24" t="s">
        <v>24</v>
      </c>
      <c r="L97" s="24" t="s">
        <v>24</v>
      </c>
      <c r="M97" s="24"/>
      <c r="N97" s="149"/>
      <c r="O97" s="149"/>
      <c r="P97" s="149"/>
      <c r="Q97" s="149"/>
      <c r="R97" s="149"/>
      <c r="S97" s="149"/>
      <c r="T97" s="149"/>
      <c r="U97" s="149"/>
      <c r="V97" s="149"/>
      <c r="W97" s="149"/>
      <c r="X97" s="149"/>
      <c r="Y97" s="149"/>
      <c r="Z97" s="149"/>
      <c r="AA97" s="24" t="s">
        <v>740</v>
      </c>
    </row>
    <row r="98" spans="1:27">
      <c r="A98" s="88" t="s">
        <v>888</v>
      </c>
      <c r="B98" s="88" t="s">
        <v>889</v>
      </c>
      <c r="C98" s="349" t="s">
        <v>890</v>
      </c>
      <c r="D98" s="149"/>
      <c r="E98" s="88" t="s">
        <v>148</v>
      </c>
      <c r="F98" s="24" t="s">
        <v>24</v>
      </c>
      <c r="G98" s="24" t="s">
        <v>24</v>
      </c>
      <c r="H98" s="24" t="s">
        <v>24</v>
      </c>
      <c r="I98" s="24" t="s">
        <v>24</v>
      </c>
      <c r="J98" s="24" t="s">
        <v>24</v>
      </c>
      <c r="K98" s="24" t="s">
        <v>24</v>
      </c>
      <c r="L98" s="24" t="s">
        <v>24</v>
      </c>
      <c r="M98" s="24"/>
      <c r="N98" s="149"/>
      <c r="O98" s="149"/>
      <c r="P98" s="149"/>
      <c r="Q98" s="149"/>
      <c r="R98" s="149"/>
      <c r="S98" s="149"/>
      <c r="T98" s="149"/>
      <c r="U98" s="149"/>
      <c r="V98" s="149"/>
      <c r="W98" s="149"/>
      <c r="X98" s="149"/>
      <c r="Y98" s="149"/>
      <c r="Z98" s="149"/>
      <c r="AA98" s="24" t="s">
        <v>740</v>
      </c>
    </row>
    <row r="99" spans="1:27">
      <c r="A99" s="88" t="s">
        <v>891</v>
      </c>
      <c r="B99" s="88" t="s">
        <v>892</v>
      </c>
      <c r="C99" s="349" t="s">
        <v>893</v>
      </c>
      <c r="D99" s="149"/>
      <c r="E99" s="88" t="s">
        <v>148</v>
      </c>
      <c r="F99" s="24" t="s">
        <v>24</v>
      </c>
      <c r="G99" s="24" t="s">
        <v>24</v>
      </c>
      <c r="H99" s="24" t="s">
        <v>24</v>
      </c>
      <c r="I99" s="24" t="s">
        <v>24</v>
      </c>
      <c r="J99" s="24" t="s">
        <v>24</v>
      </c>
      <c r="K99" s="24" t="s">
        <v>24</v>
      </c>
      <c r="L99" s="24" t="s">
        <v>24</v>
      </c>
      <c r="M99" s="24"/>
      <c r="N99" s="149"/>
      <c r="O99" s="149"/>
      <c r="P99" s="149"/>
      <c r="Q99" s="149"/>
      <c r="R99" s="149"/>
      <c r="S99" s="149"/>
      <c r="T99" s="149"/>
      <c r="U99" s="149"/>
      <c r="V99" s="149"/>
      <c r="W99" s="149"/>
      <c r="X99" s="149"/>
      <c r="Y99" s="149"/>
      <c r="Z99" s="149"/>
      <c r="AA99" s="24" t="s">
        <v>740</v>
      </c>
    </row>
    <row r="100" spans="1:27">
      <c r="A100" s="88" t="s">
        <v>894</v>
      </c>
      <c r="B100" s="88" t="s">
        <v>895</v>
      </c>
      <c r="C100" s="349" t="s">
        <v>896</v>
      </c>
      <c r="D100" s="149"/>
      <c r="E100" s="88" t="s">
        <v>148</v>
      </c>
      <c r="F100" s="24" t="s">
        <v>24</v>
      </c>
      <c r="G100" s="24" t="s">
        <v>24</v>
      </c>
      <c r="H100" s="24" t="s">
        <v>24</v>
      </c>
      <c r="I100" s="24" t="s">
        <v>24</v>
      </c>
      <c r="J100" s="24" t="s">
        <v>24</v>
      </c>
      <c r="K100" s="24" t="s">
        <v>24</v>
      </c>
      <c r="L100" s="24" t="s">
        <v>24</v>
      </c>
      <c r="M100" s="24"/>
      <c r="N100" s="149"/>
      <c r="O100" s="149"/>
      <c r="P100" s="149"/>
      <c r="Q100" s="149"/>
      <c r="R100" s="149"/>
      <c r="S100" s="149"/>
      <c r="T100" s="149"/>
      <c r="U100" s="149"/>
      <c r="V100" s="149"/>
      <c r="W100" s="149"/>
      <c r="X100" s="149"/>
      <c r="Y100" s="149"/>
      <c r="Z100" s="149"/>
      <c r="AA100" s="24" t="s">
        <v>740</v>
      </c>
    </row>
    <row r="101" spans="1:27">
      <c r="A101" s="88" t="s">
        <v>897</v>
      </c>
      <c r="B101" s="88" t="s">
        <v>898</v>
      </c>
      <c r="C101" s="349" t="s">
        <v>899</v>
      </c>
      <c r="D101" s="149"/>
      <c r="E101" s="88" t="s">
        <v>148</v>
      </c>
      <c r="F101" s="24" t="s">
        <v>24</v>
      </c>
      <c r="G101" s="24" t="s">
        <v>24</v>
      </c>
      <c r="H101" s="24" t="s">
        <v>24</v>
      </c>
      <c r="I101" s="24" t="s">
        <v>24</v>
      </c>
      <c r="J101" s="24" t="s">
        <v>24</v>
      </c>
      <c r="K101" s="24" t="s">
        <v>24</v>
      </c>
      <c r="L101" s="24" t="s">
        <v>24</v>
      </c>
      <c r="M101" s="24"/>
      <c r="N101" s="149"/>
      <c r="O101" s="149"/>
      <c r="P101" s="149"/>
      <c r="Q101" s="149"/>
      <c r="R101" s="149"/>
      <c r="S101" s="149"/>
      <c r="T101" s="149"/>
      <c r="U101" s="149"/>
      <c r="V101" s="149"/>
      <c r="W101" s="149"/>
      <c r="X101" s="149"/>
      <c r="Y101" s="149"/>
      <c r="Z101" s="149"/>
      <c r="AA101" s="24" t="s">
        <v>740</v>
      </c>
    </row>
    <row r="102" spans="1:27">
      <c r="A102" s="88" t="s">
        <v>900</v>
      </c>
      <c r="B102" s="88" t="s">
        <v>901</v>
      </c>
      <c r="C102" s="349" t="s">
        <v>902</v>
      </c>
      <c r="D102" s="149"/>
      <c r="E102" s="88" t="s">
        <v>148</v>
      </c>
      <c r="F102" s="24" t="s">
        <v>24</v>
      </c>
      <c r="G102" s="24" t="s">
        <v>24</v>
      </c>
      <c r="H102" s="24" t="s">
        <v>24</v>
      </c>
      <c r="I102" s="24" t="s">
        <v>24</v>
      </c>
      <c r="J102" s="24" t="s">
        <v>24</v>
      </c>
      <c r="K102" s="24" t="s">
        <v>24</v>
      </c>
      <c r="L102" s="24" t="s">
        <v>24</v>
      </c>
      <c r="M102" s="24"/>
      <c r="N102" s="149"/>
      <c r="O102" s="149"/>
      <c r="P102" s="149"/>
      <c r="Q102" s="149"/>
      <c r="R102" s="149"/>
      <c r="S102" s="149"/>
      <c r="T102" s="149"/>
      <c r="U102" s="149"/>
      <c r="V102" s="149"/>
      <c r="W102" s="149"/>
      <c r="X102" s="149"/>
      <c r="Y102" s="149"/>
      <c r="Z102" s="149"/>
      <c r="AA102" s="24" t="s">
        <v>740</v>
      </c>
    </row>
    <row r="103" spans="1:27">
      <c r="A103" s="88" t="s">
        <v>903</v>
      </c>
      <c r="B103" s="88" t="s">
        <v>904</v>
      </c>
      <c r="C103" s="149" t="s">
        <v>905</v>
      </c>
      <c r="D103" s="149"/>
      <c r="E103" s="88" t="s">
        <v>148</v>
      </c>
      <c r="F103" s="24" t="s">
        <v>24</v>
      </c>
      <c r="G103" s="24" t="s">
        <v>24</v>
      </c>
      <c r="H103" s="24" t="s">
        <v>24</v>
      </c>
      <c r="I103" s="24" t="s">
        <v>24</v>
      </c>
      <c r="J103" s="24" t="s">
        <v>24</v>
      </c>
      <c r="K103" s="24" t="s">
        <v>24</v>
      </c>
      <c r="L103" s="24" t="s">
        <v>24</v>
      </c>
      <c r="M103" s="24"/>
      <c r="N103" s="149"/>
      <c r="O103" s="149"/>
      <c r="P103" s="149"/>
      <c r="Q103" s="149"/>
      <c r="R103" s="149"/>
      <c r="S103" s="149"/>
      <c r="T103" s="149"/>
      <c r="U103" s="149"/>
      <c r="V103" s="149"/>
      <c r="W103" s="149"/>
      <c r="X103" s="149"/>
      <c r="Y103" s="149"/>
      <c r="Z103" s="149"/>
      <c r="AA103" s="24" t="s">
        <v>740</v>
      </c>
    </row>
    <row r="104" spans="1:27">
      <c r="A104" s="88" t="s">
        <v>906</v>
      </c>
      <c r="B104" s="88" t="s">
        <v>907</v>
      </c>
      <c r="C104" s="149" t="s">
        <v>908</v>
      </c>
      <c r="D104" s="149"/>
      <c r="E104" s="88" t="s">
        <v>148</v>
      </c>
      <c r="F104" s="24" t="s">
        <v>24</v>
      </c>
      <c r="G104" s="24" t="s">
        <v>24</v>
      </c>
      <c r="H104" s="24" t="s">
        <v>24</v>
      </c>
      <c r="I104" s="24" t="s">
        <v>24</v>
      </c>
      <c r="J104" s="24" t="s">
        <v>24</v>
      </c>
      <c r="K104" s="24" t="s">
        <v>24</v>
      </c>
      <c r="L104" s="24" t="s">
        <v>24</v>
      </c>
      <c r="M104" s="24"/>
      <c r="N104" s="149"/>
      <c r="O104" s="149"/>
      <c r="P104" s="149"/>
      <c r="Q104" s="149"/>
      <c r="R104" s="149"/>
      <c r="S104" s="149"/>
      <c r="T104" s="149"/>
      <c r="U104" s="149"/>
      <c r="V104" s="149"/>
      <c r="W104" s="149"/>
      <c r="X104" s="149"/>
      <c r="Y104" s="149"/>
      <c r="Z104" s="149"/>
      <c r="AA104" s="24" t="s">
        <v>740</v>
      </c>
    </row>
    <row r="105" spans="1:27">
      <c r="A105" s="88" t="s">
        <v>909</v>
      </c>
      <c r="B105" s="88" t="s">
        <v>910</v>
      </c>
      <c r="C105" s="149" t="s">
        <v>911</v>
      </c>
      <c r="D105" s="149"/>
      <c r="E105" s="88" t="s">
        <v>148</v>
      </c>
      <c r="F105" s="24" t="s">
        <v>24</v>
      </c>
      <c r="G105" s="24" t="s">
        <v>24</v>
      </c>
      <c r="H105" s="24" t="s">
        <v>24</v>
      </c>
      <c r="I105" s="24" t="s">
        <v>24</v>
      </c>
      <c r="J105" s="24" t="s">
        <v>24</v>
      </c>
      <c r="K105" s="24" t="s">
        <v>24</v>
      </c>
      <c r="L105" s="24" t="s">
        <v>24</v>
      </c>
      <c r="M105" s="24"/>
      <c r="N105" s="149"/>
      <c r="O105" s="149"/>
      <c r="P105" s="149"/>
      <c r="Q105" s="149"/>
      <c r="R105" s="149"/>
      <c r="S105" s="149"/>
      <c r="T105" s="149"/>
      <c r="U105" s="149"/>
      <c r="V105" s="149"/>
      <c r="W105" s="149"/>
      <c r="X105" s="149"/>
      <c r="Y105" s="149"/>
      <c r="Z105" s="149"/>
      <c r="AA105" s="24" t="s">
        <v>740</v>
      </c>
    </row>
    <row r="106" spans="1:27">
      <c r="A106" s="88" t="s">
        <v>912</v>
      </c>
      <c r="B106" s="88" t="s">
        <v>913</v>
      </c>
      <c r="C106" s="149" t="s">
        <v>914</v>
      </c>
      <c r="D106" s="149"/>
      <c r="E106" s="88" t="s">
        <v>148</v>
      </c>
      <c r="F106" s="24" t="s">
        <v>24</v>
      </c>
      <c r="G106" s="24" t="s">
        <v>24</v>
      </c>
      <c r="H106" s="24" t="s">
        <v>24</v>
      </c>
      <c r="I106" s="24" t="s">
        <v>24</v>
      </c>
      <c r="J106" s="24" t="s">
        <v>24</v>
      </c>
      <c r="K106" s="24" t="s">
        <v>24</v>
      </c>
      <c r="L106" s="24" t="s">
        <v>24</v>
      </c>
      <c r="M106" s="24"/>
      <c r="N106" s="149"/>
      <c r="O106" s="149"/>
      <c r="P106" s="149"/>
      <c r="Q106" s="149"/>
      <c r="R106" s="149"/>
      <c r="S106" s="149"/>
      <c r="T106" s="149"/>
      <c r="U106" s="149"/>
      <c r="V106" s="149"/>
      <c r="W106" s="149"/>
      <c r="X106" s="149"/>
      <c r="Y106" s="149"/>
      <c r="Z106" s="149"/>
      <c r="AA106" s="24" t="s">
        <v>740</v>
      </c>
    </row>
    <row r="107" spans="1:27">
      <c r="A107" s="346" t="s">
        <v>915</v>
      </c>
      <c r="B107" s="346" t="s">
        <v>916</v>
      </c>
      <c r="C107" s="349" t="s">
        <v>917</v>
      </c>
      <c r="D107" s="149"/>
      <c r="E107" s="88" t="s">
        <v>148</v>
      </c>
      <c r="F107" s="24" t="s">
        <v>24</v>
      </c>
      <c r="G107" s="24" t="s">
        <v>24</v>
      </c>
      <c r="H107" s="24" t="s">
        <v>24</v>
      </c>
      <c r="I107" s="24" t="s">
        <v>24</v>
      </c>
      <c r="J107" s="24" t="s">
        <v>24</v>
      </c>
      <c r="K107" s="24" t="s">
        <v>24</v>
      </c>
      <c r="L107" s="24" t="s">
        <v>24</v>
      </c>
      <c r="M107" s="24"/>
      <c r="N107" s="149"/>
      <c r="O107" s="149"/>
      <c r="P107" s="149"/>
      <c r="Q107" s="149"/>
      <c r="R107" s="149"/>
      <c r="S107" s="149"/>
      <c r="T107" s="149"/>
      <c r="U107" s="149"/>
      <c r="V107" s="149"/>
      <c r="W107" s="149"/>
      <c r="X107" s="149"/>
      <c r="Y107" s="149"/>
      <c r="Z107" s="149"/>
      <c r="AA107" s="24" t="s">
        <v>740</v>
      </c>
    </row>
    <row r="108" spans="1:27">
      <c r="A108" s="346" t="s">
        <v>918</v>
      </c>
      <c r="B108" s="346" t="s">
        <v>919</v>
      </c>
      <c r="C108" s="349" t="s">
        <v>920</v>
      </c>
      <c r="D108" s="149"/>
      <c r="E108" s="88" t="s">
        <v>148</v>
      </c>
      <c r="F108" s="24" t="s">
        <v>24</v>
      </c>
      <c r="G108" s="24" t="s">
        <v>24</v>
      </c>
      <c r="H108" s="24" t="s">
        <v>24</v>
      </c>
      <c r="I108" s="24" t="s">
        <v>24</v>
      </c>
      <c r="J108" s="24" t="s">
        <v>24</v>
      </c>
      <c r="K108" s="24" t="s">
        <v>24</v>
      </c>
      <c r="L108" s="24" t="s">
        <v>24</v>
      </c>
      <c r="M108" s="24"/>
      <c r="N108" s="149"/>
      <c r="O108" s="149"/>
      <c r="P108" s="149"/>
      <c r="Q108" s="149"/>
      <c r="R108" s="149"/>
      <c r="S108" s="149"/>
      <c r="T108" s="149"/>
      <c r="U108" s="149"/>
      <c r="V108" s="149"/>
      <c r="W108" s="149"/>
      <c r="X108" s="149"/>
      <c r="Y108" s="149"/>
      <c r="Z108" s="149"/>
      <c r="AA108" s="24" t="s">
        <v>740</v>
      </c>
    </row>
    <row r="109" spans="1:27" ht="12">
      <c r="A109" s="24" t="s">
        <v>921</v>
      </c>
      <c r="B109" s="24" t="s">
        <v>922</v>
      </c>
      <c r="C109" s="23" t="s">
        <v>923</v>
      </c>
      <c r="D109" s="88" t="s">
        <v>25</v>
      </c>
      <c r="E109" s="88" t="s">
        <v>148</v>
      </c>
      <c r="F109" s="24" t="s">
        <v>24</v>
      </c>
      <c r="G109" s="24" t="s">
        <v>24</v>
      </c>
      <c r="H109" s="24" t="s">
        <v>24</v>
      </c>
      <c r="I109" s="24" t="s">
        <v>924</v>
      </c>
      <c r="J109" s="24" t="s">
        <v>924</v>
      </c>
      <c r="K109" s="24" t="s">
        <v>924</v>
      </c>
      <c r="L109" s="24" t="s">
        <v>24</v>
      </c>
      <c r="M109" s="24"/>
      <c r="N109" s="24"/>
      <c r="O109" s="149"/>
      <c r="P109" s="149"/>
      <c r="Q109" s="149"/>
      <c r="R109" s="149"/>
      <c r="S109" s="149"/>
      <c r="T109" s="149"/>
      <c r="U109" s="149"/>
      <c r="V109" s="149"/>
      <c r="W109" s="149"/>
      <c r="X109" s="149"/>
      <c r="Y109" s="149"/>
      <c r="Z109" s="149"/>
      <c r="AA109" s="556" t="s">
        <v>925</v>
      </c>
    </row>
    <row r="110" spans="1:27" ht="12">
      <c r="A110" s="24" t="s">
        <v>926</v>
      </c>
      <c r="B110" s="24" t="s">
        <v>927</v>
      </c>
      <c r="C110" s="23" t="s">
        <v>928</v>
      </c>
      <c r="D110" s="149"/>
      <c r="E110" s="88" t="s">
        <v>148</v>
      </c>
      <c r="F110" s="24" t="s">
        <v>24</v>
      </c>
      <c r="G110" s="24" t="s">
        <v>24</v>
      </c>
      <c r="H110" s="24" t="s">
        <v>24</v>
      </c>
      <c r="I110" s="24" t="s">
        <v>924</v>
      </c>
      <c r="J110" s="24" t="s">
        <v>924</v>
      </c>
      <c r="K110" s="24" t="s">
        <v>924</v>
      </c>
      <c r="L110" s="24" t="s">
        <v>24</v>
      </c>
      <c r="M110" s="24"/>
      <c r="N110" s="24"/>
      <c r="O110" s="149"/>
      <c r="P110" s="149"/>
      <c r="Q110" s="149"/>
      <c r="R110" s="149"/>
      <c r="S110" s="149"/>
      <c r="T110" s="149"/>
      <c r="U110" s="149"/>
      <c r="V110" s="149"/>
      <c r="W110" s="149"/>
      <c r="X110" s="149"/>
      <c r="Y110" s="149"/>
      <c r="Z110" s="149"/>
      <c r="AA110" s="556" t="s">
        <v>925</v>
      </c>
    </row>
    <row r="111" spans="1:27" ht="12">
      <c r="A111" s="24" t="s">
        <v>929</v>
      </c>
      <c r="B111" s="24" t="s">
        <v>930</v>
      </c>
      <c r="C111" s="23" t="s">
        <v>931</v>
      </c>
      <c r="D111" s="149"/>
      <c r="E111" s="88" t="s">
        <v>148</v>
      </c>
      <c r="F111" s="24" t="s">
        <v>24</v>
      </c>
      <c r="G111" s="24" t="s">
        <v>24</v>
      </c>
      <c r="H111" s="24" t="s">
        <v>24</v>
      </c>
      <c r="I111" s="24" t="s">
        <v>924</v>
      </c>
      <c r="J111" s="24" t="s">
        <v>924</v>
      </c>
      <c r="K111" s="24" t="s">
        <v>924</v>
      </c>
      <c r="L111" s="24" t="s">
        <v>24</v>
      </c>
      <c r="M111" s="24"/>
      <c r="N111" s="24"/>
      <c r="O111" s="149"/>
      <c r="P111" s="149"/>
      <c r="Q111" s="149"/>
      <c r="R111" s="149"/>
      <c r="S111" s="149"/>
      <c r="T111" s="149"/>
      <c r="U111" s="149"/>
      <c r="V111" s="149"/>
      <c r="W111" s="149"/>
      <c r="X111" s="149"/>
      <c r="Y111" s="149"/>
      <c r="Z111" s="149"/>
      <c r="AA111" s="556" t="s">
        <v>925</v>
      </c>
    </row>
    <row r="112" spans="1:27" ht="12">
      <c r="A112" s="24" t="s">
        <v>932</v>
      </c>
      <c r="B112" s="24" t="s">
        <v>933</v>
      </c>
      <c r="C112" s="23" t="s">
        <v>934</v>
      </c>
      <c r="D112" s="149"/>
      <c r="E112" s="88" t="s">
        <v>148</v>
      </c>
      <c r="F112" s="24" t="s">
        <v>24</v>
      </c>
      <c r="G112" s="24" t="s">
        <v>24</v>
      </c>
      <c r="H112" s="24" t="s">
        <v>24</v>
      </c>
      <c r="I112" s="24" t="s">
        <v>924</v>
      </c>
      <c r="J112" s="24" t="s">
        <v>924</v>
      </c>
      <c r="K112" s="24" t="s">
        <v>924</v>
      </c>
      <c r="L112" s="24" t="s">
        <v>24</v>
      </c>
      <c r="M112" s="24"/>
      <c r="N112" s="24"/>
      <c r="O112" s="149"/>
      <c r="P112" s="149"/>
      <c r="Q112" s="149"/>
      <c r="R112" s="149"/>
      <c r="S112" s="149"/>
      <c r="T112" s="149"/>
      <c r="U112" s="149"/>
      <c r="V112" s="149"/>
      <c r="W112" s="149"/>
      <c r="X112" s="149"/>
      <c r="Y112" s="149"/>
      <c r="Z112" s="149"/>
      <c r="AA112" s="556" t="s">
        <v>925</v>
      </c>
    </row>
    <row r="113" spans="1:27" ht="12">
      <c r="A113" s="24" t="s">
        <v>935</v>
      </c>
      <c r="B113" s="24" t="s">
        <v>936</v>
      </c>
      <c r="C113" s="23" t="s">
        <v>937</v>
      </c>
      <c r="D113" s="149"/>
      <c r="E113" s="88" t="s">
        <v>148</v>
      </c>
      <c r="F113" s="24" t="s">
        <v>24</v>
      </c>
      <c r="G113" s="24" t="s">
        <v>24</v>
      </c>
      <c r="H113" s="24" t="s">
        <v>24</v>
      </c>
      <c r="I113" s="24" t="s">
        <v>924</v>
      </c>
      <c r="J113" s="24" t="s">
        <v>924</v>
      </c>
      <c r="K113" s="24" t="s">
        <v>924</v>
      </c>
      <c r="L113" s="24" t="s">
        <v>24</v>
      </c>
      <c r="M113" s="24"/>
      <c r="N113" s="24"/>
      <c r="O113" s="149"/>
      <c r="P113" s="149"/>
      <c r="Q113" s="149"/>
      <c r="R113" s="149"/>
      <c r="S113" s="149"/>
      <c r="T113" s="149"/>
      <c r="U113" s="149"/>
      <c r="V113" s="149"/>
      <c r="W113" s="149"/>
      <c r="X113" s="149"/>
      <c r="Y113" s="149"/>
      <c r="Z113" s="149"/>
      <c r="AA113" s="556" t="s">
        <v>925</v>
      </c>
    </row>
    <row r="114" spans="1:27" ht="12">
      <c r="A114" s="24" t="s">
        <v>938</v>
      </c>
      <c r="B114" s="24" t="s">
        <v>939</v>
      </c>
      <c r="C114" s="23" t="s">
        <v>940</v>
      </c>
      <c r="D114" s="149"/>
      <c r="E114" s="88" t="s">
        <v>148</v>
      </c>
      <c r="F114" s="24" t="s">
        <v>24</v>
      </c>
      <c r="G114" s="24" t="s">
        <v>924</v>
      </c>
      <c r="H114" s="24" t="s">
        <v>24</v>
      </c>
      <c r="I114" s="24" t="s">
        <v>924</v>
      </c>
      <c r="J114" s="24" t="s">
        <v>924</v>
      </c>
      <c r="K114" s="24" t="s">
        <v>924</v>
      </c>
      <c r="L114" s="24" t="s">
        <v>24</v>
      </c>
      <c r="M114" s="24"/>
      <c r="N114" s="24"/>
      <c r="O114" s="149"/>
      <c r="P114" s="149"/>
      <c r="Q114" s="149"/>
      <c r="R114" s="149"/>
      <c r="S114" s="149"/>
      <c r="T114" s="149"/>
      <c r="U114" s="149"/>
      <c r="V114" s="149"/>
      <c r="W114" s="149"/>
      <c r="X114" s="149"/>
      <c r="Y114" s="149"/>
      <c r="Z114" s="149"/>
      <c r="AA114" s="556" t="s">
        <v>925</v>
      </c>
    </row>
    <row r="115" spans="1:27" ht="12">
      <c r="A115" s="24" t="s">
        <v>941</v>
      </c>
      <c r="B115" s="24" t="s">
        <v>942</v>
      </c>
      <c r="C115" s="23" t="s">
        <v>943</v>
      </c>
      <c r="D115" s="149"/>
      <c r="E115" s="88" t="s">
        <v>148</v>
      </c>
      <c r="F115" s="24" t="s">
        <v>24</v>
      </c>
      <c r="G115" s="24" t="s">
        <v>24</v>
      </c>
      <c r="H115" s="24" t="s">
        <v>24</v>
      </c>
      <c r="I115" s="24" t="s">
        <v>924</v>
      </c>
      <c r="J115" s="24" t="s">
        <v>924</v>
      </c>
      <c r="K115" s="24" t="s">
        <v>924</v>
      </c>
      <c r="L115" s="24" t="s">
        <v>24</v>
      </c>
      <c r="M115" s="24"/>
      <c r="N115" s="24"/>
      <c r="O115" s="149"/>
      <c r="P115" s="149"/>
      <c r="Q115" s="149"/>
      <c r="R115" s="149"/>
      <c r="S115" s="149"/>
      <c r="T115" s="149"/>
      <c r="U115" s="149"/>
      <c r="V115" s="149"/>
      <c r="W115" s="149"/>
      <c r="X115" s="149"/>
      <c r="Y115" s="149"/>
      <c r="Z115" s="149"/>
      <c r="AA115" s="556" t="s">
        <v>925</v>
      </c>
    </row>
    <row r="116" spans="1:27" ht="12">
      <c r="A116" s="24" t="s">
        <v>944</v>
      </c>
      <c r="B116" s="24" t="s">
        <v>945</v>
      </c>
      <c r="C116" s="23" t="s">
        <v>622</v>
      </c>
      <c r="D116" s="149"/>
      <c r="E116" s="88" t="s">
        <v>148</v>
      </c>
      <c r="F116" s="24" t="s">
        <v>24</v>
      </c>
      <c r="G116" s="24" t="s">
        <v>24</v>
      </c>
      <c r="H116" s="24" t="s">
        <v>24</v>
      </c>
      <c r="I116" s="24" t="s">
        <v>24</v>
      </c>
      <c r="J116" s="24" t="s">
        <v>24</v>
      </c>
      <c r="K116" s="24" t="s">
        <v>24</v>
      </c>
      <c r="L116" s="24" t="s">
        <v>24</v>
      </c>
      <c r="M116" s="24"/>
      <c r="N116" s="24"/>
      <c r="O116" s="149"/>
      <c r="P116" s="149"/>
      <c r="Q116" s="149"/>
      <c r="R116" s="149"/>
      <c r="S116" s="149"/>
      <c r="T116" s="149"/>
      <c r="U116" s="149"/>
      <c r="V116" s="149"/>
      <c r="W116" s="149"/>
      <c r="X116" s="149"/>
      <c r="Y116" s="149"/>
      <c r="Z116" s="149"/>
      <c r="AA116" s="556" t="s">
        <v>925</v>
      </c>
    </row>
    <row r="117" spans="1:27" ht="12">
      <c r="A117" s="24" t="s">
        <v>946</v>
      </c>
      <c r="B117" s="24" t="s">
        <v>947</v>
      </c>
      <c r="C117" s="23" t="s">
        <v>625</v>
      </c>
      <c r="D117" s="149"/>
      <c r="E117" s="88" t="s">
        <v>148</v>
      </c>
      <c r="F117" s="24" t="s">
        <v>24</v>
      </c>
      <c r="G117" s="24" t="s">
        <v>24</v>
      </c>
      <c r="H117" s="24" t="s">
        <v>24</v>
      </c>
      <c r="I117" s="24" t="s">
        <v>24</v>
      </c>
      <c r="J117" s="24" t="s">
        <v>24</v>
      </c>
      <c r="K117" s="24" t="s">
        <v>24</v>
      </c>
      <c r="L117" s="24" t="s">
        <v>24</v>
      </c>
      <c r="M117" s="24"/>
      <c r="N117" s="24"/>
      <c r="O117" s="149"/>
      <c r="P117" s="149"/>
      <c r="Q117" s="149"/>
      <c r="R117" s="149"/>
      <c r="S117" s="149"/>
      <c r="T117" s="149"/>
      <c r="U117" s="149"/>
      <c r="V117" s="149"/>
      <c r="W117" s="149"/>
      <c r="X117" s="149"/>
      <c r="Y117" s="149"/>
      <c r="Z117" s="149"/>
      <c r="AA117" s="556" t="s">
        <v>925</v>
      </c>
    </row>
    <row r="118" spans="1:27" ht="12">
      <c r="A118" s="88" t="s">
        <v>948</v>
      </c>
      <c r="B118" s="88" t="s">
        <v>949</v>
      </c>
      <c r="C118" s="149" t="s">
        <v>950</v>
      </c>
      <c r="D118" s="149"/>
      <c r="E118" s="88" t="s">
        <v>148</v>
      </c>
      <c r="F118" s="24" t="s">
        <v>24</v>
      </c>
      <c r="G118" s="24" t="s">
        <v>24</v>
      </c>
      <c r="H118" s="24" t="s">
        <v>24</v>
      </c>
      <c r="I118" s="24" t="s">
        <v>24</v>
      </c>
      <c r="J118" s="24" t="s">
        <v>24</v>
      </c>
      <c r="K118" s="24" t="s">
        <v>24</v>
      </c>
      <c r="L118" s="24" t="s">
        <v>24</v>
      </c>
      <c r="M118" s="24"/>
      <c r="N118" s="149"/>
      <c r="O118" s="149"/>
      <c r="P118" s="149"/>
      <c r="Q118" s="149"/>
      <c r="R118" s="149"/>
      <c r="S118" s="149"/>
      <c r="T118" s="149"/>
      <c r="U118" s="149"/>
      <c r="V118" s="149"/>
      <c r="W118" s="149"/>
      <c r="X118" s="149"/>
      <c r="Y118" s="149"/>
      <c r="Z118" s="149"/>
      <c r="AA118" s="556" t="s">
        <v>925</v>
      </c>
    </row>
    <row r="119" spans="1:27" ht="12">
      <c r="A119" s="88" t="s">
        <v>951</v>
      </c>
      <c r="B119" s="88" t="s">
        <v>952</v>
      </c>
      <c r="C119" s="149" t="s">
        <v>953</v>
      </c>
      <c r="D119" s="149"/>
      <c r="E119" s="88" t="s">
        <v>148</v>
      </c>
      <c r="F119" s="24" t="s">
        <v>24</v>
      </c>
      <c r="G119" s="24" t="s">
        <v>24</v>
      </c>
      <c r="H119" s="24" t="s">
        <v>24</v>
      </c>
      <c r="I119" s="24" t="s">
        <v>24</v>
      </c>
      <c r="J119" s="24" t="s">
        <v>24</v>
      </c>
      <c r="K119" s="24" t="s">
        <v>24</v>
      </c>
      <c r="L119" s="24" t="s">
        <v>24</v>
      </c>
      <c r="M119" s="24"/>
      <c r="N119" s="149"/>
      <c r="O119" s="149"/>
      <c r="P119" s="149"/>
      <c r="Q119" s="149"/>
      <c r="R119" s="149"/>
      <c r="S119" s="149"/>
      <c r="T119" s="149"/>
      <c r="U119" s="149"/>
      <c r="V119" s="149"/>
      <c r="W119" s="149"/>
      <c r="X119" s="149"/>
      <c r="Y119" s="149"/>
      <c r="Z119" s="149"/>
      <c r="AA119" s="556" t="s">
        <v>925</v>
      </c>
    </row>
    <row r="120" spans="1:27" ht="12">
      <c r="A120" s="88" t="s">
        <v>954</v>
      </c>
      <c r="B120" s="88" t="s">
        <v>955</v>
      </c>
      <c r="C120" s="149" t="s">
        <v>956</v>
      </c>
      <c r="D120" s="149"/>
      <c r="E120" s="88" t="s">
        <v>148</v>
      </c>
      <c r="F120" s="24" t="s">
        <v>24</v>
      </c>
      <c r="G120" s="24" t="s">
        <v>24</v>
      </c>
      <c r="H120" s="24" t="s">
        <v>24</v>
      </c>
      <c r="I120" s="24" t="s">
        <v>24</v>
      </c>
      <c r="J120" s="24" t="s">
        <v>24</v>
      </c>
      <c r="K120" s="24" t="s">
        <v>24</v>
      </c>
      <c r="L120" s="24" t="s">
        <v>24</v>
      </c>
      <c r="M120" s="24"/>
      <c r="N120" s="149"/>
      <c r="O120" s="149"/>
      <c r="P120" s="149"/>
      <c r="Q120" s="149"/>
      <c r="R120" s="149"/>
      <c r="S120" s="149"/>
      <c r="T120" s="149"/>
      <c r="U120" s="149"/>
      <c r="V120" s="149"/>
      <c r="W120" s="149"/>
      <c r="X120" s="149"/>
      <c r="Y120" s="149"/>
      <c r="Z120" s="149"/>
      <c r="AA120" s="556" t="s">
        <v>925</v>
      </c>
    </row>
    <row r="121" spans="1:27" ht="12">
      <c r="A121" s="88" t="s">
        <v>957</v>
      </c>
      <c r="B121" s="88" t="s">
        <v>958</v>
      </c>
      <c r="C121" s="149" t="s">
        <v>959</v>
      </c>
      <c r="D121" s="149"/>
      <c r="E121" s="88" t="s">
        <v>148</v>
      </c>
      <c r="F121" s="24" t="s">
        <v>24</v>
      </c>
      <c r="G121" s="24" t="s">
        <v>24</v>
      </c>
      <c r="H121" s="24" t="s">
        <v>24</v>
      </c>
      <c r="I121" s="24" t="s">
        <v>24</v>
      </c>
      <c r="J121" s="24" t="s">
        <v>24</v>
      </c>
      <c r="K121" s="24" t="s">
        <v>24</v>
      </c>
      <c r="L121" s="24" t="s">
        <v>24</v>
      </c>
      <c r="M121" s="24"/>
      <c r="N121" s="149"/>
      <c r="O121" s="149"/>
      <c r="P121" s="149"/>
      <c r="Q121" s="149"/>
      <c r="R121" s="149"/>
      <c r="S121" s="149"/>
      <c r="T121" s="149"/>
      <c r="U121" s="149"/>
      <c r="V121" s="149"/>
      <c r="W121" s="149"/>
      <c r="X121" s="149"/>
      <c r="Y121" s="149"/>
      <c r="Z121" s="149"/>
      <c r="AA121" s="556" t="s">
        <v>925</v>
      </c>
    </row>
    <row r="122" spans="1:27" ht="12">
      <c r="A122" s="88" t="s">
        <v>960</v>
      </c>
      <c r="B122" s="88" t="s">
        <v>961</v>
      </c>
      <c r="C122" s="149" t="s">
        <v>962</v>
      </c>
      <c r="D122" s="149"/>
      <c r="E122" s="88" t="s">
        <v>148</v>
      </c>
      <c r="F122" s="24" t="s">
        <v>24</v>
      </c>
      <c r="G122" s="24" t="s">
        <v>24</v>
      </c>
      <c r="H122" s="24" t="s">
        <v>24</v>
      </c>
      <c r="I122" s="24" t="s">
        <v>24</v>
      </c>
      <c r="J122" s="24" t="s">
        <v>24</v>
      </c>
      <c r="K122" s="24" t="s">
        <v>24</v>
      </c>
      <c r="L122" s="24" t="s">
        <v>24</v>
      </c>
      <c r="M122" s="24"/>
      <c r="N122" s="149"/>
      <c r="O122" s="149"/>
      <c r="P122" s="149"/>
      <c r="Q122" s="149"/>
      <c r="R122" s="149"/>
      <c r="S122" s="149"/>
      <c r="T122" s="149"/>
      <c r="U122" s="149"/>
      <c r="V122" s="149"/>
      <c r="W122" s="149"/>
      <c r="X122" s="149"/>
      <c r="Y122" s="149"/>
      <c r="Z122" s="149"/>
      <c r="AA122" s="556" t="s">
        <v>925</v>
      </c>
    </row>
    <row r="123" spans="1:27" ht="12">
      <c r="A123" s="88" t="s">
        <v>963</v>
      </c>
      <c r="B123" s="88" t="s">
        <v>964</v>
      </c>
      <c r="C123" s="149" t="s">
        <v>965</v>
      </c>
      <c r="D123" s="149"/>
      <c r="E123" s="88" t="s">
        <v>148</v>
      </c>
      <c r="F123" s="24" t="s">
        <v>24</v>
      </c>
      <c r="G123" s="24" t="s">
        <v>24</v>
      </c>
      <c r="H123" s="24" t="s">
        <v>24</v>
      </c>
      <c r="I123" s="24" t="s">
        <v>24</v>
      </c>
      <c r="J123" s="24" t="s">
        <v>24</v>
      </c>
      <c r="K123" s="24" t="s">
        <v>24</v>
      </c>
      <c r="L123" s="24" t="s">
        <v>24</v>
      </c>
      <c r="M123" s="24"/>
      <c r="N123" s="149"/>
      <c r="O123" s="149"/>
      <c r="P123" s="149"/>
      <c r="Q123" s="149"/>
      <c r="R123" s="149"/>
      <c r="S123" s="149"/>
      <c r="T123" s="149"/>
      <c r="U123" s="149"/>
      <c r="V123" s="149"/>
      <c r="W123" s="149"/>
      <c r="X123" s="149"/>
      <c r="Y123" s="149"/>
      <c r="Z123" s="149"/>
      <c r="AA123" s="556" t="s">
        <v>925</v>
      </c>
    </row>
    <row r="124" spans="1:27" ht="12">
      <c r="A124" s="88" t="s">
        <v>966</v>
      </c>
      <c r="B124" s="88" t="s">
        <v>967</v>
      </c>
      <c r="C124" s="149" t="s">
        <v>968</v>
      </c>
      <c r="D124" s="149"/>
      <c r="E124" s="88" t="s">
        <v>148</v>
      </c>
      <c r="F124" s="24" t="s">
        <v>24</v>
      </c>
      <c r="G124" s="24" t="s">
        <v>24</v>
      </c>
      <c r="H124" s="24" t="s">
        <v>24</v>
      </c>
      <c r="I124" s="24" t="s">
        <v>24</v>
      </c>
      <c r="J124" s="24" t="s">
        <v>24</v>
      </c>
      <c r="K124" s="24" t="s">
        <v>24</v>
      </c>
      <c r="L124" s="24" t="s">
        <v>24</v>
      </c>
      <c r="M124" s="24"/>
      <c r="N124" s="149"/>
      <c r="O124" s="149"/>
      <c r="P124" s="149"/>
      <c r="Q124" s="149"/>
      <c r="R124" s="149"/>
      <c r="S124" s="149"/>
      <c r="T124" s="149"/>
      <c r="U124" s="149"/>
      <c r="V124" s="149"/>
      <c r="W124" s="149"/>
      <c r="X124" s="149"/>
      <c r="Y124" s="149"/>
      <c r="Z124" s="149"/>
      <c r="AA124" s="556" t="s">
        <v>925</v>
      </c>
    </row>
    <row r="125" spans="1:27" ht="12">
      <c r="A125" s="88" t="s">
        <v>969</v>
      </c>
      <c r="B125" s="88" t="s">
        <v>970</v>
      </c>
      <c r="C125" s="149" t="s">
        <v>971</v>
      </c>
      <c r="D125" s="149"/>
      <c r="E125" s="88" t="s">
        <v>148</v>
      </c>
      <c r="F125" s="24" t="s">
        <v>24</v>
      </c>
      <c r="G125" s="24" t="s">
        <v>24</v>
      </c>
      <c r="H125" s="24" t="s">
        <v>24</v>
      </c>
      <c r="I125" s="24" t="s">
        <v>24</v>
      </c>
      <c r="J125" s="24" t="s">
        <v>24</v>
      </c>
      <c r="K125" s="24" t="s">
        <v>24</v>
      </c>
      <c r="L125" s="24" t="s">
        <v>24</v>
      </c>
      <c r="M125" s="24"/>
      <c r="N125" s="149"/>
      <c r="O125" s="149"/>
      <c r="P125" s="149"/>
      <c r="Q125" s="149"/>
      <c r="R125" s="149"/>
      <c r="S125" s="149"/>
      <c r="T125" s="149"/>
      <c r="U125" s="149"/>
      <c r="V125" s="149"/>
      <c r="W125" s="149"/>
      <c r="X125" s="149"/>
      <c r="Y125" s="149"/>
      <c r="Z125" s="149"/>
      <c r="AA125" s="556" t="s">
        <v>925</v>
      </c>
    </row>
    <row r="126" spans="1:27" ht="12">
      <c r="A126" s="88" t="s">
        <v>972</v>
      </c>
      <c r="B126" s="88" t="s">
        <v>973</v>
      </c>
      <c r="C126" s="149" t="s">
        <v>974</v>
      </c>
      <c r="D126" s="149"/>
      <c r="E126" s="88" t="s">
        <v>148</v>
      </c>
      <c r="F126" s="24" t="s">
        <v>24</v>
      </c>
      <c r="G126" s="24" t="s">
        <v>24</v>
      </c>
      <c r="H126" s="24" t="s">
        <v>24</v>
      </c>
      <c r="I126" s="24" t="s">
        <v>24</v>
      </c>
      <c r="J126" s="24" t="s">
        <v>24</v>
      </c>
      <c r="K126" s="24" t="s">
        <v>24</v>
      </c>
      <c r="L126" s="24" t="s">
        <v>24</v>
      </c>
      <c r="M126" s="24"/>
      <c r="N126" s="149"/>
      <c r="O126" s="149"/>
      <c r="P126" s="149"/>
      <c r="Q126" s="149"/>
      <c r="R126" s="149"/>
      <c r="S126" s="149"/>
      <c r="T126" s="149"/>
      <c r="U126" s="149"/>
      <c r="V126" s="149"/>
      <c r="W126" s="149"/>
      <c r="X126" s="149"/>
      <c r="Y126" s="149"/>
      <c r="Z126" s="149"/>
      <c r="AA126" s="556" t="s">
        <v>925</v>
      </c>
    </row>
    <row r="127" spans="1:27" ht="12">
      <c r="A127" s="88" t="s">
        <v>975</v>
      </c>
      <c r="B127" s="88" t="s">
        <v>976</v>
      </c>
      <c r="C127" s="149" t="s">
        <v>977</v>
      </c>
      <c r="D127" s="149"/>
      <c r="E127" s="88" t="s">
        <v>148</v>
      </c>
      <c r="F127" s="24" t="s">
        <v>24</v>
      </c>
      <c r="G127" s="24" t="s">
        <v>24</v>
      </c>
      <c r="H127" s="24" t="s">
        <v>24</v>
      </c>
      <c r="I127" s="24" t="s">
        <v>24</v>
      </c>
      <c r="J127" s="24" t="s">
        <v>24</v>
      </c>
      <c r="K127" s="24" t="s">
        <v>24</v>
      </c>
      <c r="L127" s="24" t="s">
        <v>24</v>
      </c>
      <c r="M127" s="24"/>
      <c r="N127" s="149"/>
      <c r="O127" s="149"/>
      <c r="P127" s="149"/>
      <c r="Q127" s="149"/>
      <c r="R127" s="149"/>
      <c r="S127" s="149"/>
      <c r="T127" s="149"/>
      <c r="U127" s="149"/>
      <c r="V127" s="149"/>
      <c r="W127" s="149"/>
      <c r="X127" s="149"/>
      <c r="Y127" s="149"/>
      <c r="Z127" s="149"/>
      <c r="AA127" s="556" t="s">
        <v>925</v>
      </c>
    </row>
    <row r="128" spans="1:27" ht="12">
      <c r="A128" s="88" t="s">
        <v>978</v>
      </c>
      <c r="B128" s="88" t="s">
        <v>979</v>
      </c>
      <c r="C128" s="149" t="s">
        <v>980</v>
      </c>
      <c r="D128" s="149"/>
      <c r="E128" s="88" t="s">
        <v>148</v>
      </c>
      <c r="F128" s="24" t="s">
        <v>24</v>
      </c>
      <c r="G128" s="24" t="s">
        <v>24</v>
      </c>
      <c r="H128" s="24" t="s">
        <v>24</v>
      </c>
      <c r="I128" s="24" t="s">
        <v>24</v>
      </c>
      <c r="J128" s="24" t="s">
        <v>24</v>
      </c>
      <c r="K128" s="24" t="s">
        <v>24</v>
      </c>
      <c r="L128" s="24" t="s">
        <v>24</v>
      </c>
      <c r="M128" s="24"/>
      <c r="N128" s="149"/>
      <c r="O128" s="149"/>
      <c r="P128" s="149"/>
      <c r="Q128" s="149"/>
      <c r="R128" s="149"/>
      <c r="S128" s="149"/>
      <c r="T128" s="149"/>
      <c r="U128" s="149"/>
      <c r="V128" s="149"/>
      <c r="W128" s="149"/>
      <c r="X128" s="149"/>
      <c r="Y128" s="149"/>
      <c r="Z128" s="149"/>
      <c r="AA128" s="556" t="s">
        <v>925</v>
      </c>
    </row>
    <row r="129" spans="1:27" ht="12">
      <c r="A129" s="88" t="s">
        <v>981</v>
      </c>
      <c r="B129" s="88" t="s">
        <v>982</v>
      </c>
      <c r="C129" s="149" t="s">
        <v>983</v>
      </c>
      <c r="D129" s="149"/>
      <c r="E129" s="88" t="s">
        <v>148</v>
      </c>
      <c r="F129" s="24" t="s">
        <v>24</v>
      </c>
      <c r="G129" s="24" t="s">
        <v>24</v>
      </c>
      <c r="H129" s="24" t="s">
        <v>24</v>
      </c>
      <c r="I129" s="24" t="s">
        <v>24</v>
      </c>
      <c r="J129" s="24" t="s">
        <v>24</v>
      </c>
      <c r="K129" s="24" t="s">
        <v>24</v>
      </c>
      <c r="L129" s="24" t="s">
        <v>24</v>
      </c>
      <c r="M129" s="24"/>
      <c r="N129" s="149"/>
      <c r="O129" s="149"/>
      <c r="P129" s="149"/>
      <c r="Q129" s="149"/>
      <c r="R129" s="149"/>
      <c r="S129" s="149"/>
      <c r="T129" s="149"/>
      <c r="U129" s="149"/>
      <c r="V129" s="149"/>
      <c r="W129" s="149"/>
      <c r="X129" s="149"/>
      <c r="Y129" s="149"/>
      <c r="Z129" s="149"/>
      <c r="AA129" s="556" t="s">
        <v>925</v>
      </c>
    </row>
    <row r="130" spans="1:27" ht="12">
      <c r="A130" s="88" t="s">
        <v>984</v>
      </c>
      <c r="B130" s="88" t="s">
        <v>985</v>
      </c>
      <c r="C130" s="410" t="s">
        <v>986</v>
      </c>
      <c r="D130" s="149"/>
      <c r="E130" s="88" t="s">
        <v>148</v>
      </c>
      <c r="F130" s="24" t="s">
        <v>24</v>
      </c>
      <c r="G130" s="24" t="s">
        <v>24</v>
      </c>
      <c r="H130" s="24" t="s">
        <v>24</v>
      </c>
      <c r="I130" s="24" t="s">
        <v>24</v>
      </c>
      <c r="J130" s="24" t="s">
        <v>24</v>
      </c>
      <c r="K130" s="24" t="s">
        <v>24</v>
      </c>
      <c r="L130" s="24" t="s">
        <v>24</v>
      </c>
      <c r="M130" s="24"/>
      <c r="N130" s="149"/>
      <c r="O130" s="149"/>
      <c r="P130" s="149"/>
      <c r="Q130" s="149"/>
      <c r="R130" s="149"/>
      <c r="S130" s="149"/>
      <c r="T130" s="149"/>
      <c r="U130" s="149"/>
      <c r="V130" s="149"/>
      <c r="W130" s="149"/>
      <c r="X130" s="149"/>
      <c r="Y130" s="149"/>
      <c r="Z130" s="149"/>
      <c r="AA130" s="556" t="s">
        <v>925</v>
      </c>
    </row>
    <row r="131" spans="1:27" ht="12">
      <c r="A131" s="88" t="s">
        <v>987</v>
      </c>
      <c r="B131" s="88" t="s">
        <v>988</v>
      </c>
      <c r="C131" s="23" t="s">
        <v>923</v>
      </c>
      <c r="D131" s="149"/>
      <c r="E131" s="88" t="s">
        <v>989</v>
      </c>
      <c r="F131" s="24" t="s">
        <v>989</v>
      </c>
      <c r="G131" s="24" t="s">
        <v>924</v>
      </c>
      <c r="H131" s="24" t="s">
        <v>924</v>
      </c>
      <c r="I131" s="24" t="s">
        <v>989</v>
      </c>
      <c r="J131" s="24" t="s">
        <v>989</v>
      </c>
      <c r="K131" s="24" t="s">
        <v>989</v>
      </c>
      <c r="L131" s="24" t="s">
        <v>924</v>
      </c>
      <c r="M131" s="24"/>
      <c r="N131" s="149"/>
      <c r="O131" s="149"/>
      <c r="P131" s="149"/>
      <c r="Q131" s="149"/>
      <c r="R131" s="149"/>
      <c r="S131" s="149"/>
      <c r="T131" s="149"/>
      <c r="U131" s="149"/>
      <c r="V131" s="149"/>
      <c r="W131" s="149"/>
      <c r="X131" s="149"/>
      <c r="Y131" s="149"/>
      <c r="Z131" s="149"/>
      <c r="AA131" s="556" t="s">
        <v>925</v>
      </c>
    </row>
    <row r="132" spans="1:27" ht="12">
      <c r="A132" s="88" t="s">
        <v>990</v>
      </c>
      <c r="B132" s="88" t="s">
        <v>991</v>
      </c>
      <c r="C132" s="23" t="s">
        <v>928</v>
      </c>
      <c r="D132" s="149"/>
      <c r="E132" s="88" t="s">
        <v>989</v>
      </c>
      <c r="F132" s="24" t="s">
        <v>989</v>
      </c>
      <c r="G132" s="24" t="s">
        <v>924</v>
      </c>
      <c r="H132" s="24" t="s">
        <v>924</v>
      </c>
      <c r="I132" s="24" t="s">
        <v>989</v>
      </c>
      <c r="J132" s="24" t="s">
        <v>989</v>
      </c>
      <c r="K132" s="24" t="s">
        <v>989</v>
      </c>
      <c r="L132" s="24" t="s">
        <v>924</v>
      </c>
      <c r="M132" s="24"/>
      <c r="N132" s="149"/>
      <c r="O132" s="149"/>
      <c r="P132" s="149"/>
      <c r="Q132" s="149"/>
      <c r="R132" s="149"/>
      <c r="S132" s="149"/>
      <c r="T132" s="149"/>
      <c r="U132" s="149"/>
      <c r="V132" s="149"/>
      <c r="W132" s="149"/>
      <c r="X132" s="149"/>
      <c r="Y132" s="149"/>
      <c r="Z132" s="149"/>
      <c r="AA132" s="556" t="s">
        <v>925</v>
      </c>
    </row>
    <row r="133" spans="1:27" ht="12">
      <c r="A133" s="88" t="s">
        <v>992</v>
      </c>
      <c r="B133" s="88" t="s">
        <v>993</v>
      </c>
      <c r="C133" s="23" t="s">
        <v>931</v>
      </c>
      <c r="D133" s="149"/>
      <c r="E133" s="88" t="s">
        <v>989</v>
      </c>
      <c r="F133" s="24" t="s">
        <v>989</v>
      </c>
      <c r="G133" s="24" t="s">
        <v>924</v>
      </c>
      <c r="H133" s="24" t="s">
        <v>924</v>
      </c>
      <c r="I133" s="24" t="s">
        <v>989</v>
      </c>
      <c r="J133" s="24" t="s">
        <v>989</v>
      </c>
      <c r="K133" s="24" t="s">
        <v>989</v>
      </c>
      <c r="L133" s="24" t="s">
        <v>924</v>
      </c>
      <c r="M133" s="24"/>
      <c r="N133" s="149"/>
      <c r="O133" s="149"/>
      <c r="P133" s="149"/>
      <c r="Q133" s="149"/>
      <c r="R133" s="149"/>
      <c r="S133" s="149"/>
      <c r="T133" s="149"/>
      <c r="U133" s="149"/>
      <c r="V133" s="149"/>
      <c r="W133" s="149"/>
      <c r="X133" s="149"/>
      <c r="Y133" s="149"/>
      <c r="Z133" s="149"/>
      <c r="AA133" s="556" t="s">
        <v>925</v>
      </c>
    </row>
    <row r="134" spans="1:27" ht="12">
      <c r="A134" s="88" t="s">
        <v>994</v>
      </c>
      <c r="B134" s="88" t="s">
        <v>995</v>
      </c>
      <c r="C134" s="23" t="s">
        <v>934</v>
      </c>
      <c r="D134" s="149"/>
      <c r="E134" s="88" t="s">
        <v>989</v>
      </c>
      <c r="F134" s="24" t="s">
        <v>989</v>
      </c>
      <c r="G134" s="24" t="s">
        <v>924</v>
      </c>
      <c r="H134" s="24" t="s">
        <v>924</v>
      </c>
      <c r="I134" s="24" t="s">
        <v>989</v>
      </c>
      <c r="J134" s="24" t="s">
        <v>989</v>
      </c>
      <c r="K134" s="24" t="s">
        <v>989</v>
      </c>
      <c r="L134" s="24" t="s">
        <v>924</v>
      </c>
      <c r="M134" s="24"/>
      <c r="N134" s="149"/>
      <c r="O134" s="149"/>
      <c r="P134" s="149"/>
      <c r="Q134" s="149"/>
      <c r="R134" s="149"/>
      <c r="S134" s="149"/>
      <c r="T134" s="149"/>
      <c r="U134" s="149"/>
      <c r="V134" s="149"/>
      <c r="W134" s="149"/>
      <c r="X134" s="149"/>
      <c r="Y134" s="149"/>
      <c r="Z134" s="149"/>
      <c r="AA134" s="556" t="s">
        <v>925</v>
      </c>
    </row>
    <row r="135" spans="1:27" ht="12">
      <c r="A135" s="88" t="s">
        <v>996</v>
      </c>
      <c r="B135" s="88" t="s">
        <v>997</v>
      </c>
      <c r="C135" s="23" t="s">
        <v>937</v>
      </c>
      <c r="D135" s="149"/>
      <c r="E135" s="88" t="s">
        <v>989</v>
      </c>
      <c r="F135" s="24" t="s">
        <v>989</v>
      </c>
      <c r="G135" s="24" t="s">
        <v>924</v>
      </c>
      <c r="H135" s="24" t="s">
        <v>924</v>
      </c>
      <c r="I135" s="24" t="s">
        <v>989</v>
      </c>
      <c r="J135" s="24" t="s">
        <v>989</v>
      </c>
      <c r="K135" s="24" t="s">
        <v>989</v>
      </c>
      <c r="L135" s="24" t="s">
        <v>924</v>
      </c>
      <c r="M135" s="24"/>
      <c r="N135" s="149"/>
      <c r="O135" s="149"/>
      <c r="P135" s="149"/>
      <c r="Q135" s="149"/>
      <c r="R135" s="149"/>
      <c r="S135" s="149"/>
      <c r="T135" s="149"/>
      <c r="U135" s="149"/>
      <c r="V135" s="149"/>
      <c r="W135" s="149"/>
      <c r="X135" s="149"/>
      <c r="Y135" s="149"/>
      <c r="Z135" s="149"/>
      <c r="AA135" s="556" t="s">
        <v>925</v>
      </c>
    </row>
    <row r="136" spans="1:27" ht="12">
      <c r="A136" s="88" t="s">
        <v>998</v>
      </c>
      <c r="B136" s="88" t="s">
        <v>999</v>
      </c>
      <c r="C136" s="23" t="s">
        <v>940</v>
      </c>
      <c r="D136" s="149"/>
      <c r="E136" s="88" t="s">
        <v>989</v>
      </c>
      <c r="F136" s="24" t="s">
        <v>989</v>
      </c>
      <c r="G136" s="24" t="s">
        <v>924</v>
      </c>
      <c r="H136" s="24" t="s">
        <v>924</v>
      </c>
      <c r="I136" s="24" t="s">
        <v>989</v>
      </c>
      <c r="J136" s="24" t="s">
        <v>989</v>
      </c>
      <c r="K136" s="24" t="s">
        <v>989</v>
      </c>
      <c r="L136" s="24" t="s">
        <v>924</v>
      </c>
      <c r="M136" s="24"/>
      <c r="N136" s="149"/>
      <c r="O136" s="149"/>
      <c r="P136" s="149"/>
      <c r="Q136" s="149"/>
      <c r="R136" s="149"/>
      <c r="S136" s="149"/>
      <c r="T136" s="149"/>
      <c r="U136" s="149"/>
      <c r="V136" s="149"/>
      <c r="W136" s="149"/>
      <c r="X136" s="149"/>
      <c r="Y136" s="149"/>
      <c r="Z136" s="149"/>
      <c r="AA136" s="556" t="s">
        <v>925</v>
      </c>
    </row>
    <row r="137" spans="1:27" ht="12">
      <c r="A137" s="88" t="s">
        <v>1000</v>
      </c>
      <c r="B137" s="88" t="s">
        <v>1001</v>
      </c>
      <c r="C137" s="23" t="s">
        <v>943</v>
      </c>
      <c r="D137" s="149"/>
      <c r="E137" s="88" t="s">
        <v>989</v>
      </c>
      <c r="F137" s="24" t="s">
        <v>989</v>
      </c>
      <c r="G137" s="24" t="s">
        <v>924</v>
      </c>
      <c r="H137" s="24" t="s">
        <v>924</v>
      </c>
      <c r="I137" s="24" t="s">
        <v>989</v>
      </c>
      <c r="J137" s="24" t="s">
        <v>989</v>
      </c>
      <c r="K137" s="24" t="s">
        <v>989</v>
      </c>
      <c r="L137" s="24" t="s">
        <v>924</v>
      </c>
      <c r="M137" s="24"/>
      <c r="N137" s="149"/>
      <c r="O137" s="149"/>
      <c r="P137" s="149"/>
      <c r="Q137" s="149"/>
      <c r="R137" s="149"/>
      <c r="S137" s="149"/>
      <c r="T137" s="149"/>
      <c r="U137" s="149"/>
      <c r="V137" s="149"/>
      <c r="W137" s="149"/>
      <c r="X137" s="149"/>
      <c r="Y137" s="149"/>
      <c r="Z137" s="149"/>
      <c r="AA137" s="556" t="s">
        <v>925</v>
      </c>
    </row>
    <row r="138" spans="1:27" ht="12">
      <c r="A138" s="88" t="s">
        <v>1002</v>
      </c>
      <c r="B138" s="88" t="s">
        <v>1003</v>
      </c>
      <c r="C138" s="23" t="s">
        <v>1004</v>
      </c>
      <c r="D138" s="149"/>
      <c r="E138" s="88" t="s">
        <v>989</v>
      </c>
      <c r="F138" s="24" t="s">
        <v>989</v>
      </c>
      <c r="G138" s="24" t="s">
        <v>924</v>
      </c>
      <c r="H138" s="24" t="s">
        <v>924</v>
      </c>
      <c r="I138" s="24" t="s">
        <v>989</v>
      </c>
      <c r="J138" s="24" t="s">
        <v>989</v>
      </c>
      <c r="K138" s="24" t="s">
        <v>989</v>
      </c>
      <c r="L138" s="24" t="s">
        <v>924</v>
      </c>
      <c r="M138" s="24"/>
      <c r="N138" s="149"/>
      <c r="O138" s="149"/>
      <c r="P138" s="149"/>
      <c r="Q138" s="149"/>
      <c r="R138" s="149"/>
      <c r="S138" s="149"/>
      <c r="T138" s="149"/>
      <c r="U138" s="149"/>
      <c r="V138" s="149"/>
      <c r="W138" s="149"/>
      <c r="X138" s="149"/>
      <c r="Y138" s="149"/>
      <c r="Z138" s="149"/>
      <c r="AA138" s="556" t="s">
        <v>925</v>
      </c>
    </row>
    <row r="139" spans="1:27" ht="12">
      <c r="A139" s="88" t="s">
        <v>1005</v>
      </c>
      <c r="B139" s="88" t="s">
        <v>1006</v>
      </c>
      <c r="C139" s="413" t="s">
        <v>1007</v>
      </c>
      <c r="D139" s="149"/>
      <c r="E139" s="88" t="s">
        <v>924</v>
      </c>
      <c r="F139" s="24" t="s">
        <v>989</v>
      </c>
      <c r="G139" s="24" t="s">
        <v>924</v>
      </c>
      <c r="H139" s="24" t="s">
        <v>989</v>
      </c>
      <c r="I139" s="24" t="s">
        <v>989</v>
      </c>
      <c r="J139" s="24" t="s">
        <v>989</v>
      </c>
      <c r="K139" s="24" t="s">
        <v>989</v>
      </c>
      <c r="L139" s="24" t="s">
        <v>989</v>
      </c>
      <c r="M139" s="24"/>
      <c r="N139" s="149"/>
      <c r="O139" s="149"/>
      <c r="P139" s="149"/>
      <c r="Q139" s="149"/>
      <c r="R139" s="149"/>
      <c r="S139" s="149"/>
      <c r="T139" s="149"/>
      <c r="U139" s="149"/>
      <c r="V139" s="149"/>
      <c r="W139" s="149"/>
      <c r="X139" s="149"/>
      <c r="Y139" s="149"/>
      <c r="Z139" s="149"/>
      <c r="AA139" s="556" t="s">
        <v>925</v>
      </c>
    </row>
    <row r="140" spans="1:27" ht="12">
      <c r="A140" s="88" t="s">
        <v>1008</v>
      </c>
      <c r="B140" s="88" t="s">
        <v>1009</v>
      </c>
      <c r="C140" s="413" t="s">
        <v>1010</v>
      </c>
      <c r="D140" s="149"/>
      <c r="E140" s="88" t="s">
        <v>924</v>
      </c>
      <c r="F140" s="24" t="s">
        <v>989</v>
      </c>
      <c r="G140" s="24" t="s">
        <v>924</v>
      </c>
      <c r="H140" s="24" t="s">
        <v>989</v>
      </c>
      <c r="I140" s="24" t="s">
        <v>989</v>
      </c>
      <c r="J140" s="24" t="s">
        <v>989</v>
      </c>
      <c r="K140" s="24" t="s">
        <v>989</v>
      </c>
      <c r="L140" s="24" t="s">
        <v>989</v>
      </c>
      <c r="M140" s="24"/>
      <c r="N140" s="149"/>
      <c r="O140" s="149"/>
      <c r="P140" s="149"/>
      <c r="Q140" s="149"/>
      <c r="R140" s="149"/>
      <c r="S140" s="149"/>
      <c r="T140" s="149"/>
      <c r="U140" s="149"/>
      <c r="V140" s="149"/>
      <c r="W140" s="149"/>
      <c r="X140" s="149"/>
      <c r="Y140" s="149"/>
      <c r="Z140" s="149"/>
      <c r="AA140" s="556" t="s">
        <v>925</v>
      </c>
    </row>
    <row r="141" spans="1:27" ht="12">
      <c r="A141" s="88" t="s">
        <v>1011</v>
      </c>
      <c r="B141" s="88" t="s">
        <v>1012</v>
      </c>
      <c r="C141" s="413" t="s">
        <v>1013</v>
      </c>
      <c r="D141" s="149"/>
      <c r="E141" s="88" t="s">
        <v>924</v>
      </c>
      <c r="F141" s="24" t="s">
        <v>989</v>
      </c>
      <c r="G141" s="24" t="s">
        <v>924</v>
      </c>
      <c r="H141" s="24" t="s">
        <v>989</v>
      </c>
      <c r="I141" s="24" t="s">
        <v>989</v>
      </c>
      <c r="J141" s="24" t="s">
        <v>989</v>
      </c>
      <c r="K141" s="24" t="s">
        <v>989</v>
      </c>
      <c r="L141" s="24" t="s">
        <v>989</v>
      </c>
      <c r="M141" s="24"/>
      <c r="N141" s="149"/>
      <c r="O141" s="149"/>
      <c r="P141" s="149"/>
      <c r="Q141" s="149"/>
      <c r="R141" s="149"/>
      <c r="S141" s="149"/>
      <c r="T141" s="149"/>
      <c r="U141" s="149"/>
      <c r="V141" s="149"/>
      <c r="W141" s="149"/>
      <c r="X141" s="149"/>
      <c r="Y141" s="149"/>
      <c r="Z141" s="149"/>
      <c r="AA141" s="556" t="s">
        <v>925</v>
      </c>
    </row>
    <row r="142" spans="1:27" ht="12">
      <c r="A142" s="88" t="s">
        <v>1014</v>
      </c>
      <c r="B142" s="88" t="s">
        <v>1015</v>
      </c>
      <c r="C142" s="413" t="s">
        <v>1016</v>
      </c>
      <c r="D142" s="149"/>
      <c r="E142" s="88" t="s">
        <v>924</v>
      </c>
      <c r="F142" s="24" t="s">
        <v>989</v>
      </c>
      <c r="G142" s="24" t="s">
        <v>924</v>
      </c>
      <c r="H142" s="24" t="s">
        <v>989</v>
      </c>
      <c r="I142" s="24" t="s">
        <v>989</v>
      </c>
      <c r="J142" s="24" t="s">
        <v>989</v>
      </c>
      <c r="K142" s="24" t="s">
        <v>989</v>
      </c>
      <c r="L142" s="24" t="s">
        <v>989</v>
      </c>
      <c r="M142" s="24"/>
      <c r="N142" s="149"/>
      <c r="O142" s="149"/>
      <c r="P142" s="149"/>
      <c r="Q142" s="149"/>
      <c r="R142" s="149"/>
      <c r="S142" s="149"/>
      <c r="T142" s="149"/>
      <c r="U142" s="149"/>
      <c r="V142" s="149"/>
      <c r="W142" s="149"/>
      <c r="X142" s="149"/>
      <c r="Y142" s="149"/>
      <c r="Z142" s="149"/>
      <c r="AA142" s="556" t="s">
        <v>925</v>
      </c>
    </row>
    <row r="143" spans="1:27" ht="12">
      <c r="A143" s="88" t="s">
        <v>1017</v>
      </c>
      <c r="B143" s="88" t="s">
        <v>1018</v>
      </c>
      <c r="C143" s="413" t="s">
        <v>1019</v>
      </c>
      <c r="D143" s="149"/>
      <c r="E143" s="88" t="s">
        <v>924</v>
      </c>
      <c r="F143" s="24" t="s">
        <v>989</v>
      </c>
      <c r="G143" s="24" t="s">
        <v>924</v>
      </c>
      <c r="H143" s="24" t="s">
        <v>989</v>
      </c>
      <c r="I143" s="24" t="s">
        <v>989</v>
      </c>
      <c r="J143" s="24" t="s">
        <v>989</v>
      </c>
      <c r="K143" s="24" t="s">
        <v>989</v>
      </c>
      <c r="L143" s="24" t="s">
        <v>989</v>
      </c>
      <c r="M143" s="24"/>
      <c r="N143" s="149"/>
      <c r="O143" s="149"/>
      <c r="P143" s="149"/>
      <c r="Q143" s="149"/>
      <c r="R143" s="149"/>
      <c r="S143" s="149"/>
      <c r="T143" s="149"/>
      <c r="U143" s="149"/>
      <c r="V143" s="149"/>
      <c r="W143" s="149"/>
      <c r="X143" s="149"/>
      <c r="Y143" s="149"/>
      <c r="Z143" s="149"/>
      <c r="AA143" s="556" t="s">
        <v>925</v>
      </c>
    </row>
    <row r="144" spans="1:27" ht="12">
      <c r="A144" s="88" t="s">
        <v>1020</v>
      </c>
      <c r="B144" s="88" t="s">
        <v>1021</v>
      </c>
      <c r="C144" s="413" t="s">
        <v>1022</v>
      </c>
      <c r="D144" s="149"/>
      <c r="E144" s="88" t="s">
        <v>924</v>
      </c>
      <c r="F144" s="24" t="s">
        <v>989</v>
      </c>
      <c r="G144" s="24" t="s">
        <v>924</v>
      </c>
      <c r="H144" s="24" t="s">
        <v>989</v>
      </c>
      <c r="I144" s="24" t="s">
        <v>989</v>
      </c>
      <c r="J144" s="24" t="s">
        <v>989</v>
      </c>
      <c r="K144" s="24" t="s">
        <v>989</v>
      </c>
      <c r="L144" s="24" t="s">
        <v>989</v>
      </c>
      <c r="M144" s="24"/>
      <c r="N144" s="149"/>
      <c r="O144" s="149"/>
      <c r="P144" s="149"/>
      <c r="Q144" s="149"/>
      <c r="R144" s="149"/>
      <c r="S144" s="149"/>
      <c r="T144" s="149"/>
      <c r="U144" s="149"/>
      <c r="V144" s="149"/>
      <c r="W144" s="149"/>
      <c r="X144" s="149"/>
      <c r="Y144" s="149"/>
      <c r="Z144" s="149"/>
      <c r="AA144" s="556" t="s">
        <v>925</v>
      </c>
    </row>
    <row r="145" spans="1:27" ht="12">
      <c r="A145" s="88" t="s">
        <v>1023</v>
      </c>
      <c r="B145" s="88" t="s">
        <v>1024</v>
      </c>
      <c r="C145" s="413" t="s">
        <v>1025</v>
      </c>
      <c r="D145" s="149"/>
      <c r="E145" s="88" t="s">
        <v>924</v>
      </c>
      <c r="F145" s="24" t="s">
        <v>989</v>
      </c>
      <c r="G145" s="24" t="s">
        <v>924</v>
      </c>
      <c r="H145" s="24" t="s">
        <v>989</v>
      </c>
      <c r="I145" s="24" t="s">
        <v>989</v>
      </c>
      <c r="J145" s="24" t="s">
        <v>989</v>
      </c>
      <c r="K145" s="24" t="s">
        <v>989</v>
      </c>
      <c r="L145" s="24" t="s">
        <v>989</v>
      </c>
      <c r="M145" s="24"/>
      <c r="N145" s="149"/>
      <c r="O145" s="149"/>
      <c r="P145" s="149"/>
      <c r="Q145" s="149"/>
      <c r="R145" s="149"/>
      <c r="S145" s="149"/>
      <c r="T145" s="149"/>
      <c r="U145" s="149"/>
      <c r="V145" s="149"/>
      <c r="W145" s="149"/>
      <c r="X145" s="149"/>
      <c r="Y145" s="149"/>
      <c r="Z145" s="149"/>
      <c r="AA145" s="556" t="s">
        <v>925</v>
      </c>
    </row>
    <row r="146" spans="1:27" ht="12">
      <c r="A146" s="88" t="s">
        <v>1026</v>
      </c>
      <c r="B146" s="88" t="s">
        <v>1027</v>
      </c>
      <c r="C146" s="413" t="s">
        <v>1028</v>
      </c>
      <c r="D146" s="149"/>
      <c r="E146" s="88" t="s">
        <v>924</v>
      </c>
      <c r="F146" s="24" t="s">
        <v>989</v>
      </c>
      <c r="G146" s="24" t="s">
        <v>924</v>
      </c>
      <c r="H146" s="24" t="s">
        <v>989</v>
      </c>
      <c r="I146" s="24" t="s">
        <v>989</v>
      </c>
      <c r="J146" s="24" t="s">
        <v>989</v>
      </c>
      <c r="K146" s="24" t="s">
        <v>989</v>
      </c>
      <c r="L146" s="24" t="s">
        <v>989</v>
      </c>
      <c r="M146" s="24"/>
      <c r="N146" s="149"/>
      <c r="O146" s="149"/>
      <c r="P146" s="149"/>
      <c r="Q146" s="149"/>
      <c r="R146" s="149"/>
      <c r="S146" s="149"/>
      <c r="T146" s="149"/>
      <c r="U146" s="149"/>
      <c r="V146" s="149"/>
      <c r="W146" s="149"/>
      <c r="X146" s="149"/>
      <c r="Y146" s="149"/>
      <c r="Z146" s="149"/>
      <c r="AA146" s="556" t="s">
        <v>925</v>
      </c>
    </row>
    <row r="147" spans="1:27">
      <c r="A147" s="88" t="s">
        <v>1029</v>
      </c>
      <c r="B147" s="88" t="s">
        <v>1030</v>
      </c>
      <c r="C147" s="149" t="s">
        <v>1031</v>
      </c>
      <c r="D147" s="149"/>
      <c r="E147" s="88" t="s">
        <v>148</v>
      </c>
      <c r="F147" s="24" t="s">
        <v>24</v>
      </c>
      <c r="G147" s="24" t="s">
        <v>24</v>
      </c>
      <c r="H147" s="24" t="s">
        <v>24</v>
      </c>
      <c r="I147" s="24" t="s">
        <v>24</v>
      </c>
      <c r="J147" s="24" t="s">
        <v>24</v>
      </c>
      <c r="K147" s="24" t="s">
        <v>24</v>
      </c>
      <c r="L147" s="24" t="s">
        <v>24</v>
      </c>
      <c r="M147" s="24"/>
      <c r="N147" s="149"/>
      <c r="O147" s="149"/>
      <c r="P147" s="149"/>
      <c r="Q147" s="149"/>
      <c r="R147" s="149"/>
      <c r="S147" s="149"/>
      <c r="T147" s="149"/>
      <c r="U147" s="149"/>
      <c r="V147" s="149"/>
      <c r="W147" s="149"/>
      <c r="X147" s="149"/>
      <c r="Y147" s="149"/>
      <c r="Z147" s="149"/>
      <c r="AA147" s="24" t="s">
        <v>1032</v>
      </c>
    </row>
    <row r="148" spans="1:27">
      <c r="A148" s="88" t="s">
        <v>1033</v>
      </c>
      <c r="B148" s="88" t="s">
        <v>1034</v>
      </c>
      <c r="C148" s="149" t="s">
        <v>1035</v>
      </c>
      <c r="D148" s="149"/>
      <c r="E148" s="88" t="s">
        <v>148</v>
      </c>
      <c r="F148" s="24" t="s">
        <v>24</v>
      </c>
      <c r="G148" s="24" t="s">
        <v>24</v>
      </c>
      <c r="H148" s="24" t="s">
        <v>24</v>
      </c>
      <c r="I148" s="24" t="s">
        <v>24</v>
      </c>
      <c r="J148" s="24" t="s">
        <v>24</v>
      </c>
      <c r="K148" s="24" t="s">
        <v>24</v>
      </c>
      <c r="L148" s="24" t="s">
        <v>24</v>
      </c>
      <c r="M148" s="24"/>
      <c r="N148" s="149"/>
      <c r="O148" s="149"/>
      <c r="P148" s="149"/>
      <c r="Q148" s="149"/>
      <c r="R148" s="149"/>
      <c r="S148" s="149"/>
      <c r="T148" s="149"/>
      <c r="U148" s="149"/>
      <c r="V148" s="149"/>
      <c r="W148" s="149"/>
      <c r="X148" s="149"/>
      <c r="Y148" s="149"/>
      <c r="Z148" s="149"/>
      <c r="AA148" s="24" t="s">
        <v>1032</v>
      </c>
    </row>
    <row r="149" spans="1:27">
      <c r="A149" s="88" t="s">
        <v>1036</v>
      </c>
      <c r="B149" s="88" t="s">
        <v>1037</v>
      </c>
      <c r="C149" s="149" t="s">
        <v>1038</v>
      </c>
      <c r="D149" s="149"/>
      <c r="E149" s="88" t="s">
        <v>148</v>
      </c>
      <c r="F149" s="24" t="s">
        <v>24</v>
      </c>
      <c r="G149" s="24" t="s">
        <v>24</v>
      </c>
      <c r="H149" s="24" t="s">
        <v>24</v>
      </c>
      <c r="I149" s="24" t="s">
        <v>24</v>
      </c>
      <c r="J149" s="24" t="s">
        <v>24</v>
      </c>
      <c r="K149" s="24" t="s">
        <v>24</v>
      </c>
      <c r="L149" s="24" t="s">
        <v>24</v>
      </c>
      <c r="M149" s="24"/>
      <c r="N149" s="149"/>
      <c r="O149" s="149"/>
      <c r="P149" s="149"/>
      <c r="Q149" s="149"/>
      <c r="R149" s="149"/>
      <c r="S149" s="149"/>
      <c r="T149" s="149"/>
      <c r="U149" s="149"/>
      <c r="V149" s="149"/>
      <c r="W149" s="149"/>
      <c r="X149" s="149"/>
      <c r="Y149" s="149"/>
      <c r="Z149" s="149"/>
      <c r="AA149" s="24" t="s">
        <v>1032</v>
      </c>
    </row>
    <row r="150" spans="1:27">
      <c r="A150" s="88" t="s">
        <v>1039</v>
      </c>
      <c r="B150" s="88" t="s">
        <v>1040</v>
      </c>
      <c r="C150" s="149" t="s">
        <v>1041</v>
      </c>
      <c r="D150" s="149"/>
      <c r="E150" s="88" t="s">
        <v>148</v>
      </c>
      <c r="F150" s="24" t="s">
        <v>24</v>
      </c>
      <c r="G150" s="24" t="s">
        <v>24</v>
      </c>
      <c r="H150" s="24" t="s">
        <v>24</v>
      </c>
      <c r="I150" s="24" t="s">
        <v>24</v>
      </c>
      <c r="J150" s="24" t="s">
        <v>24</v>
      </c>
      <c r="K150" s="24" t="s">
        <v>24</v>
      </c>
      <c r="L150" s="24" t="s">
        <v>24</v>
      </c>
      <c r="M150" s="24"/>
      <c r="N150" s="149"/>
      <c r="O150" s="149"/>
      <c r="P150" s="149"/>
      <c r="Q150" s="149"/>
      <c r="R150" s="149"/>
      <c r="S150" s="149"/>
      <c r="T150" s="149"/>
      <c r="U150" s="149"/>
      <c r="V150" s="149"/>
      <c r="W150" s="149"/>
      <c r="X150" s="149"/>
      <c r="Y150" s="149"/>
      <c r="Z150" s="149"/>
      <c r="AA150" s="24" t="s">
        <v>1032</v>
      </c>
    </row>
    <row r="151" spans="1:27">
      <c r="A151" s="88" t="s">
        <v>1042</v>
      </c>
      <c r="B151" s="88" t="s">
        <v>1043</v>
      </c>
      <c r="C151" s="149" t="s">
        <v>1044</v>
      </c>
      <c r="D151" s="149"/>
      <c r="E151" s="88" t="s">
        <v>148</v>
      </c>
      <c r="F151" s="24" t="s">
        <v>24</v>
      </c>
      <c r="G151" s="24" t="s">
        <v>24</v>
      </c>
      <c r="H151" s="24" t="s">
        <v>24</v>
      </c>
      <c r="I151" s="24" t="s">
        <v>24</v>
      </c>
      <c r="J151" s="24" t="s">
        <v>24</v>
      </c>
      <c r="K151" s="24" t="s">
        <v>24</v>
      </c>
      <c r="L151" s="24" t="s">
        <v>24</v>
      </c>
      <c r="M151" s="24"/>
      <c r="N151" s="149"/>
      <c r="O151" s="149"/>
      <c r="P151" s="149"/>
      <c r="Q151" s="149"/>
      <c r="R151" s="149"/>
      <c r="S151" s="149"/>
      <c r="T151" s="149"/>
      <c r="U151" s="149"/>
      <c r="V151" s="149"/>
      <c r="W151" s="149"/>
      <c r="X151" s="149"/>
      <c r="Y151" s="149"/>
      <c r="Z151" s="149"/>
      <c r="AA151" s="24" t="s">
        <v>1032</v>
      </c>
    </row>
    <row r="152" spans="1:27">
      <c r="A152" s="88" t="s">
        <v>1045</v>
      </c>
      <c r="B152" s="88" t="s">
        <v>1046</v>
      </c>
      <c r="C152" s="149" t="s">
        <v>1047</v>
      </c>
      <c r="D152" s="149"/>
      <c r="E152" s="88" t="s">
        <v>148</v>
      </c>
      <c r="F152" s="24" t="s">
        <v>24</v>
      </c>
      <c r="G152" s="24" t="s">
        <v>24</v>
      </c>
      <c r="H152" s="24" t="s">
        <v>24</v>
      </c>
      <c r="I152" s="24" t="s">
        <v>24</v>
      </c>
      <c r="J152" s="24" t="s">
        <v>24</v>
      </c>
      <c r="K152" s="24" t="s">
        <v>24</v>
      </c>
      <c r="L152" s="24" t="s">
        <v>24</v>
      </c>
      <c r="M152" s="24"/>
      <c r="N152" s="149"/>
      <c r="O152" s="149"/>
      <c r="P152" s="149"/>
      <c r="Q152" s="149"/>
      <c r="R152" s="149"/>
      <c r="S152" s="149"/>
      <c r="T152" s="149"/>
      <c r="U152" s="149"/>
      <c r="V152" s="149"/>
      <c r="W152" s="149"/>
      <c r="X152" s="149"/>
      <c r="Y152" s="149"/>
      <c r="Z152" s="149"/>
      <c r="AA152" s="24" t="s">
        <v>1032</v>
      </c>
    </row>
    <row r="153" spans="1:27">
      <c r="A153" s="88" t="s">
        <v>1048</v>
      </c>
      <c r="B153" s="88" t="s">
        <v>1049</v>
      </c>
      <c r="C153" s="149" t="s">
        <v>1050</v>
      </c>
      <c r="D153" s="149"/>
      <c r="E153" s="88" t="s">
        <v>148</v>
      </c>
      <c r="F153" s="24" t="s">
        <v>24</v>
      </c>
      <c r="G153" s="24" t="s">
        <v>24</v>
      </c>
      <c r="H153" s="24" t="s">
        <v>24</v>
      </c>
      <c r="I153" s="24" t="s">
        <v>24</v>
      </c>
      <c r="J153" s="24" t="s">
        <v>24</v>
      </c>
      <c r="K153" s="24" t="s">
        <v>24</v>
      </c>
      <c r="L153" s="24" t="s">
        <v>24</v>
      </c>
      <c r="M153" s="24"/>
      <c r="N153" s="149"/>
      <c r="O153" s="149"/>
      <c r="P153" s="149"/>
      <c r="Q153" s="149"/>
      <c r="R153" s="149"/>
      <c r="S153" s="149"/>
      <c r="T153" s="149"/>
      <c r="U153" s="149"/>
      <c r="V153" s="149"/>
      <c r="W153" s="149"/>
      <c r="X153" s="149"/>
      <c r="Y153" s="149"/>
      <c r="Z153" s="149"/>
      <c r="AA153" s="24" t="s">
        <v>1032</v>
      </c>
    </row>
    <row r="154" spans="1:27">
      <c r="A154" s="88" t="s">
        <v>1051</v>
      </c>
      <c r="B154" s="88" t="s">
        <v>1052</v>
      </c>
      <c r="C154" s="410" t="s">
        <v>1053</v>
      </c>
      <c r="D154" s="149"/>
      <c r="E154" s="88" t="s">
        <v>148</v>
      </c>
      <c r="F154" s="24" t="s">
        <v>24</v>
      </c>
      <c r="G154" s="24" t="s">
        <v>24</v>
      </c>
      <c r="H154" s="24" t="s">
        <v>24</v>
      </c>
      <c r="I154" s="24" t="s">
        <v>24</v>
      </c>
      <c r="J154" s="24" t="s">
        <v>24</v>
      </c>
      <c r="K154" s="24" t="s">
        <v>24</v>
      </c>
      <c r="L154" s="24" t="s">
        <v>24</v>
      </c>
      <c r="M154" s="24"/>
      <c r="N154" s="149"/>
      <c r="O154" s="149"/>
      <c r="P154" s="149"/>
      <c r="Q154" s="149"/>
      <c r="R154" s="149"/>
      <c r="S154" s="149"/>
      <c r="T154" s="149"/>
      <c r="U154" s="149"/>
      <c r="V154" s="149"/>
      <c r="W154" s="149"/>
      <c r="X154" s="149"/>
      <c r="Y154" s="149"/>
      <c r="Z154" s="149"/>
      <c r="AA154" s="24" t="s">
        <v>1054</v>
      </c>
    </row>
    <row r="155" spans="1:27">
      <c r="A155" s="24" t="s">
        <v>1055</v>
      </c>
      <c r="B155" s="24" t="s">
        <v>1056</v>
      </c>
      <c r="C155" s="23" t="s">
        <v>1057</v>
      </c>
      <c r="D155" s="149"/>
      <c r="E155" s="88" t="s">
        <v>148</v>
      </c>
      <c r="F155" s="24" t="s">
        <v>24</v>
      </c>
      <c r="G155" s="24" t="s">
        <v>24</v>
      </c>
      <c r="H155" s="24" t="s">
        <v>24</v>
      </c>
      <c r="I155" s="24" t="s">
        <v>24</v>
      </c>
      <c r="J155" s="24" t="s">
        <v>24</v>
      </c>
      <c r="K155" s="24" t="s">
        <v>24</v>
      </c>
      <c r="L155" s="24" t="s">
        <v>24</v>
      </c>
      <c r="M155" s="24"/>
      <c r="N155" s="24"/>
      <c r="O155" s="149"/>
      <c r="P155" s="149"/>
      <c r="Q155" s="149"/>
      <c r="R155" s="149"/>
      <c r="S155" s="149"/>
      <c r="T155" s="149"/>
      <c r="U155" s="149"/>
      <c r="V155" s="149"/>
      <c r="W155" s="149"/>
      <c r="X155" s="149"/>
      <c r="Y155" s="149"/>
      <c r="Z155" s="149"/>
      <c r="AA155" s="24" t="s">
        <v>1058</v>
      </c>
    </row>
    <row r="156" spans="1:27">
      <c r="A156" s="24" t="s">
        <v>1059</v>
      </c>
      <c r="B156" s="24" t="s">
        <v>1060</v>
      </c>
      <c r="C156" s="23" t="s">
        <v>1061</v>
      </c>
      <c r="D156" s="149"/>
      <c r="E156" s="88" t="s">
        <v>148</v>
      </c>
      <c r="F156" s="24" t="s">
        <v>24</v>
      </c>
      <c r="G156" s="24" t="s">
        <v>24</v>
      </c>
      <c r="H156" s="24" t="s">
        <v>24</v>
      </c>
      <c r="I156" s="24" t="s">
        <v>24</v>
      </c>
      <c r="J156" s="24" t="s">
        <v>24</v>
      </c>
      <c r="K156" s="24" t="s">
        <v>24</v>
      </c>
      <c r="L156" s="24" t="s">
        <v>24</v>
      </c>
      <c r="M156" s="24"/>
      <c r="N156" s="24"/>
      <c r="O156" s="149"/>
      <c r="P156" s="149"/>
      <c r="Q156" s="149"/>
      <c r="R156" s="149"/>
      <c r="S156" s="149"/>
      <c r="T156" s="149"/>
      <c r="U156" s="149"/>
      <c r="V156" s="149"/>
      <c r="W156" s="149"/>
      <c r="X156" s="149"/>
      <c r="Y156" s="149"/>
      <c r="Z156" s="149"/>
      <c r="AA156" s="24" t="s">
        <v>1058</v>
      </c>
    </row>
    <row r="157" spans="1:27">
      <c r="A157" s="24" t="s">
        <v>1062</v>
      </c>
      <c r="B157" s="24" t="s">
        <v>1063</v>
      </c>
      <c r="C157" s="23" t="s">
        <v>1064</v>
      </c>
      <c r="D157" s="149"/>
      <c r="E157" s="88" t="s">
        <v>148</v>
      </c>
      <c r="F157" s="24" t="s">
        <v>24</v>
      </c>
      <c r="G157" s="24" t="s">
        <v>24</v>
      </c>
      <c r="H157" s="24" t="s">
        <v>24</v>
      </c>
      <c r="I157" s="24" t="s">
        <v>24</v>
      </c>
      <c r="J157" s="24" t="s">
        <v>24</v>
      </c>
      <c r="K157" s="24" t="s">
        <v>24</v>
      </c>
      <c r="L157" s="24" t="s">
        <v>24</v>
      </c>
      <c r="M157" s="24"/>
      <c r="N157" s="24"/>
      <c r="O157" s="149"/>
      <c r="P157" s="149"/>
      <c r="Q157" s="149"/>
      <c r="R157" s="149"/>
      <c r="S157" s="149"/>
      <c r="T157" s="149"/>
      <c r="U157" s="149"/>
      <c r="V157" s="149"/>
      <c r="W157" s="149"/>
      <c r="X157" s="149"/>
      <c r="Y157" s="149"/>
      <c r="Z157" s="149"/>
      <c r="AA157" s="24" t="s">
        <v>1058</v>
      </c>
    </row>
    <row r="158" spans="1:27">
      <c r="A158" s="24" t="s">
        <v>1065</v>
      </c>
      <c r="B158" s="24" t="s">
        <v>1066</v>
      </c>
      <c r="C158" s="23" t="s">
        <v>1067</v>
      </c>
      <c r="D158" s="149"/>
      <c r="E158" s="88" t="s">
        <v>148</v>
      </c>
      <c r="F158" s="24" t="s">
        <v>24</v>
      </c>
      <c r="G158" s="24" t="s">
        <v>24</v>
      </c>
      <c r="H158" s="24" t="s">
        <v>24</v>
      </c>
      <c r="I158" s="24" t="s">
        <v>24</v>
      </c>
      <c r="J158" s="24" t="s">
        <v>24</v>
      </c>
      <c r="K158" s="24" t="s">
        <v>24</v>
      </c>
      <c r="L158" s="24" t="s">
        <v>24</v>
      </c>
      <c r="M158" s="24"/>
      <c r="N158" s="24"/>
      <c r="O158" s="149"/>
      <c r="P158" s="149"/>
      <c r="Q158" s="149"/>
      <c r="R158" s="149"/>
      <c r="S158" s="149"/>
      <c r="T158" s="149"/>
      <c r="U158" s="149"/>
      <c r="V158" s="149"/>
      <c r="W158" s="149"/>
      <c r="X158" s="149"/>
      <c r="Y158" s="149"/>
      <c r="Z158" s="149"/>
      <c r="AA158" s="24" t="s">
        <v>1058</v>
      </c>
    </row>
    <row r="159" spans="1:27">
      <c r="A159" s="24" t="s">
        <v>1068</v>
      </c>
      <c r="B159" s="24" t="s">
        <v>1069</v>
      </c>
      <c r="C159" s="23" t="s">
        <v>1070</v>
      </c>
      <c r="D159" s="149"/>
      <c r="E159" s="88" t="s">
        <v>148</v>
      </c>
      <c r="F159" s="24" t="s">
        <v>24</v>
      </c>
      <c r="G159" s="24" t="s">
        <v>24</v>
      </c>
      <c r="H159" s="24" t="s">
        <v>24</v>
      </c>
      <c r="I159" s="24" t="s">
        <v>24</v>
      </c>
      <c r="J159" s="24" t="s">
        <v>24</v>
      </c>
      <c r="K159" s="24" t="s">
        <v>24</v>
      </c>
      <c r="L159" s="24" t="s">
        <v>24</v>
      </c>
      <c r="M159" s="24"/>
      <c r="N159" s="24"/>
      <c r="O159" s="149"/>
      <c r="P159" s="149"/>
      <c r="Q159" s="149"/>
      <c r="R159" s="149"/>
      <c r="S159" s="149"/>
      <c r="T159" s="149"/>
      <c r="U159" s="149"/>
      <c r="V159" s="149"/>
      <c r="W159" s="149"/>
      <c r="X159" s="149"/>
      <c r="Y159" s="149"/>
      <c r="Z159" s="149"/>
      <c r="AA159" s="24" t="s">
        <v>1058</v>
      </c>
    </row>
    <row r="160" spans="1:27">
      <c r="A160" s="24" t="s">
        <v>1071</v>
      </c>
      <c r="B160" s="24" t="s">
        <v>1072</v>
      </c>
      <c r="C160" s="23" t="s">
        <v>1073</v>
      </c>
      <c r="D160" s="149"/>
      <c r="E160" s="88" t="s">
        <v>148</v>
      </c>
      <c r="F160" s="24" t="s">
        <v>24</v>
      </c>
      <c r="G160" s="24" t="s">
        <v>24</v>
      </c>
      <c r="H160" s="24" t="s">
        <v>24</v>
      </c>
      <c r="I160" s="24" t="s">
        <v>24</v>
      </c>
      <c r="J160" s="24" t="s">
        <v>24</v>
      </c>
      <c r="K160" s="24" t="s">
        <v>24</v>
      </c>
      <c r="L160" s="24" t="s">
        <v>24</v>
      </c>
      <c r="M160" s="24"/>
      <c r="N160" s="24"/>
      <c r="O160" s="149"/>
      <c r="P160" s="149"/>
      <c r="Q160" s="149"/>
      <c r="R160" s="149"/>
      <c r="S160" s="149"/>
      <c r="T160" s="149"/>
      <c r="U160" s="149"/>
      <c r="V160" s="149"/>
      <c r="W160" s="149"/>
      <c r="X160" s="149"/>
      <c r="Y160" s="149"/>
      <c r="Z160" s="149"/>
      <c r="AA160" s="24" t="s">
        <v>1058</v>
      </c>
    </row>
    <row r="161" spans="1:27">
      <c r="A161" s="24" t="s">
        <v>1074</v>
      </c>
      <c r="B161" s="24" t="s">
        <v>1075</v>
      </c>
      <c r="C161" s="23" t="s">
        <v>1076</v>
      </c>
      <c r="D161" s="149"/>
      <c r="E161" s="88" t="s">
        <v>148</v>
      </c>
      <c r="F161" s="24" t="s">
        <v>24</v>
      </c>
      <c r="G161" s="24" t="s">
        <v>24</v>
      </c>
      <c r="H161" s="24" t="s">
        <v>24</v>
      </c>
      <c r="I161" s="24" t="s">
        <v>24</v>
      </c>
      <c r="J161" s="24" t="s">
        <v>24</v>
      </c>
      <c r="K161" s="24" t="s">
        <v>24</v>
      </c>
      <c r="L161" s="24" t="s">
        <v>24</v>
      </c>
      <c r="M161" s="24"/>
      <c r="N161" s="24"/>
      <c r="O161" s="149"/>
      <c r="P161" s="149"/>
      <c r="Q161" s="149"/>
      <c r="R161" s="149"/>
      <c r="S161" s="149"/>
      <c r="T161" s="149"/>
      <c r="U161" s="149"/>
      <c r="V161" s="149"/>
      <c r="W161" s="149"/>
      <c r="X161" s="149"/>
      <c r="Y161" s="149"/>
      <c r="Z161" s="149"/>
      <c r="AA161" s="24" t="s">
        <v>1058</v>
      </c>
    </row>
    <row r="162" spans="1:27">
      <c r="A162" s="24" t="s">
        <v>1077</v>
      </c>
      <c r="B162" s="24" t="s">
        <v>1078</v>
      </c>
      <c r="C162" s="23" t="s">
        <v>1079</v>
      </c>
      <c r="D162" s="149"/>
      <c r="E162" s="88" t="s">
        <v>148</v>
      </c>
      <c r="F162" s="24" t="s">
        <v>24</v>
      </c>
      <c r="G162" s="24" t="s">
        <v>24</v>
      </c>
      <c r="H162" s="24" t="s">
        <v>24</v>
      </c>
      <c r="I162" s="24" t="s">
        <v>24</v>
      </c>
      <c r="J162" s="24" t="s">
        <v>24</v>
      </c>
      <c r="K162" s="24" t="s">
        <v>24</v>
      </c>
      <c r="L162" s="24" t="s">
        <v>24</v>
      </c>
      <c r="M162" s="24"/>
      <c r="N162" s="24"/>
      <c r="O162" s="149"/>
      <c r="P162" s="149"/>
      <c r="Q162" s="149"/>
      <c r="R162" s="149"/>
      <c r="S162" s="149"/>
      <c r="T162" s="149"/>
      <c r="U162" s="149"/>
      <c r="V162" s="149"/>
      <c r="W162" s="149"/>
      <c r="X162" s="149"/>
      <c r="Y162" s="149"/>
      <c r="Z162" s="149"/>
      <c r="AA162" s="24" t="s">
        <v>1058</v>
      </c>
    </row>
    <row r="163" spans="1:27">
      <c r="A163" s="24" t="s">
        <v>1080</v>
      </c>
      <c r="B163" s="24" t="s">
        <v>1081</v>
      </c>
      <c r="C163" s="23" t="s">
        <v>1082</v>
      </c>
      <c r="D163" s="149"/>
      <c r="E163" s="88" t="s">
        <v>148</v>
      </c>
      <c r="F163" s="24" t="s">
        <v>24</v>
      </c>
      <c r="G163" s="24" t="s">
        <v>24</v>
      </c>
      <c r="H163" s="24" t="s">
        <v>24</v>
      </c>
      <c r="I163" s="24" t="s">
        <v>24</v>
      </c>
      <c r="J163" s="24" t="s">
        <v>24</v>
      </c>
      <c r="K163" s="24" t="s">
        <v>24</v>
      </c>
      <c r="L163" s="24" t="s">
        <v>24</v>
      </c>
      <c r="M163" s="24"/>
      <c r="N163" s="24"/>
      <c r="O163" s="149"/>
      <c r="P163" s="149"/>
      <c r="Q163" s="149"/>
      <c r="R163" s="149"/>
      <c r="S163" s="149"/>
      <c r="T163" s="149"/>
      <c r="U163" s="149"/>
      <c r="V163" s="149"/>
      <c r="W163" s="149"/>
      <c r="X163" s="149"/>
      <c r="Y163" s="149"/>
      <c r="Z163" s="149"/>
      <c r="AA163" s="24" t="s">
        <v>1058</v>
      </c>
    </row>
    <row r="164" spans="1:27">
      <c r="A164" s="24" t="s">
        <v>1083</v>
      </c>
      <c r="B164" s="24" t="s">
        <v>1084</v>
      </c>
      <c r="C164" s="23" t="s">
        <v>1085</v>
      </c>
      <c r="D164" s="149"/>
      <c r="E164" s="88" t="s">
        <v>148</v>
      </c>
      <c r="F164" s="24" t="s">
        <v>24</v>
      </c>
      <c r="G164" s="24" t="s">
        <v>24</v>
      </c>
      <c r="H164" s="24" t="s">
        <v>24</v>
      </c>
      <c r="I164" s="24" t="s">
        <v>24</v>
      </c>
      <c r="J164" s="24" t="s">
        <v>24</v>
      </c>
      <c r="K164" s="24" t="s">
        <v>24</v>
      </c>
      <c r="L164" s="24" t="s">
        <v>24</v>
      </c>
      <c r="M164" s="24"/>
      <c r="N164" s="24"/>
      <c r="O164" s="149"/>
      <c r="P164" s="149"/>
      <c r="Q164" s="149"/>
      <c r="R164" s="149"/>
      <c r="S164" s="149"/>
      <c r="T164" s="149"/>
      <c r="U164" s="149"/>
      <c r="V164" s="149"/>
      <c r="W164" s="149"/>
      <c r="X164" s="149"/>
      <c r="Y164" s="149"/>
      <c r="Z164" s="149"/>
      <c r="AA164" s="24" t="s">
        <v>1058</v>
      </c>
    </row>
    <row r="165" spans="1:27">
      <c r="A165" s="24" t="s">
        <v>1086</v>
      </c>
      <c r="B165" s="24" t="s">
        <v>1087</v>
      </c>
      <c r="C165" s="23" t="s">
        <v>1088</v>
      </c>
      <c r="D165" s="149"/>
      <c r="E165" s="88" t="s">
        <v>148</v>
      </c>
      <c r="F165" s="24" t="s">
        <v>24</v>
      </c>
      <c r="G165" s="24" t="s">
        <v>24</v>
      </c>
      <c r="H165" s="24" t="s">
        <v>24</v>
      </c>
      <c r="I165" s="24" t="s">
        <v>24</v>
      </c>
      <c r="J165" s="24" t="s">
        <v>24</v>
      </c>
      <c r="K165" s="24" t="s">
        <v>24</v>
      </c>
      <c r="L165" s="24" t="s">
        <v>24</v>
      </c>
      <c r="M165" s="24"/>
      <c r="N165" s="24"/>
      <c r="O165" s="149"/>
      <c r="P165" s="149"/>
      <c r="Q165" s="149"/>
      <c r="R165" s="149"/>
      <c r="S165" s="149"/>
      <c r="T165" s="149"/>
      <c r="U165" s="149"/>
      <c r="V165" s="149"/>
      <c r="W165" s="149"/>
      <c r="X165" s="149"/>
      <c r="Y165" s="149"/>
      <c r="Z165" s="149"/>
      <c r="AA165" s="24" t="s">
        <v>1058</v>
      </c>
    </row>
    <row r="166" spans="1:27">
      <c r="A166" s="24" t="s">
        <v>1089</v>
      </c>
      <c r="B166" s="24" t="s">
        <v>1090</v>
      </c>
      <c r="C166" s="23" t="s">
        <v>1091</v>
      </c>
      <c r="D166" s="149"/>
      <c r="E166" s="88" t="s">
        <v>148</v>
      </c>
      <c r="F166" s="24" t="s">
        <v>24</v>
      </c>
      <c r="G166" s="24" t="s">
        <v>24</v>
      </c>
      <c r="H166" s="24" t="s">
        <v>24</v>
      </c>
      <c r="I166" s="24" t="s">
        <v>24</v>
      </c>
      <c r="J166" s="24" t="s">
        <v>24</v>
      </c>
      <c r="K166" s="24" t="s">
        <v>24</v>
      </c>
      <c r="L166" s="24" t="s">
        <v>24</v>
      </c>
      <c r="M166" s="24"/>
      <c r="N166" s="24"/>
      <c r="O166" s="149"/>
      <c r="P166" s="149"/>
      <c r="Q166" s="149"/>
      <c r="R166" s="149"/>
      <c r="S166" s="149"/>
      <c r="T166" s="149"/>
      <c r="U166" s="149"/>
      <c r="V166" s="149"/>
      <c r="W166" s="149"/>
      <c r="X166" s="149"/>
      <c r="Y166" s="149"/>
      <c r="Z166" s="149"/>
      <c r="AA166" s="24" t="s">
        <v>1058</v>
      </c>
    </row>
    <row r="167" spans="1:27">
      <c r="A167" s="24" t="s">
        <v>1092</v>
      </c>
      <c r="B167" s="24" t="s">
        <v>1093</v>
      </c>
      <c r="C167" s="23" t="s">
        <v>1094</v>
      </c>
      <c r="D167" s="149"/>
      <c r="E167" s="88" t="s">
        <v>148</v>
      </c>
      <c r="F167" s="24" t="s">
        <v>24</v>
      </c>
      <c r="G167" s="24" t="s">
        <v>24</v>
      </c>
      <c r="H167" s="24" t="s">
        <v>24</v>
      </c>
      <c r="I167" s="24" t="s">
        <v>24</v>
      </c>
      <c r="J167" s="24" t="s">
        <v>24</v>
      </c>
      <c r="K167" s="24" t="s">
        <v>24</v>
      </c>
      <c r="L167" s="24" t="s">
        <v>24</v>
      </c>
      <c r="M167" s="24"/>
      <c r="N167" s="24"/>
      <c r="O167" s="149"/>
      <c r="P167" s="149"/>
      <c r="Q167" s="149"/>
      <c r="R167" s="149"/>
      <c r="S167" s="149"/>
      <c r="T167" s="149"/>
      <c r="U167" s="149"/>
      <c r="V167" s="149"/>
      <c r="W167" s="149"/>
      <c r="X167" s="149"/>
      <c r="Y167" s="149"/>
      <c r="Z167" s="149"/>
      <c r="AA167" s="24" t="s">
        <v>1058</v>
      </c>
    </row>
    <row r="168" spans="1:27">
      <c r="A168" s="24" t="s">
        <v>1095</v>
      </c>
      <c r="B168" s="24" t="s">
        <v>1096</v>
      </c>
      <c r="C168" s="23" t="s">
        <v>1097</v>
      </c>
      <c r="D168" s="149"/>
      <c r="E168" s="88" t="s">
        <v>148</v>
      </c>
      <c r="F168" s="24" t="s">
        <v>24</v>
      </c>
      <c r="G168" s="24" t="s">
        <v>24</v>
      </c>
      <c r="H168" s="24" t="s">
        <v>24</v>
      </c>
      <c r="I168" s="24" t="s">
        <v>24</v>
      </c>
      <c r="J168" s="24" t="s">
        <v>24</v>
      </c>
      <c r="K168" s="24" t="s">
        <v>24</v>
      </c>
      <c r="L168" s="24" t="s">
        <v>24</v>
      </c>
      <c r="M168" s="24"/>
      <c r="N168" s="24"/>
      <c r="O168" s="149"/>
      <c r="P168" s="149"/>
      <c r="Q168" s="149"/>
      <c r="R168" s="149"/>
      <c r="S168" s="149"/>
      <c r="T168" s="149"/>
      <c r="U168" s="149"/>
      <c r="V168" s="149"/>
      <c r="W168" s="149"/>
      <c r="X168" s="149"/>
      <c r="Y168" s="149"/>
      <c r="Z168" s="149"/>
      <c r="AA168" s="24" t="s">
        <v>1058</v>
      </c>
    </row>
    <row r="169" spans="1:27">
      <c r="A169" s="24" t="s">
        <v>1098</v>
      </c>
      <c r="B169" s="24" t="s">
        <v>1099</v>
      </c>
      <c r="C169" s="23" t="s">
        <v>1100</v>
      </c>
      <c r="D169" s="149"/>
      <c r="E169" s="88" t="s">
        <v>148</v>
      </c>
      <c r="F169" s="24" t="s">
        <v>24</v>
      </c>
      <c r="G169" s="24" t="s">
        <v>24</v>
      </c>
      <c r="H169" s="24" t="s">
        <v>24</v>
      </c>
      <c r="I169" s="24" t="s">
        <v>24</v>
      </c>
      <c r="J169" s="24" t="s">
        <v>24</v>
      </c>
      <c r="K169" s="24" t="s">
        <v>24</v>
      </c>
      <c r="L169" s="24" t="s">
        <v>24</v>
      </c>
      <c r="M169" s="24"/>
      <c r="N169" s="24"/>
      <c r="O169" s="149"/>
      <c r="P169" s="149"/>
      <c r="Q169" s="149"/>
      <c r="R169" s="149"/>
      <c r="S169" s="149"/>
      <c r="T169" s="149"/>
      <c r="U169" s="149"/>
      <c r="V169" s="149"/>
      <c r="W169" s="149"/>
      <c r="X169" s="149"/>
      <c r="Y169" s="149"/>
      <c r="Z169" s="149"/>
      <c r="AA169" s="24" t="s">
        <v>1058</v>
      </c>
    </row>
    <row r="170" spans="1:27">
      <c r="A170" s="24" t="s">
        <v>1101</v>
      </c>
      <c r="B170" s="24" t="s">
        <v>1102</v>
      </c>
      <c r="C170" s="23" t="s">
        <v>1103</v>
      </c>
      <c r="D170" s="149"/>
      <c r="E170" s="88" t="s">
        <v>148</v>
      </c>
      <c r="F170" s="24" t="s">
        <v>24</v>
      </c>
      <c r="G170" s="24" t="s">
        <v>24</v>
      </c>
      <c r="H170" s="24" t="s">
        <v>24</v>
      </c>
      <c r="I170" s="24" t="s">
        <v>24</v>
      </c>
      <c r="J170" s="24" t="s">
        <v>24</v>
      </c>
      <c r="K170" s="24" t="s">
        <v>24</v>
      </c>
      <c r="L170" s="24" t="s">
        <v>24</v>
      </c>
      <c r="M170" s="24"/>
      <c r="N170" s="24"/>
      <c r="O170" s="149"/>
      <c r="P170" s="149"/>
      <c r="Q170" s="149"/>
      <c r="R170" s="149"/>
      <c r="S170" s="149"/>
      <c r="T170" s="149"/>
      <c r="U170" s="149"/>
      <c r="V170" s="149"/>
      <c r="W170" s="149"/>
      <c r="X170" s="149"/>
      <c r="Y170" s="149"/>
      <c r="Z170" s="149"/>
      <c r="AA170" s="24" t="s">
        <v>1058</v>
      </c>
    </row>
    <row r="171" spans="1:27">
      <c r="A171" s="88" t="s">
        <v>1104</v>
      </c>
      <c r="B171" s="88" t="s">
        <v>1105</v>
      </c>
      <c r="C171" s="149" t="s">
        <v>1106</v>
      </c>
      <c r="D171" s="149"/>
      <c r="E171" s="88" t="s">
        <v>148</v>
      </c>
      <c r="F171" s="24" t="s">
        <v>24</v>
      </c>
      <c r="G171" s="24" t="s">
        <v>24</v>
      </c>
      <c r="H171" s="24" t="s">
        <v>24</v>
      </c>
      <c r="I171" s="24" t="s">
        <v>24</v>
      </c>
      <c r="J171" s="24" t="s">
        <v>24</v>
      </c>
      <c r="K171" s="24" t="s">
        <v>24</v>
      </c>
      <c r="L171" s="24" t="s">
        <v>24</v>
      </c>
      <c r="M171" s="24"/>
      <c r="N171" s="149"/>
      <c r="O171" s="149"/>
      <c r="P171" s="149"/>
      <c r="Q171" s="149"/>
      <c r="R171" s="149"/>
      <c r="S171" s="149"/>
      <c r="T171" s="149"/>
      <c r="U171" s="149"/>
      <c r="V171" s="149"/>
      <c r="W171" s="149"/>
      <c r="X171" s="149"/>
      <c r="Y171" s="149"/>
      <c r="Z171" s="149"/>
      <c r="AA171" s="24" t="s">
        <v>1107</v>
      </c>
    </row>
    <row r="172" spans="1:27">
      <c r="A172" s="88" t="s">
        <v>1108</v>
      </c>
      <c r="B172" s="88" t="s">
        <v>1109</v>
      </c>
      <c r="C172" s="149" t="s">
        <v>1110</v>
      </c>
      <c r="D172" s="149"/>
      <c r="E172" s="88" t="s">
        <v>148</v>
      </c>
      <c r="F172" s="24" t="s">
        <v>24</v>
      </c>
      <c r="G172" s="24" t="s">
        <v>24</v>
      </c>
      <c r="H172" s="24" t="s">
        <v>24</v>
      </c>
      <c r="I172" s="24" t="s">
        <v>24</v>
      </c>
      <c r="J172" s="24" t="s">
        <v>24</v>
      </c>
      <c r="K172" s="24" t="s">
        <v>24</v>
      </c>
      <c r="L172" s="24" t="s">
        <v>24</v>
      </c>
      <c r="M172" s="24"/>
      <c r="N172" s="149"/>
      <c r="O172" s="149"/>
      <c r="P172" s="149"/>
      <c r="Q172" s="149"/>
      <c r="R172" s="149"/>
      <c r="S172" s="149"/>
      <c r="T172" s="149"/>
      <c r="U172" s="149"/>
      <c r="V172" s="149"/>
      <c r="W172" s="149"/>
      <c r="X172" s="149"/>
      <c r="Y172" s="149"/>
      <c r="Z172" s="149"/>
      <c r="AA172" s="24" t="s">
        <v>1107</v>
      </c>
    </row>
    <row r="173" spans="1:27">
      <c r="A173" s="88" t="s">
        <v>1111</v>
      </c>
      <c r="B173" s="88" t="s">
        <v>1112</v>
      </c>
      <c r="C173" s="149" t="s">
        <v>1113</v>
      </c>
      <c r="D173" s="149"/>
      <c r="E173" s="88" t="s">
        <v>148</v>
      </c>
      <c r="F173" s="24" t="s">
        <v>24</v>
      </c>
      <c r="G173" s="24" t="s">
        <v>24</v>
      </c>
      <c r="H173" s="24" t="s">
        <v>24</v>
      </c>
      <c r="I173" s="24" t="s">
        <v>24</v>
      </c>
      <c r="J173" s="24" t="s">
        <v>24</v>
      </c>
      <c r="K173" s="24" t="s">
        <v>24</v>
      </c>
      <c r="L173" s="24" t="s">
        <v>24</v>
      </c>
      <c r="M173" s="24"/>
      <c r="N173" s="149"/>
      <c r="O173" s="149"/>
      <c r="P173" s="149"/>
      <c r="Q173" s="149"/>
      <c r="R173" s="149"/>
      <c r="S173" s="149"/>
      <c r="T173" s="149"/>
      <c r="U173" s="149"/>
      <c r="V173" s="149"/>
      <c r="W173" s="149"/>
      <c r="X173" s="149"/>
      <c r="Y173" s="149"/>
      <c r="Z173" s="149"/>
      <c r="AA173" s="24" t="s">
        <v>1107</v>
      </c>
    </row>
    <row r="174" spans="1:27">
      <c r="A174" s="88" t="s">
        <v>1114</v>
      </c>
      <c r="B174" s="88" t="s">
        <v>1115</v>
      </c>
      <c r="C174" s="149" t="s">
        <v>1116</v>
      </c>
      <c r="D174" s="149"/>
      <c r="E174" s="88" t="s">
        <v>148</v>
      </c>
      <c r="F174" s="24" t="s">
        <v>24</v>
      </c>
      <c r="G174" s="24" t="s">
        <v>24</v>
      </c>
      <c r="H174" s="24" t="s">
        <v>24</v>
      </c>
      <c r="I174" s="24" t="s">
        <v>24</v>
      </c>
      <c r="J174" s="24" t="s">
        <v>24</v>
      </c>
      <c r="K174" s="24" t="s">
        <v>24</v>
      </c>
      <c r="L174" s="24" t="s">
        <v>24</v>
      </c>
      <c r="M174" s="24"/>
      <c r="N174" s="149"/>
      <c r="O174" s="149"/>
      <c r="P174" s="149"/>
      <c r="Q174" s="149"/>
      <c r="R174" s="149"/>
      <c r="S174" s="149"/>
      <c r="T174" s="149"/>
      <c r="U174" s="149"/>
      <c r="V174" s="149"/>
      <c r="W174" s="149"/>
      <c r="X174" s="149"/>
      <c r="Y174" s="149"/>
      <c r="Z174" s="149"/>
      <c r="AA174" s="24" t="s">
        <v>1107</v>
      </c>
    </row>
    <row r="175" spans="1:27">
      <c r="A175" s="88" t="s">
        <v>1117</v>
      </c>
      <c r="B175" s="88" t="s">
        <v>1118</v>
      </c>
      <c r="C175" s="149" t="s">
        <v>1119</v>
      </c>
      <c r="D175" s="149"/>
      <c r="E175" s="88" t="s">
        <v>148</v>
      </c>
      <c r="F175" s="24" t="s">
        <v>24</v>
      </c>
      <c r="G175" s="24" t="s">
        <v>24</v>
      </c>
      <c r="H175" s="24" t="s">
        <v>24</v>
      </c>
      <c r="I175" s="24" t="s">
        <v>24</v>
      </c>
      <c r="J175" s="24" t="s">
        <v>24</v>
      </c>
      <c r="K175" s="24" t="s">
        <v>24</v>
      </c>
      <c r="L175" s="24" t="s">
        <v>24</v>
      </c>
      <c r="M175" s="24"/>
      <c r="N175" s="149"/>
      <c r="O175" s="149"/>
      <c r="P175" s="149"/>
      <c r="Q175" s="149"/>
      <c r="R175" s="149"/>
      <c r="S175" s="149"/>
      <c r="T175" s="149"/>
      <c r="U175" s="149"/>
      <c r="V175" s="149"/>
      <c r="W175" s="149"/>
      <c r="X175" s="149"/>
      <c r="Y175" s="149"/>
      <c r="Z175" s="149"/>
      <c r="AA175" s="24" t="s">
        <v>1107</v>
      </c>
    </row>
    <row r="176" spans="1:27">
      <c r="A176" s="88" t="s">
        <v>1120</v>
      </c>
      <c r="B176" s="88" t="s">
        <v>1121</v>
      </c>
      <c r="C176" s="149" t="s">
        <v>1122</v>
      </c>
      <c r="D176" s="149"/>
      <c r="E176" s="88" t="s">
        <v>148</v>
      </c>
      <c r="F176" s="24" t="s">
        <v>24</v>
      </c>
      <c r="G176" s="24" t="s">
        <v>24</v>
      </c>
      <c r="H176" s="24" t="s">
        <v>24</v>
      </c>
      <c r="I176" s="24" t="s">
        <v>24</v>
      </c>
      <c r="J176" s="24" t="s">
        <v>24</v>
      </c>
      <c r="K176" s="24" t="s">
        <v>24</v>
      </c>
      <c r="L176" s="24" t="s">
        <v>24</v>
      </c>
      <c r="M176" s="24"/>
      <c r="N176" s="149"/>
      <c r="O176" s="149"/>
      <c r="P176" s="149"/>
      <c r="Q176" s="149"/>
      <c r="R176" s="149"/>
      <c r="S176" s="149"/>
      <c r="T176" s="149"/>
      <c r="U176" s="149"/>
      <c r="V176" s="149"/>
      <c r="W176" s="149"/>
      <c r="X176" s="149"/>
      <c r="Y176" s="149"/>
      <c r="Z176" s="149"/>
      <c r="AA176" s="24" t="s">
        <v>1107</v>
      </c>
    </row>
    <row r="177" spans="1:27">
      <c r="A177" s="88" t="s">
        <v>1123</v>
      </c>
      <c r="B177" s="88" t="s">
        <v>1124</v>
      </c>
      <c r="C177" s="149" t="s">
        <v>1125</v>
      </c>
      <c r="D177" s="149"/>
      <c r="E177" s="88" t="s">
        <v>148</v>
      </c>
      <c r="F177" s="24" t="s">
        <v>24</v>
      </c>
      <c r="G177" s="24" t="s">
        <v>24</v>
      </c>
      <c r="H177" s="24" t="s">
        <v>24</v>
      </c>
      <c r="I177" s="24" t="s">
        <v>24</v>
      </c>
      <c r="J177" s="24" t="s">
        <v>24</v>
      </c>
      <c r="K177" s="24" t="s">
        <v>24</v>
      </c>
      <c r="L177" s="24" t="s">
        <v>24</v>
      </c>
      <c r="M177" s="24"/>
      <c r="N177" s="149"/>
      <c r="O177" s="149"/>
      <c r="P177" s="149"/>
      <c r="Q177" s="149"/>
      <c r="R177" s="149"/>
      <c r="S177" s="149"/>
      <c r="T177" s="149"/>
      <c r="U177" s="149"/>
      <c r="V177" s="149"/>
      <c r="W177" s="149"/>
      <c r="X177" s="149"/>
      <c r="Y177" s="149"/>
      <c r="Z177" s="149"/>
      <c r="AA177" s="24" t="s">
        <v>1107</v>
      </c>
    </row>
    <row r="178" spans="1:27">
      <c r="A178" s="88" t="s">
        <v>1126</v>
      </c>
      <c r="B178" s="88" t="s">
        <v>1127</v>
      </c>
      <c r="C178" s="149" t="s">
        <v>1128</v>
      </c>
      <c r="D178" s="149"/>
      <c r="E178" s="88" t="s">
        <v>148</v>
      </c>
      <c r="F178" s="24" t="s">
        <v>24</v>
      </c>
      <c r="G178" s="24" t="s">
        <v>24</v>
      </c>
      <c r="H178" s="24" t="s">
        <v>24</v>
      </c>
      <c r="I178" s="24" t="s">
        <v>24</v>
      </c>
      <c r="J178" s="24" t="s">
        <v>24</v>
      </c>
      <c r="K178" s="24" t="s">
        <v>24</v>
      </c>
      <c r="L178" s="24" t="s">
        <v>24</v>
      </c>
      <c r="M178" s="24"/>
      <c r="N178" s="149"/>
      <c r="O178" s="149"/>
      <c r="P178" s="149"/>
      <c r="Q178" s="149"/>
      <c r="R178" s="149"/>
      <c r="S178" s="149"/>
      <c r="T178" s="149"/>
      <c r="U178" s="149"/>
      <c r="V178" s="149"/>
      <c r="W178" s="149"/>
      <c r="X178" s="149"/>
      <c r="Y178" s="149"/>
      <c r="Z178" s="149"/>
      <c r="AA178" s="24" t="s">
        <v>1107</v>
      </c>
    </row>
    <row r="179" spans="1:27">
      <c r="A179" s="88" t="s">
        <v>1129</v>
      </c>
      <c r="B179" s="88" t="s">
        <v>1130</v>
      </c>
      <c r="C179" s="149" t="s">
        <v>1131</v>
      </c>
      <c r="D179" s="149"/>
      <c r="E179" s="88" t="s">
        <v>148</v>
      </c>
      <c r="F179" s="24" t="s">
        <v>24</v>
      </c>
      <c r="G179" s="24" t="s">
        <v>24</v>
      </c>
      <c r="H179" s="24" t="s">
        <v>24</v>
      </c>
      <c r="I179" s="24" t="s">
        <v>24</v>
      </c>
      <c r="J179" s="24" t="s">
        <v>24</v>
      </c>
      <c r="K179" s="24" t="s">
        <v>24</v>
      </c>
      <c r="L179" s="24" t="s">
        <v>24</v>
      </c>
      <c r="M179" s="24"/>
      <c r="N179" s="149"/>
      <c r="O179" s="149"/>
      <c r="P179" s="149"/>
      <c r="Q179" s="149"/>
      <c r="R179" s="149"/>
      <c r="S179" s="149"/>
      <c r="T179" s="149"/>
      <c r="U179" s="149"/>
      <c r="V179" s="149"/>
      <c r="W179" s="149"/>
      <c r="X179" s="149"/>
      <c r="Y179" s="149"/>
      <c r="Z179" s="149"/>
      <c r="AA179" s="24" t="s">
        <v>1107</v>
      </c>
    </row>
    <row r="180" spans="1:27">
      <c r="A180" s="88" t="s">
        <v>1132</v>
      </c>
      <c r="B180" s="88" t="s">
        <v>1133</v>
      </c>
      <c r="C180" s="149" t="s">
        <v>1134</v>
      </c>
      <c r="D180" s="149"/>
      <c r="E180" s="88" t="s">
        <v>148</v>
      </c>
      <c r="F180" s="24" t="s">
        <v>24</v>
      </c>
      <c r="G180" s="24" t="s">
        <v>24</v>
      </c>
      <c r="H180" s="24" t="s">
        <v>24</v>
      </c>
      <c r="I180" s="24" t="s">
        <v>24</v>
      </c>
      <c r="J180" s="24" t="s">
        <v>24</v>
      </c>
      <c r="K180" s="24" t="s">
        <v>24</v>
      </c>
      <c r="L180" s="24" t="s">
        <v>24</v>
      </c>
      <c r="M180" s="24"/>
      <c r="N180" s="149"/>
      <c r="O180" s="149"/>
      <c r="P180" s="149"/>
      <c r="Q180" s="149"/>
      <c r="R180" s="149"/>
      <c r="S180" s="149"/>
      <c r="T180" s="149"/>
      <c r="U180" s="149"/>
      <c r="V180" s="149"/>
      <c r="W180" s="149"/>
      <c r="X180" s="149"/>
      <c r="Y180" s="149"/>
      <c r="Z180" s="149"/>
      <c r="AA180" s="24" t="s">
        <v>1107</v>
      </c>
    </row>
    <row r="181" spans="1:27">
      <c r="A181" s="88" t="s">
        <v>1135</v>
      </c>
      <c r="B181" s="88" t="s">
        <v>1136</v>
      </c>
      <c r="C181" s="149" t="s">
        <v>1137</v>
      </c>
      <c r="D181" s="149"/>
      <c r="E181" s="88" t="s">
        <v>148</v>
      </c>
      <c r="F181" s="24" t="s">
        <v>24</v>
      </c>
      <c r="G181" s="24" t="s">
        <v>24</v>
      </c>
      <c r="H181" s="24" t="s">
        <v>24</v>
      </c>
      <c r="I181" s="24" t="s">
        <v>24</v>
      </c>
      <c r="J181" s="24" t="s">
        <v>24</v>
      </c>
      <c r="K181" s="24" t="s">
        <v>24</v>
      </c>
      <c r="L181" s="24" t="s">
        <v>24</v>
      </c>
      <c r="M181" s="24"/>
      <c r="N181" s="149"/>
      <c r="O181" s="149"/>
      <c r="P181" s="149"/>
      <c r="Q181" s="149"/>
      <c r="R181" s="149"/>
      <c r="S181" s="149"/>
      <c r="T181" s="149"/>
      <c r="U181" s="149"/>
      <c r="V181" s="149"/>
      <c r="W181" s="149"/>
      <c r="X181" s="149"/>
      <c r="Y181" s="149"/>
      <c r="Z181" s="149"/>
      <c r="AA181" s="24" t="s">
        <v>1107</v>
      </c>
    </row>
    <row r="182" spans="1:27">
      <c r="A182" s="88" t="s">
        <v>1138</v>
      </c>
      <c r="B182" s="88" t="s">
        <v>1139</v>
      </c>
      <c r="C182" s="149" t="s">
        <v>1140</v>
      </c>
      <c r="D182" s="149"/>
      <c r="E182" s="88" t="s">
        <v>148</v>
      </c>
      <c r="F182" s="24" t="s">
        <v>24</v>
      </c>
      <c r="G182" s="24" t="s">
        <v>24</v>
      </c>
      <c r="H182" s="24" t="s">
        <v>24</v>
      </c>
      <c r="I182" s="24" t="s">
        <v>24</v>
      </c>
      <c r="J182" s="24" t="s">
        <v>24</v>
      </c>
      <c r="K182" s="24" t="s">
        <v>24</v>
      </c>
      <c r="L182" s="24" t="s">
        <v>24</v>
      </c>
      <c r="M182" s="24"/>
      <c r="N182" s="149"/>
      <c r="O182" s="149"/>
      <c r="P182" s="149"/>
      <c r="Q182" s="149"/>
      <c r="R182" s="149"/>
      <c r="S182" s="149"/>
      <c r="T182" s="149"/>
      <c r="U182" s="149"/>
      <c r="V182" s="149"/>
      <c r="W182" s="149"/>
      <c r="X182" s="149"/>
      <c r="Y182" s="149"/>
      <c r="Z182" s="149"/>
      <c r="AA182" s="24" t="s">
        <v>1107</v>
      </c>
    </row>
    <row r="183" spans="1:27">
      <c r="A183" s="88" t="s">
        <v>1141</v>
      </c>
      <c r="B183" s="88" t="s">
        <v>1142</v>
      </c>
      <c r="C183" s="149" t="s">
        <v>1143</v>
      </c>
      <c r="D183" s="149"/>
      <c r="E183" s="88" t="s">
        <v>148</v>
      </c>
      <c r="F183" s="24" t="s">
        <v>24</v>
      </c>
      <c r="G183" s="24" t="s">
        <v>24</v>
      </c>
      <c r="H183" s="24" t="s">
        <v>24</v>
      </c>
      <c r="I183" s="24" t="s">
        <v>24</v>
      </c>
      <c r="J183" s="24" t="s">
        <v>24</v>
      </c>
      <c r="K183" s="24" t="s">
        <v>24</v>
      </c>
      <c r="L183" s="24" t="s">
        <v>24</v>
      </c>
      <c r="M183" s="24"/>
      <c r="N183" s="149"/>
      <c r="O183" s="149"/>
      <c r="P183" s="149"/>
      <c r="Q183" s="149"/>
      <c r="R183" s="149"/>
      <c r="S183" s="149"/>
      <c r="T183" s="149"/>
      <c r="U183" s="149"/>
      <c r="V183" s="149"/>
      <c r="W183" s="149"/>
      <c r="X183" s="149"/>
      <c r="Y183" s="149"/>
      <c r="Z183" s="149"/>
      <c r="AA183" s="24" t="s">
        <v>1107</v>
      </c>
    </row>
    <row r="184" spans="1:27">
      <c r="A184" s="88" t="s">
        <v>1144</v>
      </c>
      <c r="B184" s="88" t="s">
        <v>1145</v>
      </c>
      <c r="C184" s="149" t="s">
        <v>1146</v>
      </c>
      <c r="D184" s="149"/>
      <c r="E184" s="88" t="s">
        <v>148</v>
      </c>
      <c r="F184" s="24" t="s">
        <v>24</v>
      </c>
      <c r="G184" s="24" t="s">
        <v>24</v>
      </c>
      <c r="H184" s="24" t="s">
        <v>24</v>
      </c>
      <c r="I184" s="24" t="s">
        <v>24</v>
      </c>
      <c r="J184" s="24" t="s">
        <v>24</v>
      </c>
      <c r="K184" s="24" t="s">
        <v>24</v>
      </c>
      <c r="L184" s="24" t="s">
        <v>24</v>
      </c>
      <c r="M184" s="24"/>
      <c r="N184" s="149"/>
      <c r="O184" s="149"/>
      <c r="P184" s="149"/>
      <c r="Q184" s="149"/>
      <c r="R184" s="149"/>
      <c r="S184" s="149"/>
      <c r="T184" s="149"/>
      <c r="U184" s="149"/>
      <c r="V184" s="149"/>
      <c r="W184" s="149"/>
      <c r="X184" s="149"/>
      <c r="Y184" s="149"/>
      <c r="Z184" s="149"/>
      <c r="AA184" s="24" t="s">
        <v>1107</v>
      </c>
    </row>
    <row r="185" spans="1:27">
      <c r="A185" s="88" t="s">
        <v>1147</v>
      </c>
      <c r="B185" s="88" t="s">
        <v>1148</v>
      </c>
      <c r="C185" s="149" t="s">
        <v>1149</v>
      </c>
      <c r="D185" s="149"/>
      <c r="E185" s="88" t="s">
        <v>148</v>
      </c>
      <c r="F185" s="24" t="s">
        <v>24</v>
      </c>
      <c r="G185" s="24" t="s">
        <v>24</v>
      </c>
      <c r="H185" s="24" t="s">
        <v>24</v>
      </c>
      <c r="I185" s="24" t="s">
        <v>24</v>
      </c>
      <c r="J185" s="24" t="s">
        <v>24</v>
      </c>
      <c r="K185" s="24" t="s">
        <v>24</v>
      </c>
      <c r="L185" s="24" t="s">
        <v>24</v>
      </c>
      <c r="M185" s="24"/>
      <c r="N185" s="149"/>
      <c r="O185" s="149"/>
      <c r="P185" s="149"/>
      <c r="Q185" s="149"/>
      <c r="R185" s="149"/>
      <c r="S185" s="149"/>
      <c r="T185" s="149"/>
      <c r="U185" s="149"/>
      <c r="V185" s="149"/>
      <c r="W185" s="149"/>
      <c r="X185" s="149"/>
      <c r="Y185" s="149"/>
      <c r="Z185" s="149"/>
      <c r="AA185" s="24" t="s">
        <v>1107</v>
      </c>
    </row>
    <row r="186" spans="1:27">
      <c r="A186" s="88" t="s">
        <v>1150</v>
      </c>
      <c r="B186" s="88" t="s">
        <v>1151</v>
      </c>
      <c r="C186" s="149" t="s">
        <v>1152</v>
      </c>
      <c r="D186" s="149"/>
      <c r="E186" s="88" t="s">
        <v>148</v>
      </c>
      <c r="F186" s="24" t="s">
        <v>24</v>
      </c>
      <c r="G186" s="24" t="s">
        <v>24</v>
      </c>
      <c r="H186" s="24" t="s">
        <v>24</v>
      </c>
      <c r="I186" s="24" t="s">
        <v>24</v>
      </c>
      <c r="J186" s="24" t="s">
        <v>24</v>
      </c>
      <c r="K186" s="24" t="s">
        <v>24</v>
      </c>
      <c r="L186" s="24" t="s">
        <v>24</v>
      </c>
      <c r="M186" s="24"/>
      <c r="N186" s="149"/>
      <c r="O186" s="149"/>
      <c r="P186" s="149"/>
      <c r="Q186" s="149"/>
      <c r="R186" s="149"/>
      <c r="S186" s="149"/>
      <c r="T186" s="149"/>
      <c r="U186" s="149"/>
      <c r="V186" s="149"/>
      <c r="W186" s="149"/>
      <c r="X186" s="149"/>
      <c r="Y186" s="149"/>
      <c r="Z186" s="149"/>
      <c r="AA186" s="24" t="s">
        <v>1107</v>
      </c>
    </row>
    <row r="187" spans="1:27">
      <c r="A187" s="88" t="s">
        <v>1153</v>
      </c>
      <c r="B187" s="88" t="s">
        <v>1154</v>
      </c>
      <c r="C187" s="149" t="s">
        <v>1155</v>
      </c>
      <c r="D187" s="149"/>
      <c r="E187" s="88" t="s">
        <v>148</v>
      </c>
      <c r="F187" s="24" t="s">
        <v>24</v>
      </c>
      <c r="G187" s="24" t="s">
        <v>24</v>
      </c>
      <c r="H187" s="24" t="s">
        <v>24</v>
      </c>
      <c r="I187" s="24" t="s">
        <v>24</v>
      </c>
      <c r="J187" s="24" t="s">
        <v>24</v>
      </c>
      <c r="K187" s="24" t="s">
        <v>24</v>
      </c>
      <c r="L187" s="24" t="s">
        <v>24</v>
      </c>
      <c r="M187" s="24"/>
      <c r="N187" s="149"/>
      <c r="O187" s="149"/>
      <c r="P187" s="149"/>
      <c r="Q187" s="149"/>
      <c r="R187" s="149"/>
      <c r="S187" s="149"/>
      <c r="T187" s="149"/>
      <c r="U187" s="149"/>
      <c r="V187" s="149"/>
      <c r="W187" s="149"/>
      <c r="X187" s="149"/>
      <c r="Y187" s="149"/>
      <c r="Z187" s="149"/>
      <c r="AA187" s="24" t="s">
        <v>1107</v>
      </c>
    </row>
    <row r="188" spans="1:27">
      <c r="A188" s="88" t="s">
        <v>1156</v>
      </c>
      <c r="B188" s="88" t="s">
        <v>1157</v>
      </c>
      <c r="C188" s="149" t="s">
        <v>1158</v>
      </c>
      <c r="D188" s="149"/>
      <c r="E188" s="88" t="s">
        <v>148</v>
      </c>
      <c r="F188" s="24" t="s">
        <v>24</v>
      </c>
      <c r="G188" s="24" t="s">
        <v>24</v>
      </c>
      <c r="H188" s="24" t="s">
        <v>24</v>
      </c>
      <c r="I188" s="24" t="s">
        <v>24</v>
      </c>
      <c r="J188" s="24" t="s">
        <v>24</v>
      </c>
      <c r="K188" s="24" t="s">
        <v>24</v>
      </c>
      <c r="L188" s="24" t="s">
        <v>24</v>
      </c>
      <c r="M188" s="24"/>
      <c r="N188" s="149"/>
      <c r="O188" s="149"/>
      <c r="P188" s="149"/>
      <c r="Q188" s="149"/>
      <c r="R188" s="149"/>
      <c r="S188" s="149"/>
      <c r="T188" s="149"/>
      <c r="U188" s="149"/>
      <c r="V188" s="149"/>
      <c r="W188" s="149"/>
      <c r="X188" s="149"/>
      <c r="Y188" s="149"/>
      <c r="Z188" s="149"/>
      <c r="AA188" s="24" t="s">
        <v>1107</v>
      </c>
    </row>
    <row r="189" spans="1:27">
      <c r="A189" s="88" t="s">
        <v>1159</v>
      </c>
      <c r="B189" s="88" t="s">
        <v>1160</v>
      </c>
      <c r="C189" s="149" t="s">
        <v>1161</v>
      </c>
      <c r="D189" s="149"/>
      <c r="E189" s="88" t="s">
        <v>148</v>
      </c>
      <c r="F189" s="24" t="s">
        <v>24</v>
      </c>
      <c r="G189" s="24" t="s">
        <v>24</v>
      </c>
      <c r="H189" s="24" t="s">
        <v>24</v>
      </c>
      <c r="I189" s="24" t="s">
        <v>24</v>
      </c>
      <c r="J189" s="24" t="s">
        <v>24</v>
      </c>
      <c r="K189" s="24" t="s">
        <v>24</v>
      </c>
      <c r="L189" s="24" t="s">
        <v>24</v>
      </c>
      <c r="M189" s="24"/>
      <c r="N189" s="149"/>
      <c r="O189" s="149"/>
      <c r="P189" s="149"/>
      <c r="Q189" s="149"/>
      <c r="R189" s="149"/>
      <c r="S189" s="149"/>
      <c r="T189" s="149"/>
      <c r="U189" s="149"/>
      <c r="V189" s="149"/>
      <c r="W189" s="149"/>
      <c r="X189" s="149"/>
      <c r="Y189" s="149"/>
      <c r="Z189" s="149"/>
      <c r="AA189" s="24" t="s">
        <v>1107</v>
      </c>
    </row>
    <row r="190" spans="1:27">
      <c r="A190" s="88" t="s">
        <v>1162</v>
      </c>
      <c r="B190" s="88" t="s">
        <v>1163</v>
      </c>
      <c r="C190" s="149" t="s">
        <v>1164</v>
      </c>
      <c r="D190" s="149"/>
      <c r="E190" s="88" t="s">
        <v>148</v>
      </c>
      <c r="F190" s="24" t="s">
        <v>24</v>
      </c>
      <c r="G190" s="24" t="s">
        <v>24</v>
      </c>
      <c r="H190" s="24" t="s">
        <v>24</v>
      </c>
      <c r="I190" s="24" t="s">
        <v>24</v>
      </c>
      <c r="J190" s="24" t="s">
        <v>24</v>
      </c>
      <c r="K190" s="24" t="s">
        <v>24</v>
      </c>
      <c r="L190" s="24" t="s">
        <v>24</v>
      </c>
      <c r="M190" s="24"/>
      <c r="N190" s="149"/>
      <c r="O190" s="149"/>
      <c r="P190" s="149"/>
      <c r="Q190" s="149"/>
      <c r="R190" s="149"/>
      <c r="S190" s="149"/>
      <c r="T190" s="149"/>
      <c r="U190" s="149"/>
      <c r="V190" s="149"/>
      <c r="W190" s="149"/>
      <c r="X190" s="149"/>
      <c r="Y190" s="149"/>
      <c r="Z190" s="149"/>
      <c r="AA190" s="24" t="s">
        <v>1107</v>
      </c>
    </row>
    <row r="191" spans="1:27">
      <c r="A191" s="88" t="s">
        <v>1165</v>
      </c>
      <c r="B191" s="88" t="s">
        <v>1166</v>
      </c>
      <c r="C191" s="149" t="s">
        <v>1167</v>
      </c>
      <c r="D191" s="149"/>
      <c r="E191" s="88" t="s">
        <v>148</v>
      </c>
      <c r="F191" s="24" t="s">
        <v>24</v>
      </c>
      <c r="G191" s="24" t="s">
        <v>24</v>
      </c>
      <c r="H191" s="24" t="s">
        <v>24</v>
      </c>
      <c r="I191" s="24" t="s">
        <v>24</v>
      </c>
      <c r="J191" s="24" t="s">
        <v>24</v>
      </c>
      <c r="K191" s="24" t="s">
        <v>24</v>
      </c>
      <c r="L191" s="24" t="s">
        <v>24</v>
      </c>
      <c r="M191" s="24"/>
      <c r="N191" s="149"/>
      <c r="O191" s="149"/>
      <c r="P191" s="149"/>
      <c r="Q191" s="149"/>
      <c r="R191" s="149"/>
      <c r="S191" s="149"/>
      <c r="T191" s="149"/>
      <c r="U191" s="149"/>
      <c r="V191" s="149"/>
      <c r="W191" s="149"/>
      <c r="X191" s="149"/>
      <c r="Y191" s="149"/>
      <c r="Z191" s="149"/>
      <c r="AA191" s="24" t="s">
        <v>1107</v>
      </c>
    </row>
    <row r="192" spans="1:27">
      <c r="A192" s="88" t="s">
        <v>1168</v>
      </c>
      <c r="B192" s="88" t="s">
        <v>1169</v>
      </c>
      <c r="C192" s="149" t="s">
        <v>1170</v>
      </c>
      <c r="D192" s="149"/>
      <c r="E192" s="88" t="s">
        <v>148</v>
      </c>
      <c r="F192" s="24" t="s">
        <v>24</v>
      </c>
      <c r="G192" s="24" t="s">
        <v>24</v>
      </c>
      <c r="H192" s="24" t="s">
        <v>24</v>
      </c>
      <c r="I192" s="24" t="s">
        <v>24</v>
      </c>
      <c r="J192" s="24" t="s">
        <v>24</v>
      </c>
      <c r="K192" s="24" t="s">
        <v>24</v>
      </c>
      <c r="L192" s="24" t="s">
        <v>24</v>
      </c>
      <c r="M192" s="24"/>
      <c r="N192" s="149"/>
      <c r="O192" s="149"/>
      <c r="P192" s="149"/>
      <c r="Q192" s="149"/>
      <c r="R192" s="149"/>
      <c r="S192" s="149"/>
      <c r="T192" s="149"/>
      <c r="U192" s="149"/>
      <c r="V192" s="149"/>
      <c r="W192" s="149"/>
      <c r="X192" s="149"/>
      <c r="Y192" s="149"/>
      <c r="Z192" s="149"/>
      <c r="AA192" s="24" t="s">
        <v>1107</v>
      </c>
    </row>
    <row r="193" spans="1:27">
      <c r="A193" s="88" t="s">
        <v>1171</v>
      </c>
      <c r="B193" s="88" t="s">
        <v>1172</v>
      </c>
      <c r="C193" s="149" t="s">
        <v>1173</v>
      </c>
      <c r="D193" s="149"/>
      <c r="E193" s="88" t="s">
        <v>148</v>
      </c>
      <c r="F193" s="24" t="s">
        <v>24</v>
      </c>
      <c r="G193" s="24" t="s">
        <v>24</v>
      </c>
      <c r="H193" s="24" t="s">
        <v>24</v>
      </c>
      <c r="I193" s="24" t="s">
        <v>24</v>
      </c>
      <c r="J193" s="24" t="s">
        <v>24</v>
      </c>
      <c r="K193" s="24" t="s">
        <v>24</v>
      </c>
      <c r="L193" s="24" t="s">
        <v>24</v>
      </c>
      <c r="M193" s="24"/>
      <c r="N193" s="149"/>
      <c r="O193" s="149"/>
      <c r="P193" s="149"/>
      <c r="Q193" s="149"/>
      <c r="R193" s="149"/>
      <c r="S193" s="149"/>
      <c r="T193" s="149"/>
      <c r="U193" s="149"/>
      <c r="V193" s="149"/>
      <c r="W193" s="149"/>
      <c r="X193" s="149"/>
      <c r="Y193" s="149"/>
      <c r="Z193" s="149"/>
      <c r="AA193" s="24" t="s">
        <v>1107</v>
      </c>
    </row>
    <row r="194" spans="1:27">
      <c r="A194" s="88" t="s">
        <v>1174</v>
      </c>
      <c r="B194" s="88" t="s">
        <v>1175</v>
      </c>
      <c r="C194" s="149" t="s">
        <v>1176</v>
      </c>
      <c r="D194" s="149"/>
      <c r="E194" s="88" t="s">
        <v>148</v>
      </c>
      <c r="F194" s="24" t="s">
        <v>24</v>
      </c>
      <c r="G194" s="24" t="s">
        <v>24</v>
      </c>
      <c r="H194" s="24" t="s">
        <v>24</v>
      </c>
      <c r="I194" s="24" t="s">
        <v>24</v>
      </c>
      <c r="J194" s="24" t="s">
        <v>24</v>
      </c>
      <c r="K194" s="24" t="s">
        <v>24</v>
      </c>
      <c r="L194" s="24" t="s">
        <v>24</v>
      </c>
      <c r="M194" s="24"/>
      <c r="N194" s="149"/>
      <c r="O194" s="149"/>
      <c r="P194" s="149"/>
      <c r="Q194" s="149"/>
      <c r="R194" s="149"/>
      <c r="S194" s="149"/>
      <c r="T194" s="149"/>
      <c r="U194" s="149"/>
      <c r="V194" s="149"/>
      <c r="W194" s="149"/>
      <c r="X194" s="149"/>
      <c r="Y194" s="149"/>
      <c r="Z194" s="149"/>
      <c r="AA194" s="24" t="s">
        <v>1107</v>
      </c>
    </row>
    <row r="195" spans="1:27">
      <c r="A195" s="88" t="s">
        <v>1177</v>
      </c>
      <c r="B195" s="88" t="s">
        <v>1178</v>
      </c>
      <c r="C195" s="149" t="s">
        <v>1179</v>
      </c>
      <c r="D195" s="149"/>
      <c r="E195" s="88" t="s">
        <v>148</v>
      </c>
      <c r="F195" s="24" t="s">
        <v>24</v>
      </c>
      <c r="G195" s="24" t="s">
        <v>24</v>
      </c>
      <c r="H195" s="24" t="s">
        <v>24</v>
      </c>
      <c r="I195" s="24" t="s">
        <v>24</v>
      </c>
      <c r="J195" s="24" t="s">
        <v>24</v>
      </c>
      <c r="K195" s="24" t="s">
        <v>24</v>
      </c>
      <c r="L195" s="24" t="s">
        <v>24</v>
      </c>
      <c r="M195" s="24"/>
      <c r="N195" s="149"/>
      <c r="O195" s="149"/>
      <c r="P195" s="149"/>
      <c r="Q195" s="149"/>
      <c r="R195" s="149"/>
      <c r="S195" s="149"/>
      <c r="T195" s="149"/>
      <c r="U195" s="149"/>
      <c r="V195" s="149"/>
      <c r="W195" s="149"/>
      <c r="X195" s="149"/>
      <c r="Y195" s="149"/>
      <c r="Z195" s="149"/>
      <c r="AA195" s="24" t="s">
        <v>1107</v>
      </c>
    </row>
    <row r="196" spans="1:27">
      <c r="A196" s="88" t="s">
        <v>1180</v>
      </c>
      <c r="B196" s="88" t="s">
        <v>1181</v>
      </c>
      <c r="C196" s="149" t="s">
        <v>1182</v>
      </c>
      <c r="D196" s="149"/>
      <c r="E196" s="88" t="s">
        <v>148</v>
      </c>
      <c r="F196" s="24" t="s">
        <v>24</v>
      </c>
      <c r="G196" s="24" t="s">
        <v>24</v>
      </c>
      <c r="H196" s="24" t="s">
        <v>24</v>
      </c>
      <c r="I196" s="24" t="s">
        <v>24</v>
      </c>
      <c r="J196" s="24" t="s">
        <v>24</v>
      </c>
      <c r="K196" s="24" t="s">
        <v>24</v>
      </c>
      <c r="L196" s="24" t="s">
        <v>24</v>
      </c>
      <c r="M196" s="24"/>
      <c r="N196" s="149"/>
      <c r="O196" s="149"/>
      <c r="P196" s="149"/>
      <c r="Q196" s="149"/>
      <c r="R196" s="149"/>
      <c r="S196" s="149"/>
      <c r="T196" s="149"/>
      <c r="U196" s="149"/>
      <c r="V196" s="149"/>
      <c r="W196" s="149"/>
      <c r="X196" s="149"/>
      <c r="Y196" s="149"/>
      <c r="Z196" s="149"/>
      <c r="AA196" s="24" t="s">
        <v>1107</v>
      </c>
    </row>
    <row r="197" spans="1:27">
      <c r="A197" s="88" t="s">
        <v>1183</v>
      </c>
      <c r="B197" s="88" t="s">
        <v>1184</v>
      </c>
      <c r="C197" s="149" t="s">
        <v>1185</v>
      </c>
      <c r="D197" s="149"/>
      <c r="E197" s="88" t="s">
        <v>148</v>
      </c>
      <c r="F197" s="24" t="s">
        <v>24</v>
      </c>
      <c r="G197" s="24" t="s">
        <v>24</v>
      </c>
      <c r="H197" s="24" t="s">
        <v>24</v>
      </c>
      <c r="I197" s="24" t="s">
        <v>24</v>
      </c>
      <c r="J197" s="24" t="s">
        <v>24</v>
      </c>
      <c r="K197" s="24" t="s">
        <v>24</v>
      </c>
      <c r="L197" s="24" t="s">
        <v>24</v>
      </c>
      <c r="M197" s="24"/>
      <c r="N197" s="149"/>
      <c r="O197" s="149"/>
      <c r="P197" s="149"/>
      <c r="Q197" s="149"/>
      <c r="R197" s="149"/>
      <c r="S197" s="149"/>
      <c r="T197" s="149"/>
      <c r="U197" s="149"/>
      <c r="V197" s="149"/>
      <c r="W197" s="149"/>
      <c r="X197" s="149"/>
      <c r="Y197" s="149"/>
      <c r="Z197" s="149"/>
      <c r="AA197" s="24" t="s">
        <v>1107</v>
      </c>
    </row>
    <row r="198" spans="1:27">
      <c r="A198" s="88" t="s">
        <v>1186</v>
      </c>
      <c r="B198" s="88" t="s">
        <v>1187</v>
      </c>
      <c r="C198" s="149" t="s">
        <v>1188</v>
      </c>
      <c r="D198" s="149"/>
      <c r="E198" s="88" t="s">
        <v>148</v>
      </c>
      <c r="F198" s="24" t="s">
        <v>24</v>
      </c>
      <c r="G198" s="24" t="s">
        <v>24</v>
      </c>
      <c r="H198" s="24" t="s">
        <v>24</v>
      </c>
      <c r="I198" s="24" t="s">
        <v>24</v>
      </c>
      <c r="J198" s="24" t="s">
        <v>24</v>
      </c>
      <c r="K198" s="24" t="s">
        <v>24</v>
      </c>
      <c r="L198" s="24" t="s">
        <v>24</v>
      </c>
      <c r="M198" s="24"/>
      <c r="N198" s="149"/>
      <c r="O198" s="149"/>
      <c r="P198" s="149"/>
      <c r="Q198" s="149"/>
      <c r="R198" s="149"/>
      <c r="S198" s="149"/>
      <c r="T198" s="149"/>
      <c r="U198" s="149"/>
      <c r="V198" s="149"/>
      <c r="W198" s="149"/>
      <c r="X198" s="149"/>
      <c r="Y198" s="149"/>
      <c r="Z198" s="149"/>
      <c r="AA198" s="24" t="s">
        <v>1107</v>
      </c>
    </row>
    <row r="199" spans="1:27">
      <c r="A199" s="88" t="s">
        <v>1189</v>
      </c>
      <c r="B199" s="88" t="s">
        <v>1190</v>
      </c>
      <c r="C199" s="149" t="s">
        <v>1191</v>
      </c>
      <c r="D199" s="149"/>
      <c r="E199" s="88" t="s">
        <v>148</v>
      </c>
      <c r="F199" s="24" t="s">
        <v>24</v>
      </c>
      <c r="G199" s="24" t="s">
        <v>24</v>
      </c>
      <c r="H199" s="24" t="s">
        <v>24</v>
      </c>
      <c r="I199" s="24" t="s">
        <v>24</v>
      </c>
      <c r="J199" s="24" t="s">
        <v>24</v>
      </c>
      <c r="K199" s="24" t="s">
        <v>24</v>
      </c>
      <c r="L199" s="24" t="s">
        <v>24</v>
      </c>
      <c r="M199" s="24"/>
      <c r="N199" s="149"/>
      <c r="O199" s="149"/>
      <c r="P199" s="149"/>
      <c r="Q199" s="149"/>
      <c r="R199" s="149"/>
      <c r="S199" s="149"/>
      <c r="T199" s="149"/>
      <c r="U199" s="149"/>
      <c r="V199" s="149"/>
      <c r="W199" s="149"/>
      <c r="X199" s="149"/>
      <c r="Y199" s="149"/>
      <c r="Z199" s="149"/>
      <c r="AA199" s="24" t="s">
        <v>1107</v>
      </c>
    </row>
    <row r="200" spans="1:27">
      <c r="A200" s="88" t="s">
        <v>1192</v>
      </c>
      <c r="B200" s="88" t="s">
        <v>1193</v>
      </c>
      <c r="C200" s="149" t="s">
        <v>1194</v>
      </c>
      <c r="D200" s="149"/>
      <c r="E200" s="88" t="s">
        <v>148</v>
      </c>
      <c r="F200" s="24" t="s">
        <v>24</v>
      </c>
      <c r="G200" s="24" t="s">
        <v>24</v>
      </c>
      <c r="H200" s="24" t="s">
        <v>24</v>
      </c>
      <c r="I200" s="24" t="s">
        <v>24</v>
      </c>
      <c r="J200" s="24" t="s">
        <v>24</v>
      </c>
      <c r="K200" s="24" t="s">
        <v>24</v>
      </c>
      <c r="L200" s="24" t="s">
        <v>24</v>
      </c>
      <c r="M200" s="24"/>
      <c r="N200" s="149"/>
      <c r="O200" s="149"/>
      <c r="P200" s="149"/>
      <c r="Q200" s="149"/>
      <c r="R200" s="149"/>
      <c r="S200" s="149"/>
      <c r="T200" s="149"/>
      <c r="U200" s="149"/>
      <c r="V200" s="149"/>
      <c r="W200" s="149"/>
      <c r="X200" s="149"/>
      <c r="Y200" s="149"/>
      <c r="Z200" s="149"/>
      <c r="AA200" s="24" t="s">
        <v>1107</v>
      </c>
    </row>
    <row r="201" spans="1:27">
      <c r="A201" s="88" t="s">
        <v>1195</v>
      </c>
      <c r="B201" s="88" t="s">
        <v>1196</v>
      </c>
      <c r="C201" s="149" t="s">
        <v>1197</v>
      </c>
      <c r="D201" s="149"/>
      <c r="E201" s="88" t="s">
        <v>148</v>
      </c>
      <c r="F201" s="24" t="s">
        <v>24</v>
      </c>
      <c r="G201" s="24" t="s">
        <v>24</v>
      </c>
      <c r="H201" s="24" t="s">
        <v>24</v>
      </c>
      <c r="I201" s="24" t="s">
        <v>24</v>
      </c>
      <c r="J201" s="24" t="s">
        <v>24</v>
      </c>
      <c r="K201" s="24" t="s">
        <v>24</v>
      </c>
      <c r="L201" s="24" t="s">
        <v>24</v>
      </c>
      <c r="M201" s="24"/>
      <c r="N201" s="149"/>
      <c r="O201" s="149"/>
      <c r="P201" s="149"/>
      <c r="Q201" s="149"/>
      <c r="R201" s="149"/>
      <c r="S201" s="149"/>
      <c r="T201" s="149"/>
      <c r="U201" s="149"/>
      <c r="V201" s="149"/>
      <c r="W201" s="149"/>
      <c r="X201" s="149"/>
      <c r="Y201" s="149"/>
      <c r="Z201" s="149"/>
      <c r="AA201" s="24" t="s">
        <v>1107</v>
      </c>
    </row>
    <row r="202" spans="1:27">
      <c r="A202" s="88" t="s">
        <v>1198</v>
      </c>
      <c r="B202" s="88" t="s">
        <v>1199</v>
      </c>
      <c r="C202" s="149" t="s">
        <v>1200</v>
      </c>
      <c r="D202" s="149"/>
      <c r="E202" s="88" t="s">
        <v>148</v>
      </c>
      <c r="F202" s="24" t="s">
        <v>24</v>
      </c>
      <c r="G202" s="24" t="s">
        <v>24</v>
      </c>
      <c r="H202" s="24" t="s">
        <v>24</v>
      </c>
      <c r="I202" s="24" t="s">
        <v>24</v>
      </c>
      <c r="J202" s="24" t="s">
        <v>24</v>
      </c>
      <c r="K202" s="24" t="s">
        <v>24</v>
      </c>
      <c r="L202" s="24" t="s">
        <v>24</v>
      </c>
      <c r="M202" s="24"/>
      <c r="N202" s="149"/>
      <c r="O202" s="149"/>
      <c r="P202" s="149"/>
      <c r="Q202" s="149"/>
      <c r="R202" s="149"/>
      <c r="S202" s="149"/>
      <c r="T202" s="149"/>
      <c r="U202" s="149"/>
      <c r="V202" s="149"/>
      <c r="W202" s="149"/>
      <c r="X202" s="149"/>
      <c r="Y202" s="149"/>
      <c r="Z202" s="149"/>
      <c r="AA202" s="24" t="s">
        <v>1107</v>
      </c>
    </row>
    <row r="203" spans="1:27">
      <c r="A203" s="88" t="s">
        <v>1201</v>
      </c>
      <c r="B203" s="88" t="s">
        <v>1202</v>
      </c>
      <c r="C203" s="149" t="s">
        <v>1203</v>
      </c>
      <c r="D203" s="149"/>
      <c r="E203" s="88" t="s">
        <v>148</v>
      </c>
      <c r="F203" s="24" t="s">
        <v>24</v>
      </c>
      <c r="G203" s="24" t="s">
        <v>24</v>
      </c>
      <c r="H203" s="24" t="s">
        <v>24</v>
      </c>
      <c r="I203" s="24" t="s">
        <v>24</v>
      </c>
      <c r="J203" s="24" t="s">
        <v>24</v>
      </c>
      <c r="K203" s="24" t="s">
        <v>24</v>
      </c>
      <c r="L203" s="24" t="s">
        <v>24</v>
      </c>
      <c r="M203" s="24"/>
      <c r="N203" s="149"/>
      <c r="O203" s="149"/>
      <c r="P203" s="149"/>
      <c r="Q203" s="149"/>
      <c r="R203" s="149"/>
      <c r="S203" s="149"/>
      <c r="T203" s="149"/>
      <c r="U203" s="149"/>
      <c r="V203" s="149"/>
      <c r="W203" s="149"/>
      <c r="X203" s="149"/>
      <c r="Y203" s="149"/>
      <c r="Z203" s="149"/>
      <c r="AA203" s="24" t="s">
        <v>1107</v>
      </c>
    </row>
    <row r="204" spans="1:27">
      <c r="A204" s="88" t="s">
        <v>1204</v>
      </c>
      <c r="B204" s="88" t="s">
        <v>1205</v>
      </c>
      <c r="C204" s="149" t="s">
        <v>1206</v>
      </c>
      <c r="D204" s="149"/>
      <c r="E204" s="88" t="s">
        <v>148</v>
      </c>
      <c r="F204" s="24" t="s">
        <v>24</v>
      </c>
      <c r="G204" s="24" t="s">
        <v>24</v>
      </c>
      <c r="H204" s="24" t="s">
        <v>24</v>
      </c>
      <c r="I204" s="24" t="s">
        <v>24</v>
      </c>
      <c r="J204" s="24" t="s">
        <v>24</v>
      </c>
      <c r="K204" s="24" t="s">
        <v>24</v>
      </c>
      <c r="L204" s="24" t="s">
        <v>24</v>
      </c>
      <c r="M204" s="24"/>
      <c r="N204" s="149"/>
      <c r="O204" s="149"/>
      <c r="P204" s="149"/>
      <c r="Q204" s="149"/>
      <c r="R204" s="149"/>
      <c r="S204" s="149"/>
      <c r="T204" s="149"/>
      <c r="U204" s="149"/>
      <c r="V204" s="149"/>
      <c r="W204" s="149"/>
      <c r="X204" s="149"/>
      <c r="Y204" s="149"/>
      <c r="Z204" s="149"/>
      <c r="AA204" s="24" t="s">
        <v>1107</v>
      </c>
    </row>
    <row r="205" spans="1:27">
      <c r="A205" s="88" t="s">
        <v>1207</v>
      </c>
      <c r="B205" s="88" t="s">
        <v>1208</v>
      </c>
      <c r="C205" s="149" t="s">
        <v>1209</v>
      </c>
      <c r="D205" s="149"/>
      <c r="E205" s="88" t="s">
        <v>148</v>
      </c>
      <c r="F205" s="24" t="s">
        <v>24</v>
      </c>
      <c r="G205" s="24" t="s">
        <v>24</v>
      </c>
      <c r="H205" s="24" t="s">
        <v>24</v>
      </c>
      <c r="I205" s="24" t="s">
        <v>24</v>
      </c>
      <c r="J205" s="24" t="s">
        <v>24</v>
      </c>
      <c r="K205" s="24" t="s">
        <v>24</v>
      </c>
      <c r="L205" s="24" t="s">
        <v>24</v>
      </c>
      <c r="M205" s="24"/>
      <c r="N205" s="149"/>
      <c r="O205" s="149"/>
      <c r="P205" s="149"/>
      <c r="Q205" s="149"/>
      <c r="R205" s="149"/>
      <c r="S205" s="149"/>
      <c r="T205" s="149"/>
      <c r="U205" s="149"/>
      <c r="V205" s="149"/>
      <c r="W205" s="149"/>
      <c r="X205" s="149"/>
      <c r="Y205" s="149"/>
      <c r="Z205" s="149"/>
      <c r="AA205" s="24" t="s">
        <v>1107</v>
      </c>
    </row>
    <row r="206" spans="1:27">
      <c r="A206" s="88" t="s">
        <v>1210</v>
      </c>
      <c r="B206" s="88" t="s">
        <v>1211</v>
      </c>
      <c r="C206" s="149" t="s">
        <v>1212</v>
      </c>
      <c r="D206" s="149"/>
      <c r="E206" s="88" t="s">
        <v>148</v>
      </c>
      <c r="F206" s="24" t="s">
        <v>24</v>
      </c>
      <c r="G206" s="24" t="s">
        <v>24</v>
      </c>
      <c r="H206" s="24" t="s">
        <v>24</v>
      </c>
      <c r="I206" s="24" t="s">
        <v>24</v>
      </c>
      <c r="J206" s="24" t="s">
        <v>24</v>
      </c>
      <c r="K206" s="24" t="s">
        <v>24</v>
      </c>
      <c r="L206" s="24" t="s">
        <v>24</v>
      </c>
      <c r="M206" s="24"/>
      <c r="N206" s="149"/>
      <c r="O206" s="149"/>
      <c r="P206" s="149"/>
      <c r="Q206" s="149"/>
      <c r="R206" s="149"/>
      <c r="S206" s="149"/>
      <c r="T206" s="149"/>
      <c r="U206" s="149"/>
      <c r="V206" s="149"/>
      <c r="W206" s="149"/>
      <c r="X206" s="149"/>
      <c r="Y206" s="149"/>
      <c r="Z206" s="149"/>
      <c r="AA206" s="24" t="s">
        <v>1107</v>
      </c>
    </row>
    <row r="207" spans="1:27">
      <c r="A207" s="88" t="s">
        <v>1213</v>
      </c>
      <c r="B207" s="88" t="s">
        <v>1214</v>
      </c>
      <c r="C207" s="149" t="s">
        <v>1215</v>
      </c>
      <c r="D207" s="149"/>
      <c r="E207" s="88" t="s">
        <v>148</v>
      </c>
      <c r="F207" s="24" t="s">
        <v>24</v>
      </c>
      <c r="G207" s="24" t="s">
        <v>24</v>
      </c>
      <c r="H207" s="24" t="s">
        <v>24</v>
      </c>
      <c r="I207" s="24" t="s">
        <v>24</v>
      </c>
      <c r="J207" s="24" t="s">
        <v>24</v>
      </c>
      <c r="K207" s="24" t="s">
        <v>24</v>
      </c>
      <c r="L207" s="24" t="s">
        <v>24</v>
      </c>
      <c r="M207" s="24"/>
      <c r="N207" s="149"/>
      <c r="O207" s="149"/>
      <c r="P207" s="149"/>
      <c r="Q207" s="149"/>
      <c r="R207" s="149"/>
      <c r="S207" s="149"/>
      <c r="T207" s="149"/>
      <c r="U207" s="149"/>
      <c r="V207" s="149"/>
      <c r="W207" s="149"/>
      <c r="X207" s="149"/>
      <c r="Y207" s="149"/>
      <c r="Z207" s="149"/>
      <c r="AA207" s="24" t="s">
        <v>1107</v>
      </c>
    </row>
    <row r="208" spans="1:27">
      <c r="A208" s="88" t="s">
        <v>1216</v>
      </c>
      <c r="B208" s="88" t="s">
        <v>1217</v>
      </c>
      <c r="C208" s="149" t="s">
        <v>1218</v>
      </c>
      <c r="D208" s="149"/>
      <c r="E208" s="88" t="s">
        <v>148</v>
      </c>
      <c r="F208" s="24" t="s">
        <v>24</v>
      </c>
      <c r="G208" s="24" t="s">
        <v>24</v>
      </c>
      <c r="H208" s="24" t="s">
        <v>24</v>
      </c>
      <c r="I208" s="24" t="s">
        <v>24</v>
      </c>
      <c r="J208" s="24" t="s">
        <v>24</v>
      </c>
      <c r="K208" s="24" t="s">
        <v>24</v>
      </c>
      <c r="L208" s="24" t="s">
        <v>24</v>
      </c>
      <c r="M208" s="24"/>
      <c r="N208" s="149"/>
      <c r="O208" s="149"/>
      <c r="P208" s="149"/>
      <c r="Q208" s="149"/>
      <c r="R208" s="149"/>
      <c r="S208" s="149"/>
      <c r="T208" s="149"/>
      <c r="U208" s="149"/>
      <c r="V208" s="149"/>
      <c r="W208" s="149"/>
      <c r="X208" s="149"/>
      <c r="Y208" s="149"/>
      <c r="Z208" s="149"/>
      <c r="AA208" s="24" t="s">
        <v>1107</v>
      </c>
    </row>
    <row r="209" spans="1:27">
      <c r="A209" s="88" t="s">
        <v>1219</v>
      </c>
      <c r="B209" s="88" t="s">
        <v>1220</v>
      </c>
      <c r="C209" s="149" t="s">
        <v>1221</v>
      </c>
      <c r="D209" s="149"/>
      <c r="E209" s="88" t="s">
        <v>148</v>
      </c>
      <c r="F209" s="24" t="s">
        <v>24</v>
      </c>
      <c r="G209" s="24" t="s">
        <v>24</v>
      </c>
      <c r="H209" s="24" t="s">
        <v>24</v>
      </c>
      <c r="I209" s="24" t="s">
        <v>24</v>
      </c>
      <c r="J209" s="24" t="s">
        <v>24</v>
      </c>
      <c r="K209" s="24" t="s">
        <v>24</v>
      </c>
      <c r="L209" s="24" t="s">
        <v>24</v>
      </c>
      <c r="M209" s="24"/>
      <c r="N209" s="149"/>
      <c r="O209" s="149"/>
      <c r="P209" s="149"/>
      <c r="Q209" s="149"/>
      <c r="R209" s="149"/>
      <c r="S209" s="149"/>
      <c r="T209" s="149"/>
      <c r="U209" s="149"/>
      <c r="V209" s="149"/>
      <c r="W209" s="149"/>
      <c r="X209" s="149"/>
      <c r="Y209" s="149"/>
      <c r="Z209" s="149"/>
      <c r="AA209" s="24" t="s">
        <v>1107</v>
      </c>
    </row>
    <row r="210" spans="1:27">
      <c r="A210" s="88" t="s">
        <v>1222</v>
      </c>
      <c r="B210" s="88" t="s">
        <v>1223</v>
      </c>
      <c r="C210" s="149" t="s">
        <v>1224</v>
      </c>
      <c r="D210" s="149"/>
      <c r="E210" s="88" t="s">
        <v>148</v>
      </c>
      <c r="F210" s="24" t="s">
        <v>24</v>
      </c>
      <c r="G210" s="24" t="s">
        <v>24</v>
      </c>
      <c r="H210" s="24" t="s">
        <v>24</v>
      </c>
      <c r="I210" s="24" t="s">
        <v>24</v>
      </c>
      <c r="J210" s="24" t="s">
        <v>24</v>
      </c>
      <c r="K210" s="24" t="s">
        <v>24</v>
      </c>
      <c r="L210" s="24" t="s">
        <v>24</v>
      </c>
      <c r="M210" s="24"/>
      <c r="N210" s="149"/>
      <c r="O210" s="149"/>
      <c r="P210" s="149"/>
      <c r="Q210" s="149"/>
      <c r="R210" s="149"/>
      <c r="S210" s="149"/>
      <c r="T210" s="149"/>
      <c r="U210" s="149"/>
      <c r="V210" s="149"/>
      <c r="W210" s="149"/>
      <c r="X210" s="149"/>
      <c r="Y210" s="149"/>
      <c r="Z210" s="149"/>
      <c r="AA210" s="24" t="s">
        <v>1107</v>
      </c>
    </row>
    <row r="211" spans="1:27">
      <c r="A211" s="88" t="s">
        <v>1225</v>
      </c>
      <c r="B211" s="88" t="s">
        <v>1226</v>
      </c>
      <c r="C211" s="149" t="s">
        <v>1227</v>
      </c>
      <c r="D211" s="149"/>
      <c r="E211" s="88" t="s">
        <v>148</v>
      </c>
      <c r="F211" s="24" t="s">
        <v>24</v>
      </c>
      <c r="G211" s="24" t="s">
        <v>24</v>
      </c>
      <c r="H211" s="24" t="s">
        <v>24</v>
      </c>
      <c r="I211" s="24" t="s">
        <v>24</v>
      </c>
      <c r="J211" s="24" t="s">
        <v>24</v>
      </c>
      <c r="K211" s="24" t="s">
        <v>24</v>
      </c>
      <c r="L211" s="24" t="s">
        <v>24</v>
      </c>
      <c r="M211" s="24"/>
      <c r="N211" s="149"/>
      <c r="O211" s="149"/>
      <c r="P211" s="149"/>
      <c r="Q211" s="149"/>
      <c r="R211" s="149"/>
      <c r="S211" s="149"/>
      <c r="T211" s="149"/>
      <c r="U211" s="149"/>
      <c r="V211" s="149"/>
      <c r="W211" s="149"/>
      <c r="X211" s="149"/>
      <c r="Y211" s="149"/>
      <c r="Z211" s="149"/>
      <c r="AA211" s="24" t="s">
        <v>1107</v>
      </c>
    </row>
    <row r="212" spans="1:27">
      <c r="A212" s="88" t="s">
        <v>1228</v>
      </c>
      <c r="B212" s="88" t="s">
        <v>1229</v>
      </c>
      <c r="C212" s="149" t="s">
        <v>1230</v>
      </c>
      <c r="D212" s="149"/>
      <c r="E212" s="88" t="s">
        <v>148</v>
      </c>
      <c r="F212" s="24" t="s">
        <v>24</v>
      </c>
      <c r="G212" s="24" t="s">
        <v>24</v>
      </c>
      <c r="H212" s="24" t="s">
        <v>24</v>
      </c>
      <c r="I212" s="24" t="s">
        <v>24</v>
      </c>
      <c r="J212" s="24" t="s">
        <v>24</v>
      </c>
      <c r="K212" s="24" t="s">
        <v>24</v>
      </c>
      <c r="L212" s="24" t="s">
        <v>24</v>
      </c>
      <c r="M212" s="24"/>
      <c r="N212" s="149"/>
      <c r="O212" s="149"/>
      <c r="P212" s="149"/>
      <c r="Q212" s="149"/>
      <c r="R212" s="149"/>
      <c r="S212" s="149"/>
      <c r="T212" s="149"/>
      <c r="U212" s="149"/>
      <c r="V212" s="149"/>
      <c r="W212" s="149"/>
      <c r="X212" s="149"/>
      <c r="Y212" s="149"/>
      <c r="Z212" s="149"/>
      <c r="AA212" s="24" t="s">
        <v>1107</v>
      </c>
    </row>
    <row r="213" spans="1:27">
      <c r="A213" s="88" t="s">
        <v>1231</v>
      </c>
      <c r="B213" s="88" t="s">
        <v>1232</v>
      </c>
      <c r="C213" s="149" t="s">
        <v>1233</v>
      </c>
      <c r="D213" s="149"/>
      <c r="E213" s="88" t="s">
        <v>148</v>
      </c>
      <c r="F213" s="24" t="s">
        <v>24</v>
      </c>
      <c r="G213" s="24" t="s">
        <v>24</v>
      </c>
      <c r="H213" s="24" t="s">
        <v>24</v>
      </c>
      <c r="I213" s="24" t="s">
        <v>24</v>
      </c>
      <c r="J213" s="24" t="s">
        <v>24</v>
      </c>
      <c r="K213" s="24" t="s">
        <v>24</v>
      </c>
      <c r="L213" s="24" t="s">
        <v>24</v>
      </c>
      <c r="M213" s="24"/>
      <c r="N213" s="149"/>
      <c r="O213" s="149"/>
      <c r="P213" s="149"/>
      <c r="Q213" s="149"/>
      <c r="R213" s="149"/>
      <c r="S213" s="149"/>
      <c r="T213" s="149"/>
      <c r="U213" s="149"/>
      <c r="V213" s="149"/>
      <c r="W213" s="149"/>
      <c r="X213" s="149"/>
      <c r="Y213" s="149"/>
      <c r="Z213" s="149"/>
      <c r="AA213" s="24" t="s">
        <v>1107</v>
      </c>
    </row>
    <row r="214" spans="1:27">
      <c r="A214" s="88" t="s">
        <v>1234</v>
      </c>
      <c r="B214" s="88" t="s">
        <v>1235</v>
      </c>
      <c r="C214" s="149" t="s">
        <v>1236</v>
      </c>
      <c r="D214" s="149"/>
      <c r="E214" s="88" t="s">
        <v>145</v>
      </c>
      <c r="F214" s="88" t="s">
        <v>145</v>
      </c>
      <c r="G214" s="88" t="s">
        <v>145</v>
      </c>
      <c r="H214" s="88" t="s">
        <v>145</v>
      </c>
      <c r="I214" s="88" t="s">
        <v>145</v>
      </c>
      <c r="J214" s="88" t="s">
        <v>145</v>
      </c>
      <c r="K214" s="88" t="s">
        <v>145</v>
      </c>
      <c r="L214" s="88" t="s">
        <v>145</v>
      </c>
      <c r="M214" s="24"/>
      <c r="N214" s="149"/>
      <c r="O214" s="149"/>
      <c r="P214" s="149"/>
      <c r="Q214" s="149"/>
      <c r="R214" s="149"/>
      <c r="S214" s="149"/>
      <c r="T214" s="149"/>
      <c r="U214" s="149"/>
      <c r="V214" s="149"/>
      <c r="W214" s="149"/>
      <c r="X214" s="149"/>
      <c r="Y214" s="149"/>
      <c r="Z214" s="149"/>
      <c r="AA214" s="24" t="s">
        <v>1107</v>
      </c>
    </row>
    <row r="215" spans="1:27">
      <c r="A215" s="88" t="s">
        <v>1237</v>
      </c>
      <c r="B215" s="88" t="s">
        <v>1238</v>
      </c>
      <c r="C215" s="149" t="s">
        <v>1239</v>
      </c>
      <c r="D215" s="149"/>
      <c r="E215" s="88" t="s">
        <v>148</v>
      </c>
      <c r="F215" s="24" t="s">
        <v>24</v>
      </c>
      <c r="G215" s="24" t="s">
        <v>24</v>
      </c>
      <c r="H215" s="24" t="s">
        <v>24</v>
      </c>
      <c r="I215" s="24" t="s">
        <v>24</v>
      </c>
      <c r="J215" s="24" t="s">
        <v>24</v>
      </c>
      <c r="K215" s="24" t="s">
        <v>24</v>
      </c>
      <c r="L215" s="24" t="s">
        <v>24</v>
      </c>
      <c r="M215" s="24"/>
      <c r="N215" s="149"/>
      <c r="O215" s="149"/>
      <c r="P215" s="149"/>
      <c r="Q215" s="149"/>
      <c r="R215" s="149"/>
      <c r="S215" s="149"/>
      <c r="T215" s="149"/>
      <c r="U215" s="149"/>
      <c r="V215" s="149"/>
      <c r="W215" s="149"/>
      <c r="X215" s="149"/>
      <c r="Y215" s="149"/>
      <c r="Z215" s="149"/>
      <c r="AA215" s="24" t="s">
        <v>1107</v>
      </c>
    </row>
    <row r="216" spans="1:27">
      <c r="A216" s="88" t="s">
        <v>1240</v>
      </c>
      <c r="B216" s="88" t="s">
        <v>1241</v>
      </c>
      <c r="C216" s="149" t="s">
        <v>1242</v>
      </c>
      <c r="D216" s="149"/>
      <c r="E216" s="88" t="s">
        <v>148</v>
      </c>
      <c r="F216" s="24" t="s">
        <v>24</v>
      </c>
      <c r="G216" s="24" t="s">
        <v>24</v>
      </c>
      <c r="H216" s="24" t="s">
        <v>24</v>
      </c>
      <c r="I216" s="24" t="s">
        <v>24</v>
      </c>
      <c r="J216" s="24" t="s">
        <v>24</v>
      </c>
      <c r="K216" s="24" t="s">
        <v>24</v>
      </c>
      <c r="L216" s="24" t="s">
        <v>24</v>
      </c>
      <c r="M216" s="24"/>
      <c r="N216" s="149"/>
      <c r="O216" s="149"/>
      <c r="P216" s="149"/>
      <c r="Q216" s="149"/>
      <c r="R216" s="149"/>
      <c r="S216" s="149"/>
      <c r="T216" s="149"/>
      <c r="U216" s="149"/>
      <c r="V216" s="149"/>
      <c r="W216" s="149"/>
      <c r="X216" s="149"/>
      <c r="Y216" s="149"/>
      <c r="Z216" s="149"/>
      <c r="AA216" s="24" t="s">
        <v>1107</v>
      </c>
    </row>
    <row r="217" spans="1:27">
      <c r="A217" s="88" t="s">
        <v>1243</v>
      </c>
      <c r="B217" s="88" t="s">
        <v>1244</v>
      </c>
      <c r="C217" s="149" t="s">
        <v>1245</v>
      </c>
      <c r="D217" s="149"/>
      <c r="E217" s="88" t="s">
        <v>148</v>
      </c>
      <c r="F217" s="24" t="s">
        <v>24</v>
      </c>
      <c r="G217" s="24" t="s">
        <v>24</v>
      </c>
      <c r="H217" s="24" t="s">
        <v>24</v>
      </c>
      <c r="I217" s="24" t="s">
        <v>24</v>
      </c>
      <c r="J217" s="24" t="s">
        <v>24</v>
      </c>
      <c r="K217" s="24" t="s">
        <v>24</v>
      </c>
      <c r="L217" s="24" t="s">
        <v>24</v>
      </c>
      <c r="M217" s="24"/>
      <c r="N217" s="149"/>
      <c r="O217" s="149"/>
      <c r="P217" s="149"/>
      <c r="Q217" s="149"/>
      <c r="R217" s="149"/>
      <c r="S217" s="149"/>
      <c r="T217" s="149"/>
      <c r="U217" s="149"/>
      <c r="V217" s="149"/>
      <c r="W217" s="149"/>
      <c r="X217" s="149"/>
      <c r="Y217" s="149"/>
      <c r="Z217" s="149"/>
      <c r="AA217" s="24" t="s">
        <v>1107</v>
      </c>
    </row>
    <row r="218" spans="1:27">
      <c r="A218" s="88" t="s">
        <v>1246</v>
      </c>
      <c r="B218" s="88" t="s">
        <v>1247</v>
      </c>
      <c r="C218" s="149" t="s">
        <v>1248</v>
      </c>
      <c r="D218" s="149"/>
      <c r="E218" s="88" t="s">
        <v>148</v>
      </c>
      <c r="F218" s="24" t="s">
        <v>989</v>
      </c>
      <c r="G218" s="24" t="s">
        <v>24</v>
      </c>
      <c r="H218" s="24" t="s">
        <v>24</v>
      </c>
      <c r="I218" s="24" t="s">
        <v>24</v>
      </c>
      <c r="J218" s="24" t="s">
        <v>24</v>
      </c>
      <c r="K218" s="24" t="s">
        <v>24</v>
      </c>
      <c r="L218" s="24" t="s">
        <v>24</v>
      </c>
      <c r="M218" s="24"/>
      <c r="N218" s="149"/>
      <c r="O218" s="149"/>
      <c r="P218" s="149"/>
      <c r="Q218" s="149"/>
      <c r="R218" s="149"/>
      <c r="S218" s="149"/>
      <c r="T218" s="149"/>
      <c r="U218" s="149"/>
      <c r="V218" s="149"/>
      <c r="W218" s="149"/>
      <c r="X218" s="149"/>
      <c r="Y218" s="149"/>
      <c r="Z218" s="149"/>
      <c r="AA218" s="24" t="s">
        <v>1107</v>
      </c>
    </row>
    <row r="219" spans="1:27" ht="12">
      <c r="A219" s="88" t="s">
        <v>1249</v>
      </c>
      <c r="B219" s="88" t="s">
        <v>1250</v>
      </c>
      <c r="C219" s="149" t="s">
        <v>1251</v>
      </c>
      <c r="D219" s="149"/>
      <c r="E219" s="88" t="s">
        <v>148</v>
      </c>
      <c r="F219" s="24" t="s">
        <v>24</v>
      </c>
      <c r="G219" s="24" t="s">
        <v>24</v>
      </c>
      <c r="H219" s="414" t="s">
        <v>1252</v>
      </c>
      <c r="I219" s="414" t="s">
        <v>1252</v>
      </c>
      <c r="J219" s="414" t="s">
        <v>1252</v>
      </c>
      <c r="K219" s="414" t="s">
        <v>1252</v>
      </c>
      <c r="L219" s="414" t="s">
        <v>1252</v>
      </c>
      <c r="M219" s="24"/>
      <c r="N219" s="149"/>
      <c r="O219" s="149"/>
      <c r="P219" s="149"/>
      <c r="Q219" s="149"/>
      <c r="R219" s="149"/>
      <c r="S219" s="149"/>
      <c r="T219" s="149"/>
      <c r="U219" s="149"/>
      <c r="V219" s="149"/>
      <c r="W219" s="149"/>
      <c r="X219" s="149"/>
      <c r="Y219" s="149"/>
      <c r="Z219" s="149"/>
      <c r="AA219" s="24" t="s">
        <v>1107</v>
      </c>
    </row>
    <row r="220" spans="1:27">
      <c r="A220" s="88" t="s">
        <v>1253</v>
      </c>
      <c r="B220" s="88" t="s">
        <v>1254</v>
      </c>
      <c r="C220" s="149" t="s">
        <v>1255</v>
      </c>
      <c r="D220" s="149"/>
      <c r="E220" s="88" t="s">
        <v>148</v>
      </c>
      <c r="F220" s="24" t="s">
        <v>24</v>
      </c>
      <c r="G220" s="24" t="s">
        <v>24</v>
      </c>
      <c r="H220" s="24" t="s">
        <v>24</v>
      </c>
      <c r="I220" s="24" t="s">
        <v>24</v>
      </c>
      <c r="J220" s="24" t="s">
        <v>24</v>
      </c>
      <c r="K220" s="24" t="s">
        <v>24</v>
      </c>
      <c r="L220" s="24" t="s">
        <v>24</v>
      </c>
      <c r="M220" s="24"/>
      <c r="N220" s="149"/>
      <c r="O220" s="149"/>
      <c r="P220" s="149"/>
      <c r="Q220" s="149"/>
      <c r="R220" s="149"/>
      <c r="S220" s="149"/>
      <c r="T220" s="149"/>
      <c r="U220" s="149"/>
      <c r="V220" s="149"/>
      <c r="W220" s="149"/>
      <c r="X220" s="149"/>
      <c r="Y220" s="149"/>
      <c r="Z220" s="149"/>
      <c r="AA220" s="24" t="s">
        <v>1107</v>
      </c>
    </row>
    <row r="221" spans="1:27">
      <c r="A221" s="88" t="s">
        <v>1256</v>
      </c>
      <c r="B221" s="88" t="s">
        <v>1257</v>
      </c>
      <c r="C221" s="149" t="s">
        <v>1258</v>
      </c>
      <c r="D221" s="149"/>
      <c r="E221" s="88" t="s">
        <v>148</v>
      </c>
      <c r="F221" s="24" t="s">
        <v>24</v>
      </c>
      <c r="G221" s="24" t="s">
        <v>24</v>
      </c>
      <c r="H221" s="24" t="s">
        <v>24</v>
      </c>
      <c r="I221" s="24" t="s">
        <v>24</v>
      </c>
      <c r="J221" s="24" t="s">
        <v>24</v>
      </c>
      <c r="K221" s="24" t="s">
        <v>24</v>
      </c>
      <c r="L221" s="24" t="s">
        <v>24</v>
      </c>
      <c r="M221" s="24"/>
      <c r="N221" s="149"/>
      <c r="O221" s="149"/>
      <c r="P221" s="149"/>
      <c r="Q221" s="149"/>
      <c r="R221" s="149"/>
      <c r="S221" s="149"/>
      <c r="T221" s="149"/>
      <c r="U221" s="149"/>
      <c r="V221" s="149"/>
      <c r="W221" s="149"/>
      <c r="X221" s="149"/>
      <c r="Y221" s="149"/>
      <c r="Z221" s="149"/>
      <c r="AA221" s="24" t="s">
        <v>1107</v>
      </c>
    </row>
    <row r="222" spans="1:27">
      <c r="A222" s="88" t="s">
        <v>1259</v>
      </c>
      <c r="B222" s="88" t="s">
        <v>1260</v>
      </c>
      <c r="C222" s="149" t="s">
        <v>1261</v>
      </c>
      <c r="D222" s="149"/>
      <c r="E222" s="88" t="s">
        <v>148</v>
      </c>
      <c r="F222" s="24" t="s">
        <v>24</v>
      </c>
      <c r="G222" s="24" t="s">
        <v>24</v>
      </c>
      <c r="H222" s="24" t="s">
        <v>24</v>
      </c>
      <c r="I222" s="24" t="s">
        <v>24</v>
      </c>
      <c r="J222" s="24" t="s">
        <v>24</v>
      </c>
      <c r="K222" s="24" t="s">
        <v>24</v>
      </c>
      <c r="L222" s="24" t="s">
        <v>24</v>
      </c>
      <c r="M222" s="24"/>
      <c r="N222" s="149"/>
      <c r="O222" s="149"/>
      <c r="P222" s="149"/>
      <c r="Q222" s="149"/>
      <c r="R222" s="149"/>
      <c r="S222" s="149"/>
      <c r="T222" s="149"/>
      <c r="U222" s="149"/>
      <c r="V222" s="149"/>
      <c r="W222" s="149"/>
      <c r="X222" s="149"/>
      <c r="Y222" s="149"/>
      <c r="Z222" s="149"/>
      <c r="AA222" s="24" t="s">
        <v>1107</v>
      </c>
    </row>
    <row r="223" spans="1:27">
      <c r="A223" s="88" t="s">
        <v>1262</v>
      </c>
      <c r="B223" s="88" t="s">
        <v>1263</v>
      </c>
      <c r="C223" s="149" t="s">
        <v>1264</v>
      </c>
      <c r="D223" s="149"/>
      <c r="E223" s="88" t="s">
        <v>148</v>
      </c>
      <c r="F223" s="24" t="s">
        <v>24</v>
      </c>
      <c r="G223" s="24" t="s">
        <v>24</v>
      </c>
      <c r="H223" s="24" t="s">
        <v>24</v>
      </c>
      <c r="I223" s="24" t="s">
        <v>24</v>
      </c>
      <c r="J223" s="24" t="s">
        <v>24</v>
      </c>
      <c r="K223" s="24" t="s">
        <v>24</v>
      </c>
      <c r="L223" s="24" t="s">
        <v>24</v>
      </c>
      <c r="M223" s="24"/>
      <c r="N223" s="149"/>
      <c r="O223" s="149"/>
      <c r="P223" s="149"/>
      <c r="Q223" s="149"/>
      <c r="R223" s="149"/>
      <c r="S223" s="149"/>
      <c r="T223" s="149"/>
      <c r="U223" s="149"/>
      <c r="V223" s="149"/>
      <c r="W223" s="149"/>
      <c r="X223" s="149"/>
      <c r="Y223" s="149"/>
      <c r="Z223" s="149"/>
      <c r="AA223" s="24" t="s">
        <v>1107</v>
      </c>
    </row>
    <row r="224" spans="1:27">
      <c r="A224" s="88" t="s">
        <v>1265</v>
      </c>
      <c r="B224" s="88" t="s">
        <v>1266</v>
      </c>
      <c r="C224" s="149" t="s">
        <v>1267</v>
      </c>
      <c r="D224" s="149"/>
      <c r="E224" s="88" t="s">
        <v>148</v>
      </c>
      <c r="F224" s="24" t="s">
        <v>24</v>
      </c>
      <c r="G224" s="24" t="s">
        <v>24</v>
      </c>
      <c r="H224" s="24" t="s">
        <v>24</v>
      </c>
      <c r="I224" s="24" t="s">
        <v>24</v>
      </c>
      <c r="J224" s="24" t="s">
        <v>24</v>
      </c>
      <c r="K224" s="24" t="s">
        <v>24</v>
      </c>
      <c r="L224" s="24" t="s">
        <v>24</v>
      </c>
      <c r="M224" s="24"/>
      <c r="N224" s="149"/>
      <c r="O224" s="149"/>
      <c r="P224" s="149"/>
      <c r="Q224" s="149"/>
      <c r="R224" s="149"/>
      <c r="S224" s="149"/>
      <c r="T224" s="149"/>
      <c r="U224" s="149"/>
      <c r="V224" s="149"/>
      <c r="W224" s="149"/>
      <c r="X224" s="149"/>
      <c r="Y224" s="149"/>
      <c r="Z224" s="149"/>
      <c r="AA224" s="24" t="s">
        <v>1107</v>
      </c>
    </row>
    <row r="225" spans="1:27" ht="12">
      <c r="A225" s="88" t="s">
        <v>1268</v>
      </c>
      <c r="B225" s="88" t="s">
        <v>1269</v>
      </c>
      <c r="C225" s="149" t="s">
        <v>1270</v>
      </c>
      <c r="D225" s="149"/>
      <c r="E225" s="88" t="s">
        <v>148</v>
      </c>
      <c r="F225" s="24" t="s">
        <v>24</v>
      </c>
      <c r="G225" s="24" t="s">
        <v>24</v>
      </c>
      <c r="H225" s="414" t="s">
        <v>1252</v>
      </c>
      <c r="I225" s="414" t="s">
        <v>1252</v>
      </c>
      <c r="J225" s="414" t="s">
        <v>1252</v>
      </c>
      <c r="K225" s="414" t="s">
        <v>1252</v>
      </c>
      <c r="L225" s="414" t="s">
        <v>1252</v>
      </c>
      <c r="M225" s="24"/>
      <c r="N225" s="149"/>
      <c r="O225" s="149"/>
      <c r="P225" s="149"/>
      <c r="Q225" s="149"/>
      <c r="R225" s="149"/>
      <c r="S225" s="149"/>
      <c r="T225" s="149"/>
      <c r="U225" s="149"/>
      <c r="V225" s="149"/>
      <c r="W225" s="149"/>
      <c r="X225" s="149"/>
      <c r="Y225" s="149"/>
      <c r="Z225" s="149"/>
      <c r="AA225" s="24" t="s">
        <v>1107</v>
      </c>
    </row>
    <row r="226" spans="1:27">
      <c r="A226" s="88" t="s">
        <v>1271</v>
      </c>
      <c r="B226" s="88" t="s">
        <v>1272</v>
      </c>
      <c r="C226" s="149" t="s">
        <v>1273</v>
      </c>
      <c r="D226" s="149"/>
      <c r="E226" s="88" t="s">
        <v>148</v>
      </c>
      <c r="F226" s="24" t="s">
        <v>24</v>
      </c>
      <c r="G226" s="24" t="s">
        <v>24</v>
      </c>
      <c r="H226" s="24" t="s">
        <v>24</v>
      </c>
      <c r="I226" s="24" t="s">
        <v>24</v>
      </c>
      <c r="J226" s="24" t="s">
        <v>24</v>
      </c>
      <c r="K226" s="24" t="s">
        <v>24</v>
      </c>
      <c r="L226" s="24" t="s">
        <v>24</v>
      </c>
      <c r="M226" s="24"/>
      <c r="N226" s="149"/>
      <c r="O226" s="149"/>
      <c r="P226" s="149"/>
      <c r="Q226" s="149"/>
      <c r="R226" s="149"/>
      <c r="S226" s="149"/>
      <c r="T226" s="149"/>
      <c r="U226" s="149"/>
      <c r="V226" s="149"/>
      <c r="W226" s="149"/>
      <c r="X226" s="149"/>
      <c r="Y226" s="149"/>
      <c r="Z226" s="149"/>
      <c r="AA226" s="24" t="s">
        <v>1107</v>
      </c>
    </row>
    <row r="227" spans="1:27">
      <c r="A227" s="88" t="s">
        <v>1274</v>
      </c>
      <c r="B227" s="88" t="s">
        <v>1275</v>
      </c>
      <c r="C227" s="149" t="s">
        <v>1276</v>
      </c>
      <c r="D227" s="149"/>
      <c r="E227" s="88" t="s">
        <v>148</v>
      </c>
      <c r="F227" s="24" t="s">
        <v>24</v>
      </c>
      <c r="G227" s="24" t="s">
        <v>24</v>
      </c>
      <c r="H227" s="24" t="s">
        <v>24</v>
      </c>
      <c r="I227" s="24" t="s">
        <v>24</v>
      </c>
      <c r="J227" s="24" t="s">
        <v>24</v>
      </c>
      <c r="K227" s="24" t="s">
        <v>24</v>
      </c>
      <c r="L227" s="24" t="s">
        <v>24</v>
      </c>
      <c r="M227" s="24"/>
      <c r="N227" s="149"/>
      <c r="O227" s="149"/>
      <c r="P227" s="149"/>
      <c r="Q227" s="149"/>
      <c r="R227" s="149"/>
      <c r="S227" s="149"/>
      <c r="T227" s="149"/>
      <c r="U227" s="149"/>
      <c r="V227" s="149"/>
      <c r="W227" s="149"/>
      <c r="X227" s="149"/>
      <c r="Y227" s="149"/>
      <c r="Z227" s="149"/>
      <c r="AA227" s="24" t="s">
        <v>1107</v>
      </c>
    </row>
    <row r="228" spans="1:27">
      <c r="A228" s="88" t="s">
        <v>1277</v>
      </c>
      <c r="B228" s="88" t="s">
        <v>1278</v>
      </c>
      <c r="C228" s="149" t="s">
        <v>1279</v>
      </c>
      <c r="D228" s="149"/>
      <c r="E228" s="88" t="s">
        <v>148</v>
      </c>
      <c r="F228" s="24" t="s">
        <v>24</v>
      </c>
      <c r="G228" s="24" t="s">
        <v>24</v>
      </c>
      <c r="H228" s="24" t="s">
        <v>24</v>
      </c>
      <c r="I228" s="24" t="s">
        <v>24</v>
      </c>
      <c r="J228" s="24" t="s">
        <v>24</v>
      </c>
      <c r="K228" s="24" t="s">
        <v>24</v>
      </c>
      <c r="L228" s="24" t="s">
        <v>24</v>
      </c>
      <c r="M228" s="24"/>
      <c r="N228" s="149"/>
      <c r="O228" s="149"/>
      <c r="P228" s="149"/>
      <c r="Q228" s="149"/>
      <c r="R228" s="149"/>
      <c r="S228" s="149"/>
      <c r="T228" s="149"/>
      <c r="U228" s="149"/>
      <c r="V228" s="149"/>
      <c r="W228" s="149"/>
      <c r="X228" s="149"/>
      <c r="Y228" s="149"/>
      <c r="Z228" s="149"/>
      <c r="AA228" s="24" t="s">
        <v>1107</v>
      </c>
    </row>
    <row r="229" spans="1:27">
      <c r="A229" s="88" t="s">
        <v>1280</v>
      </c>
      <c r="B229" s="88" t="s">
        <v>1281</v>
      </c>
      <c r="C229" s="149" t="s">
        <v>1282</v>
      </c>
      <c r="D229" s="149"/>
      <c r="E229" s="88" t="s">
        <v>148</v>
      </c>
      <c r="F229" s="24" t="s">
        <v>24</v>
      </c>
      <c r="G229" s="24" t="s">
        <v>24</v>
      </c>
      <c r="H229" s="24" t="s">
        <v>24</v>
      </c>
      <c r="I229" s="24" t="s">
        <v>24</v>
      </c>
      <c r="J229" s="24" t="s">
        <v>24</v>
      </c>
      <c r="K229" s="24" t="s">
        <v>24</v>
      </c>
      <c r="L229" s="24" t="s">
        <v>24</v>
      </c>
      <c r="M229" s="24"/>
      <c r="N229" s="149"/>
      <c r="O229" s="149"/>
      <c r="P229" s="149"/>
      <c r="Q229" s="149"/>
      <c r="R229" s="149"/>
      <c r="S229" s="149"/>
      <c r="T229" s="149"/>
      <c r="U229" s="149"/>
      <c r="V229" s="149"/>
      <c r="W229" s="149"/>
      <c r="X229" s="149"/>
      <c r="Y229" s="149"/>
      <c r="Z229" s="149"/>
      <c r="AA229" s="24" t="s">
        <v>1107</v>
      </c>
    </row>
    <row r="230" spans="1:27">
      <c r="A230" s="88" t="s">
        <v>1283</v>
      </c>
      <c r="B230" s="88" t="s">
        <v>1284</v>
      </c>
      <c r="C230" s="149" t="s">
        <v>1285</v>
      </c>
      <c r="D230" s="149"/>
      <c r="E230" s="88" t="s">
        <v>148</v>
      </c>
      <c r="F230" s="24" t="s">
        <v>24</v>
      </c>
      <c r="G230" s="24" t="s">
        <v>24</v>
      </c>
      <c r="H230" s="24" t="s">
        <v>24</v>
      </c>
      <c r="I230" s="24" t="s">
        <v>24</v>
      </c>
      <c r="J230" s="24" t="s">
        <v>24</v>
      </c>
      <c r="K230" s="24" t="s">
        <v>24</v>
      </c>
      <c r="L230" s="24" t="s">
        <v>24</v>
      </c>
      <c r="M230" s="24"/>
      <c r="N230" s="149"/>
      <c r="O230" s="149"/>
      <c r="P230" s="149"/>
      <c r="Q230" s="149"/>
      <c r="R230" s="149"/>
      <c r="S230" s="149"/>
      <c r="T230" s="149"/>
      <c r="U230" s="149"/>
      <c r="V230" s="149"/>
      <c r="W230" s="149"/>
      <c r="X230" s="149"/>
      <c r="Y230" s="149"/>
      <c r="Z230" s="149"/>
      <c r="AA230" s="24" t="s">
        <v>1107</v>
      </c>
    </row>
    <row r="231" spans="1:27" ht="12">
      <c r="A231" s="88" t="s">
        <v>1286</v>
      </c>
      <c r="B231" s="88" t="s">
        <v>1287</v>
      </c>
      <c r="C231" s="149" t="s">
        <v>1288</v>
      </c>
      <c r="D231" s="149"/>
      <c r="E231" s="88" t="s">
        <v>148</v>
      </c>
      <c r="F231" s="24" t="s">
        <v>24</v>
      </c>
      <c r="G231" s="24" t="s">
        <v>24</v>
      </c>
      <c r="H231" s="414" t="s">
        <v>1252</v>
      </c>
      <c r="I231" s="414" t="s">
        <v>1252</v>
      </c>
      <c r="J231" s="414" t="s">
        <v>1252</v>
      </c>
      <c r="K231" s="414" t="s">
        <v>1252</v>
      </c>
      <c r="L231" s="414" t="s">
        <v>1252</v>
      </c>
      <c r="M231" s="24"/>
      <c r="N231" s="149"/>
      <c r="O231" s="149"/>
      <c r="P231" s="149"/>
      <c r="Q231" s="149"/>
      <c r="R231" s="149"/>
      <c r="S231" s="149"/>
      <c r="T231" s="149"/>
      <c r="U231" s="149"/>
      <c r="V231" s="149"/>
      <c r="W231" s="149"/>
      <c r="X231" s="149"/>
      <c r="Y231" s="149"/>
      <c r="Z231" s="149"/>
      <c r="AA231" s="24" t="s">
        <v>1107</v>
      </c>
    </row>
    <row r="232" spans="1:27">
      <c r="A232" s="88" t="s">
        <v>1289</v>
      </c>
      <c r="B232" s="88" t="s">
        <v>1290</v>
      </c>
      <c r="C232" s="149" t="s">
        <v>1291</v>
      </c>
      <c r="D232" s="149"/>
      <c r="E232" s="88" t="s">
        <v>148</v>
      </c>
      <c r="F232" s="24" t="s">
        <v>24</v>
      </c>
      <c r="G232" s="24" t="s">
        <v>24</v>
      </c>
      <c r="H232" s="24" t="s">
        <v>24</v>
      </c>
      <c r="I232" s="24" t="s">
        <v>24</v>
      </c>
      <c r="J232" s="24" t="s">
        <v>24</v>
      </c>
      <c r="K232" s="24" t="s">
        <v>24</v>
      </c>
      <c r="L232" s="24" t="s">
        <v>24</v>
      </c>
      <c r="M232" s="24"/>
      <c r="N232" s="149"/>
      <c r="O232" s="149"/>
      <c r="P232" s="149"/>
      <c r="Q232" s="149"/>
      <c r="R232" s="149"/>
      <c r="S232" s="149"/>
      <c r="T232" s="149"/>
      <c r="U232" s="149"/>
      <c r="V232" s="149"/>
      <c r="W232" s="149"/>
      <c r="X232" s="149"/>
      <c r="Y232" s="149"/>
      <c r="Z232" s="149"/>
      <c r="AA232" s="24" t="s">
        <v>1107</v>
      </c>
    </row>
    <row r="233" spans="1:27">
      <c r="A233" s="88" t="s">
        <v>1292</v>
      </c>
      <c r="B233" s="88" t="s">
        <v>1293</v>
      </c>
      <c r="C233" s="149" t="s">
        <v>1294</v>
      </c>
      <c r="D233" s="149"/>
      <c r="E233" s="88" t="s">
        <v>148</v>
      </c>
      <c r="F233" s="24" t="s">
        <v>24</v>
      </c>
      <c r="G233" s="24" t="s">
        <v>24</v>
      </c>
      <c r="H233" s="24" t="s">
        <v>24</v>
      </c>
      <c r="I233" s="24" t="s">
        <v>24</v>
      </c>
      <c r="J233" s="24" t="s">
        <v>24</v>
      </c>
      <c r="K233" s="24" t="s">
        <v>24</v>
      </c>
      <c r="L233" s="24" t="s">
        <v>24</v>
      </c>
      <c r="M233" s="24"/>
      <c r="N233" s="149"/>
      <c r="O233" s="149"/>
      <c r="P233" s="149"/>
      <c r="Q233" s="149"/>
      <c r="R233" s="149"/>
      <c r="S233" s="149"/>
      <c r="T233" s="149"/>
      <c r="U233" s="149"/>
      <c r="V233" s="149"/>
      <c r="W233" s="149"/>
      <c r="X233" s="149"/>
      <c r="Y233" s="149"/>
      <c r="Z233" s="149"/>
      <c r="AA233" s="24" t="s">
        <v>1107</v>
      </c>
    </row>
    <row r="234" spans="1:27">
      <c r="A234" s="88" t="s">
        <v>1295</v>
      </c>
      <c r="B234" s="88" t="s">
        <v>1296</v>
      </c>
      <c r="C234" s="149" t="s">
        <v>1297</v>
      </c>
      <c r="D234" s="149"/>
      <c r="E234" s="88" t="s">
        <v>148</v>
      </c>
      <c r="F234" s="24" t="s">
        <v>24</v>
      </c>
      <c r="G234" s="24" t="s">
        <v>24</v>
      </c>
      <c r="H234" s="24" t="s">
        <v>24</v>
      </c>
      <c r="I234" s="24" t="s">
        <v>24</v>
      </c>
      <c r="J234" s="24" t="s">
        <v>24</v>
      </c>
      <c r="K234" s="24" t="s">
        <v>24</v>
      </c>
      <c r="L234" s="24" t="s">
        <v>24</v>
      </c>
      <c r="M234" s="24"/>
      <c r="N234" s="149"/>
      <c r="O234" s="149"/>
      <c r="P234" s="149"/>
      <c r="Q234" s="149"/>
      <c r="R234" s="149"/>
      <c r="S234" s="149"/>
      <c r="T234" s="149"/>
      <c r="U234" s="149"/>
      <c r="V234" s="149"/>
      <c r="W234" s="149"/>
      <c r="X234" s="149"/>
      <c r="Y234" s="149"/>
      <c r="Z234" s="149"/>
      <c r="AA234" s="24" t="s">
        <v>1107</v>
      </c>
    </row>
    <row r="235" spans="1:27">
      <c r="A235" s="88" t="s">
        <v>1298</v>
      </c>
      <c r="B235" s="88" t="s">
        <v>1299</v>
      </c>
      <c r="C235" s="149" t="s">
        <v>1300</v>
      </c>
      <c r="D235" s="149"/>
      <c r="E235" s="88" t="s">
        <v>148</v>
      </c>
      <c r="F235" s="24" t="s">
        <v>24</v>
      </c>
      <c r="G235" s="24" t="s">
        <v>24</v>
      </c>
      <c r="H235" s="24" t="s">
        <v>24</v>
      </c>
      <c r="I235" s="24" t="s">
        <v>24</v>
      </c>
      <c r="J235" s="24" t="s">
        <v>24</v>
      </c>
      <c r="K235" s="24" t="s">
        <v>24</v>
      </c>
      <c r="L235" s="24" t="s">
        <v>24</v>
      </c>
      <c r="M235" s="24"/>
      <c r="N235" s="149"/>
      <c r="O235" s="149"/>
      <c r="P235" s="149"/>
      <c r="Q235" s="149"/>
      <c r="R235" s="149"/>
      <c r="S235" s="149"/>
      <c r="T235" s="149"/>
      <c r="U235" s="149"/>
      <c r="V235" s="149"/>
      <c r="W235" s="149"/>
      <c r="X235" s="149"/>
      <c r="Y235" s="149"/>
      <c r="Z235" s="149"/>
      <c r="AA235" s="24" t="s">
        <v>1107</v>
      </c>
    </row>
    <row r="236" spans="1:27">
      <c r="A236" s="88" t="s">
        <v>1301</v>
      </c>
      <c r="B236" s="88" t="s">
        <v>1302</v>
      </c>
      <c r="C236" s="149" t="s">
        <v>1303</v>
      </c>
      <c r="D236" s="149"/>
      <c r="E236" s="88" t="s">
        <v>148</v>
      </c>
      <c r="F236" s="24" t="s">
        <v>24</v>
      </c>
      <c r="G236" s="24" t="s">
        <v>24</v>
      </c>
      <c r="H236" s="24" t="s">
        <v>24</v>
      </c>
      <c r="I236" s="24" t="s">
        <v>24</v>
      </c>
      <c r="J236" s="24" t="s">
        <v>24</v>
      </c>
      <c r="K236" s="24" t="s">
        <v>24</v>
      </c>
      <c r="L236" s="24" t="s">
        <v>24</v>
      </c>
      <c r="M236" s="24"/>
      <c r="N236" s="149"/>
      <c r="O236" s="149"/>
      <c r="P236" s="149"/>
      <c r="Q236" s="149"/>
      <c r="R236" s="149"/>
      <c r="S236" s="149"/>
      <c r="T236" s="149"/>
      <c r="U236" s="149"/>
      <c r="V236" s="149"/>
      <c r="W236" s="149"/>
      <c r="X236" s="149"/>
      <c r="Y236" s="149"/>
      <c r="Z236" s="149"/>
      <c r="AA236" s="24" t="s">
        <v>1107</v>
      </c>
    </row>
    <row r="237" spans="1:27">
      <c r="A237" s="88" t="s">
        <v>1304</v>
      </c>
      <c r="B237" s="88" t="s">
        <v>1305</v>
      </c>
      <c r="C237" s="149" t="s">
        <v>1306</v>
      </c>
      <c r="D237" s="149"/>
      <c r="E237" s="88" t="s">
        <v>148</v>
      </c>
      <c r="F237" s="24" t="s">
        <v>24</v>
      </c>
      <c r="G237" s="24" t="s">
        <v>24</v>
      </c>
      <c r="H237" s="24" t="s">
        <v>24</v>
      </c>
      <c r="I237" s="24" t="s">
        <v>24</v>
      </c>
      <c r="J237" s="24" t="s">
        <v>24</v>
      </c>
      <c r="K237" s="24" t="s">
        <v>24</v>
      </c>
      <c r="L237" s="24" t="s">
        <v>24</v>
      </c>
      <c r="M237" s="24"/>
      <c r="N237" s="149"/>
      <c r="O237" s="149"/>
      <c r="P237" s="149"/>
      <c r="Q237" s="149"/>
      <c r="R237" s="149"/>
      <c r="S237" s="149"/>
      <c r="T237" s="149"/>
      <c r="U237" s="149"/>
      <c r="V237" s="149"/>
      <c r="W237" s="149"/>
      <c r="X237" s="149"/>
      <c r="Y237" s="149"/>
      <c r="Z237" s="149"/>
      <c r="AA237" s="24" t="s">
        <v>1107</v>
      </c>
    </row>
    <row r="238" spans="1:27">
      <c r="A238" s="88" t="s">
        <v>1307</v>
      </c>
      <c r="B238" s="88" t="s">
        <v>1308</v>
      </c>
      <c r="C238" s="149" t="s">
        <v>1309</v>
      </c>
      <c r="D238" s="149"/>
      <c r="E238" s="88" t="s">
        <v>148</v>
      </c>
      <c r="F238" s="24" t="s">
        <v>24</v>
      </c>
      <c r="G238" s="24" t="s">
        <v>24</v>
      </c>
      <c r="H238" s="24" t="s">
        <v>24</v>
      </c>
      <c r="I238" s="24" t="s">
        <v>24</v>
      </c>
      <c r="J238" s="24" t="s">
        <v>24</v>
      </c>
      <c r="K238" s="24" t="s">
        <v>24</v>
      </c>
      <c r="L238" s="24" t="s">
        <v>24</v>
      </c>
      <c r="M238" s="24"/>
      <c r="N238" s="149"/>
      <c r="O238" s="149"/>
      <c r="P238" s="149"/>
      <c r="Q238" s="149"/>
      <c r="R238" s="149"/>
      <c r="S238" s="149"/>
      <c r="T238" s="149"/>
      <c r="U238" s="149"/>
      <c r="V238" s="149"/>
      <c r="W238" s="149"/>
      <c r="X238" s="149"/>
      <c r="Y238" s="149"/>
      <c r="Z238" s="149"/>
      <c r="AA238" s="24" t="s">
        <v>1107</v>
      </c>
    </row>
    <row r="239" spans="1:27">
      <c r="A239" s="88" t="s">
        <v>1310</v>
      </c>
      <c r="B239" s="88" t="s">
        <v>1311</v>
      </c>
      <c r="C239" s="149" t="s">
        <v>1312</v>
      </c>
      <c r="D239" s="149"/>
      <c r="E239" s="88" t="s">
        <v>148</v>
      </c>
      <c r="F239" s="24" t="s">
        <v>24</v>
      </c>
      <c r="G239" s="24" t="s">
        <v>24</v>
      </c>
      <c r="H239" s="24" t="s">
        <v>24</v>
      </c>
      <c r="I239" s="24" t="s">
        <v>24</v>
      </c>
      <c r="J239" s="24" t="s">
        <v>24</v>
      </c>
      <c r="K239" s="24" t="s">
        <v>24</v>
      </c>
      <c r="L239" s="24" t="s">
        <v>24</v>
      </c>
      <c r="M239" s="24"/>
      <c r="N239" s="149"/>
      <c r="O239" s="149"/>
      <c r="P239" s="149"/>
      <c r="Q239" s="149"/>
      <c r="R239" s="149"/>
      <c r="S239" s="149"/>
      <c r="T239" s="149"/>
      <c r="U239" s="149"/>
      <c r="V239" s="149"/>
      <c r="W239" s="149"/>
      <c r="X239" s="149"/>
      <c r="Y239" s="149"/>
      <c r="Z239" s="149"/>
      <c r="AA239" s="24" t="s">
        <v>1107</v>
      </c>
    </row>
    <row r="240" spans="1:27">
      <c r="A240" s="88" t="s">
        <v>1313</v>
      </c>
      <c r="B240" s="88" t="s">
        <v>1314</v>
      </c>
      <c r="C240" s="149" t="s">
        <v>1315</v>
      </c>
      <c r="D240" s="149"/>
      <c r="E240" s="88" t="s">
        <v>148</v>
      </c>
      <c r="F240" s="24" t="s">
        <v>24</v>
      </c>
      <c r="G240" s="24" t="s">
        <v>24</v>
      </c>
      <c r="H240" s="24" t="s">
        <v>24</v>
      </c>
      <c r="I240" s="24" t="s">
        <v>24</v>
      </c>
      <c r="J240" s="24" t="s">
        <v>24</v>
      </c>
      <c r="K240" s="24" t="s">
        <v>24</v>
      </c>
      <c r="L240" s="24" t="s">
        <v>24</v>
      </c>
      <c r="M240" s="24"/>
      <c r="N240" s="149"/>
      <c r="O240" s="149"/>
      <c r="P240" s="149"/>
      <c r="Q240" s="149"/>
      <c r="R240" s="149"/>
      <c r="S240" s="149"/>
      <c r="T240" s="149"/>
      <c r="U240" s="149"/>
      <c r="V240" s="149"/>
      <c r="W240" s="149"/>
      <c r="X240" s="149"/>
      <c r="Y240" s="149"/>
      <c r="Z240" s="149"/>
      <c r="AA240" s="24" t="s">
        <v>1107</v>
      </c>
    </row>
    <row r="241" spans="1:27">
      <c r="A241" s="88" t="s">
        <v>1316</v>
      </c>
      <c r="B241" s="88" t="s">
        <v>1317</v>
      </c>
      <c r="C241" s="149" t="s">
        <v>1318</v>
      </c>
      <c r="D241" s="149"/>
      <c r="E241" s="88" t="s">
        <v>148</v>
      </c>
      <c r="F241" s="24" t="s">
        <v>24</v>
      </c>
      <c r="G241" s="24" t="s">
        <v>24</v>
      </c>
      <c r="H241" s="24" t="s">
        <v>24</v>
      </c>
      <c r="I241" s="24" t="s">
        <v>24</v>
      </c>
      <c r="J241" s="24" t="s">
        <v>24</v>
      </c>
      <c r="K241" s="24" t="s">
        <v>24</v>
      </c>
      <c r="L241" s="24" t="s">
        <v>24</v>
      </c>
      <c r="M241" s="24"/>
      <c r="N241" s="149"/>
      <c r="O241" s="149"/>
      <c r="P241" s="149"/>
      <c r="Q241" s="149"/>
      <c r="R241" s="149"/>
      <c r="S241" s="149"/>
      <c r="T241" s="149"/>
      <c r="U241" s="149"/>
      <c r="V241" s="149"/>
      <c r="W241" s="149"/>
      <c r="X241" s="149"/>
      <c r="Y241" s="149"/>
      <c r="Z241" s="149"/>
      <c r="AA241" s="24" t="s">
        <v>1107</v>
      </c>
    </row>
    <row r="242" spans="1:27">
      <c r="A242" s="88" t="s">
        <v>1319</v>
      </c>
      <c r="B242" s="88" t="s">
        <v>1320</v>
      </c>
      <c r="C242" s="149" t="s">
        <v>1321</v>
      </c>
      <c r="D242" s="149"/>
      <c r="E242" s="88" t="s">
        <v>148</v>
      </c>
      <c r="F242" s="24" t="s">
        <v>24</v>
      </c>
      <c r="G242" s="24" t="s">
        <v>24</v>
      </c>
      <c r="H242" s="24" t="s">
        <v>24</v>
      </c>
      <c r="I242" s="24" t="s">
        <v>24</v>
      </c>
      <c r="J242" s="24" t="s">
        <v>24</v>
      </c>
      <c r="K242" s="24" t="s">
        <v>24</v>
      </c>
      <c r="L242" s="24" t="s">
        <v>24</v>
      </c>
      <c r="M242" s="24"/>
      <c r="N242" s="149"/>
      <c r="O242" s="149"/>
      <c r="P242" s="149"/>
      <c r="Q242" s="149"/>
      <c r="R242" s="149"/>
      <c r="S242" s="149"/>
      <c r="T242" s="149"/>
      <c r="U242" s="149"/>
      <c r="V242" s="149"/>
      <c r="W242" s="149"/>
      <c r="X242" s="149"/>
      <c r="Y242" s="149"/>
      <c r="Z242" s="149"/>
      <c r="AA242" s="24" t="s">
        <v>1107</v>
      </c>
    </row>
    <row r="243" spans="1:27">
      <c r="A243" s="88" t="s">
        <v>1322</v>
      </c>
      <c r="B243" s="88" t="s">
        <v>1323</v>
      </c>
      <c r="C243" s="149" t="s">
        <v>1324</v>
      </c>
      <c r="D243" s="149"/>
      <c r="E243" s="88" t="s">
        <v>148</v>
      </c>
      <c r="F243" s="24" t="s">
        <v>24</v>
      </c>
      <c r="G243" s="24" t="s">
        <v>24</v>
      </c>
      <c r="H243" s="24" t="s">
        <v>24</v>
      </c>
      <c r="I243" s="24" t="s">
        <v>24</v>
      </c>
      <c r="J243" s="24" t="s">
        <v>24</v>
      </c>
      <c r="K243" s="24" t="s">
        <v>24</v>
      </c>
      <c r="L243" s="24" t="s">
        <v>24</v>
      </c>
      <c r="M243" s="24"/>
      <c r="N243" s="149"/>
      <c r="O243" s="149"/>
      <c r="P243" s="149"/>
      <c r="Q243" s="149"/>
      <c r="R243" s="149"/>
      <c r="S243" s="149"/>
      <c r="T243" s="149"/>
      <c r="U243" s="149"/>
      <c r="V243" s="149"/>
      <c r="W243" s="149"/>
      <c r="X243" s="149"/>
      <c r="Y243" s="149"/>
      <c r="Z243" s="149"/>
      <c r="AA243" s="24" t="s">
        <v>1107</v>
      </c>
    </row>
    <row r="244" spans="1:27">
      <c r="A244" s="88" t="s">
        <v>1325</v>
      </c>
      <c r="B244" s="88" t="s">
        <v>1326</v>
      </c>
      <c r="C244" s="149" t="s">
        <v>1327</v>
      </c>
      <c r="D244" s="149"/>
      <c r="E244" s="88" t="s">
        <v>148</v>
      </c>
      <c r="F244" s="24" t="s">
        <v>24</v>
      </c>
      <c r="G244" s="24" t="s">
        <v>24</v>
      </c>
      <c r="H244" s="24" t="s">
        <v>24</v>
      </c>
      <c r="I244" s="24" t="s">
        <v>24</v>
      </c>
      <c r="J244" s="24" t="s">
        <v>24</v>
      </c>
      <c r="K244" s="24" t="s">
        <v>24</v>
      </c>
      <c r="L244" s="24" t="s">
        <v>24</v>
      </c>
      <c r="M244" s="24"/>
      <c r="N244" s="149"/>
      <c r="O244" s="149"/>
      <c r="P244" s="149"/>
      <c r="Q244" s="149"/>
      <c r="R244" s="149"/>
      <c r="S244" s="149"/>
      <c r="T244" s="149"/>
      <c r="U244" s="149"/>
      <c r="V244" s="149"/>
      <c r="W244" s="149"/>
      <c r="X244" s="149"/>
      <c r="Y244" s="149"/>
      <c r="Z244" s="149"/>
      <c r="AA244" s="24" t="s">
        <v>1107</v>
      </c>
    </row>
    <row r="245" spans="1:27" ht="12">
      <c r="A245" s="435" t="s">
        <v>1328</v>
      </c>
      <c r="B245" s="435" t="s">
        <v>1329</v>
      </c>
      <c r="C245" s="436" t="s">
        <v>1330</v>
      </c>
      <c r="D245" s="149"/>
      <c r="E245" s="88" t="s">
        <v>989</v>
      </c>
      <c r="F245" s="88" t="s">
        <v>989</v>
      </c>
      <c r="G245" s="88" t="s">
        <v>989</v>
      </c>
      <c r="H245" s="414" t="s">
        <v>1252</v>
      </c>
      <c r="I245" s="414" t="s">
        <v>1252</v>
      </c>
      <c r="J245" s="414" t="s">
        <v>1252</v>
      </c>
      <c r="K245" s="414" t="s">
        <v>1252</v>
      </c>
      <c r="L245" s="414" t="s">
        <v>1252</v>
      </c>
      <c r="M245" s="149"/>
      <c r="N245" s="149"/>
      <c r="O245" s="149"/>
      <c r="P245" s="149"/>
      <c r="Q245" s="149"/>
      <c r="R245" s="149"/>
      <c r="S245" s="149"/>
      <c r="T245" s="149"/>
      <c r="U245" s="149"/>
      <c r="V245" s="149"/>
      <c r="W245" s="149"/>
      <c r="X245" s="149"/>
      <c r="Y245" s="149"/>
      <c r="Z245" s="149"/>
      <c r="AA245" s="24" t="s">
        <v>1107</v>
      </c>
    </row>
    <row r="246" spans="1:27">
      <c r="A246" s="435" t="s">
        <v>1331</v>
      </c>
      <c r="B246" s="435" t="s">
        <v>1332</v>
      </c>
      <c r="C246" s="436" t="s">
        <v>1333</v>
      </c>
      <c r="D246" s="149"/>
      <c r="E246" s="88" t="s">
        <v>989</v>
      </c>
      <c r="F246" s="88" t="s">
        <v>989</v>
      </c>
      <c r="G246" s="88" t="s">
        <v>989</v>
      </c>
      <c r="H246" s="88" t="s">
        <v>989</v>
      </c>
      <c r="I246" s="88" t="s">
        <v>989</v>
      </c>
      <c r="J246" s="88" t="s">
        <v>989</v>
      </c>
      <c r="K246" s="88" t="s">
        <v>989</v>
      </c>
      <c r="L246" s="88" t="s">
        <v>989</v>
      </c>
      <c r="M246" s="149"/>
      <c r="N246" s="149"/>
      <c r="O246" s="149"/>
      <c r="P246" s="149"/>
      <c r="Q246" s="149"/>
      <c r="R246" s="149"/>
      <c r="S246" s="149"/>
      <c r="T246" s="149"/>
      <c r="U246" s="149"/>
      <c r="V246" s="149"/>
      <c r="W246" s="149"/>
      <c r="X246" s="149"/>
      <c r="Y246" s="149"/>
      <c r="Z246" s="149"/>
      <c r="AA246" s="24" t="s">
        <v>1107</v>
      </c>
    </row>
    <row r="247" spans="1:27">
      <c r="A247" s="435" t="s">
        <v>1334</v>
      </c>
      <c r="B247" s="435" t="s">
        <v>1335</v>
      </c>
      <c r="C247" s="436" t="s">
        <v>1336</v>
      </c>
      <c r="D247" s="149"/>
      <c r="E247" s="88" t="s">
        <v>989</v>
      </c>
      <c r="F247" s="88" t="s">
        <v>989</v>
      </c>
      <c r="G247" s="88" t="s">
        <v>989</v>
      </c>
      <c r="H247" s="88" t="s">
        <v>989</v>
      </c>
      <c r="I247" s="88" t="s">
        <v>989</v>
      </c>
      <c r="J247" s="88" t="s">
        <v>989</v>
      </c>
      <c r="K247" s="88" t="s">
        <v>989</v>
      </c>
      <c r="L247" s="88" t="s">
        <v>989</v>
      </c>
      <c r="M247" s="149"/>
      <c r="N247" s="149"/>
      <c r="O247" s="149"/>
      <c r="P247" s="149"/>
      <c r="Q247" s="149"/>
      <c r="R247" s="149"/>
      <c r="S247" s="149"/>
      <c r="T247" s="149"/>
      <c r="U247" s="149"/>
      <c r="V247" s="149"/>
      <c r="W247" s="149"/>
      <c r="X247" s="149"/>
      <c r="Y247" s="149"/>
      <c r="Z247" s="149"/>
      <c r="AA247" s="24" t="s">
        <v>1107</v>
      </c>
    </row>
    <row r="248" spans="1:27">
      <c r="A248" s="435" t="s">
        <v>1337</v>
      </c>
      <c r="B248" s="435" t="s">
        <v>1338</v>
      </c>
      <c r="C248" s="436" t="s">
        <v>1339</v>
      </c>
      <c r="D248" s="149"/>
      <c r="E248" s="88" t="s">
        <v>989</v>
      </c>
      <c r="F248" s="88" t="s">
        <v>989</v>
      </c>
      <c r="G248" s="88" t="s">
        <v>989</v>
      </c>
      <c r="H248" s="88" t="s">
        <v>989</v>
      </c>
      <c r="I248" s="88" t="s">
        <v>989</v>
      </c>
      <c r="J248" s="88" t="s">
        <v>989</v>
      </c>
      <c r="K248" s="88" t="s">
        <v>989</v>
      </c>
      <c r="L248" s="88" t="s">
        <v>989</v>
      </c>
      <c r="M248" s="149"/>
      <c r="N248" s="149"/>
      <c r="O248" s="149"/>
      <c r="P248" s="149"/>
      <c r="Q248" s="149"/>
      <c r="R248" s="149"/>
      <c r="S248" s="149"/>
      <c r="T248" s="149"/>
      <c r="U248" s="149"/>
      <c r="V248" s="149"/>
      <c r="W248" s="149"/>
      <c r="X248" s="149"/>
      <c r="Y248" s="149"/>
      <c r="Z248" s="149"/>
      <c r="AA248" s="24" t="s">
        <v>1107</v>
      </c>
    </row>
    <row r="249" spans="1:27">
      <c r="A249" s="435" t="s">
        <v>1340</v>
      </c>
      <c r="B249" s="435" t="s">
        <v>1341</v>
      </c>
      <c r="C249" s="437" t="s">
        <v>1342</v>
      </c>
      <c r="D249" s="149"/>
      <c r="E249" s="88" t="s">
        <v>989</v>
      </c>
      <c r="F249" s="88" t="s">
        <v>989</v>
      </c>
      <c r="G249" s="88" t="s">
        <v>989</v>
      </c>
      <c r="H249" s="88" t="s">
        <v>989</v>
      </c>
      <c r="I249" s="88" t="s">
        <v>989</v>
      </c>
      <c r="J249" s="88" t="s">
        <v>989</v>
      </c>
      <c r="K249" s="88" t="s">
        <v>989</v>
      </c>
      <c r="L249" s="88" t="s">
        <v>989</v>
      </c>
      <c r="M249" s="149"/>
      <c r="N249" s="149"/>
      <c r="O249" s="149"/>
      <c r="P249" s="149"/>
      <c r="Q249" s="149"/>
      <c r="R249" s="149"/>
      <c r="S249" s="149"/>
      <c r="T249" s="149"/>
      <c r="U249" s="149"/>
      <c r="V249" s="149"/>
      <c r="W249" s="149"/>
      <c r="X249" s="149"/>
      <c r="Y249" s="149"/>
      <c r="Z249" s="149"/>
      <c r="AA249" s="24" t="s">
        <v>1107</v>
      </c>
    </row>
    <row r="250" spans="1:27">
      <c r="A250" s="435" t="s">
        <v>1343</v>
      </c>
      <c r="B250" s="435" t="s">
        <v>1344</v>
      </c>
      <c r="C250" s="436" t="s">
        <v>1345</v>
      </c>
      <c r="D250" s="149"/>
      <c r="E250" s="88" t="s">
        <v>989</v>
      </c>
      <c r="F250" s="88" t="s">
        <v>989</v>
      </c>
      <c r="G250" s="88" t="s">
        <v>989</v>
      </c>
      <c r="H250" s="88" t="s">
        <v>989</v>
      </c>
      <c r="I250" s="88" t="s">
        <v>989</v>
      </c>
      <c r="J250" s="88" t="s">
        <v>989</v>
      </c>
      <c r="K250" s="88" t="s">
        <v>989</v>
      </c>
      <c r="L250" s="88" t="s">
        <v>989</v>
      </c>
      <c r="M250" s="149"/>
      <c r="N250" s="149"/>
      <c r="O250" s="149"/>
      <c r="P250" s="149"/>
      <c r="Q250" s="149"/>
      <c r="R250" s="149"/>
      <c r="S250" s="149"/>
      <c r="T250" s="149"/>
      <c r="U250" s="149"/>
      <c r="V250" s="149"/>
      <c r="W250" s="149"/>
      <c r="X250" s="149"/>
      <c r="Y250" s="149"/>
      <c r="Z250" s="149"/>
      <c r="AA250" s="24" t="s">
        <v>1107</v>
      </c>
    </row>
    <row r="251" spans="1:27" ht="12">
      <c r="A251" s="88" t="s">
        <v>1346</v>
      </c>
      <c r="B251" s="88" t="s">
        <v>1347</v>
      </c>
      <c r="C251" s="149" t="s">
        <v>1348</v>
      </c>
      <c r="D251" s="149"/>
      <c r="E251" s="88" t="s">
        <v>148</v>
      </c>
      <c r="F251" s="24" t="s">
        <v>24</v>
      </c>
      <c r="G251" s="24" t="s">
        <v>24</v>
      </c>
      <c r="H251" s="414" t="s">
        <v>1252</v>
      </c>
      <c r="I251" s="414" t="s">
        <v>1252</v>
      </c>
      <c r="J251" s="414" t="s">
        <v>1252</v>
      </c>
      <c r="K251" s="414" t="s">
        <v>1252</v>
      </c>
      <c r="L251" s="414" t="s">
        <v>1252</v>
      </c>
      <c r="M251" s="24"/>
      <c r="N251" s="149"/>
      <c r="O251" s="149"/>
      <c r="P251" s="149"/>
      <c r="Q251" s="149"/>
      <c r="R251" s="149"/>
      <c r="S251" s="149"/>
      <c r="T251" s="149"/>
      <c r="U251" s="149"/>
      <c r="V251" s="149"/>
      <c r="W251" s="149"/>
      <c r="X251" s="149"/>
      <c r="Y251" s="149"/>
      <c r="Z251" s="149"/>
      <c r="AA251" s="24" t="s">
        <v>1349</v>
      </c>
    </row>
    <row r="252" spans="1:27" ht="12">
      <c r="A252" s="88" t="s">
        <v>1350</v>
      </c>
      <c r="B252" s="88" t="s">
        <v>1351</v>
      </c>
      <c r="C252" s="149" t="s">
        <v>1352</v>
      </c>
      <c r="D252" s="149"/>
      <c r="E252" s="88" t="s">
        <v>148</v>
      </c>
      <c r="F252" s="24" t="s">
        <v>24</v>
      </c>
      <c r="G252" s="24" t="s">
        <v>24</v>
      </c>
      <c r="H252" s="414" t="s">
        <v>1252</v>
      </c>
      <c r="I252" s="414" t="s">
        <v>1252</v>
      </c>
      <c r="J252" s="414" t="s">
        <v>1252</v>
      </c>
      <c r="K252" s="414" t="s">
        <v>1252</v>
      </c>
      <c r="L252" s="414" t="s">
        <v>1252</v>
      </c>
      <c r="M252" s="24"/>
      <c r="N252" s="149"/>
      <c r="O252" s="149"/>
      <c r="P252" s="149"/>
      <c r="Q252" s="149"/>
      <c r="R252" s="149"/>
      <c r="S252" s="149"/>
      <c r="T252" s="149"/>
      <c r="U252" s="149"/>
      <c r="V252" s="149"/>
      <c r="W252" s="149"/>
      <c r="X252" s="149"/>
      <c r="Y252" s="149"/>
      <c r="Z252" s="149"/>
      <c r="AA252" s="24" t="s">
        <v>1349</v>
      </c>
    </row>
    <row r="253" spans="1:27" ht="12">
      <c r="A253" s="88" t="s">
        <v>1353</v>
      </c>
      <c r="B253" s="88" t="s">
        <v>1354</v>
      </c>
      <c r="C253" s="149" t="s">
        <v>1355</v>
      </c>
      <c r="D253" s="149"/>
      <c r="E253" s="88" t="s">
        <v>148</v>
      </c>
      <c r="F253" s="24" t="s">
        <v>24</v>
      </c>
      <c r="G253" s="24" t="s">
        <v>24</v>
      </c>
      <c r="H253" s="414" t="s">
        <v>1252</v>
      </c>
      <c r="I253" s="414" t="s">
        <v>1252</v>
      </c>
      <c r="J253" s="414" t="s">
        <v>1252</v>
      </c>
      <c r="K253" s="414" t="s">
        <v>1252</v>
      </c>
      <c r="L253" s="414" t="s">
        <v>1252</v>
      </c>
      <c r="M253" s="24"/>
      <c r="N253" s="149"/>
      <c r="O253" s="149"/>
      <c r="P253" s="149"/>
      <c r="Q253" s="149"/>
      <c r="R253" s="149"/>
      <c r="S253" s="149"/>
      <c r="T253" s="149"/>
      <c r="U253" s="149"/>
      <c r="V253" s="149"/>
      <c r="W253" s="149"/>
      <c r="X253" s="149"/>
      <c r="Y253" s="149"/>
      <c r="Z253" s="149"/>
      <c r="AA253" s="24" t="s">
        <v>1349</v>
      </c>
    </row>
    <row r="254" spans="1:27" ht="12">
      <c r="A254" s="88" t="s">
        <v>1356</v>
      </c>
      <c r="B254" s="88" t="s">
        <v>1357</v>
      </c>
      <c r="C254" s="149" t="s">
        <v>1358</v>
      </c>
      <c r="D254" s="149"/>
      <c r="E254" s="88" t="s">
        <v>148</v>
      </c>
      <c r="F254" s="24" t="s">
        <v>24</v>
      </c>
      <c r="G254" s="24" t="s">
        <v>24</v>
      </c>
      <c r="H254" s="414" t="s">
        <v>1252</v>
      </c>
      <c r="I254" s="414" t="s">
        <v>1252</v>
      </c>
      <c r="J254" s="414" t="s">
        <v>1252</v>
      </c>
      <c r="K254" s="414" t="s">
        <v>1252</v>
      </c>
      <c r="L254" s="414" t="s">
        <v>1252</v>
      </c>
      <c r="M254" s="24"/>
      <c r="N254" s="149"/>
      <c r="O254" s="149"/>
      <c r="P254" s="149"/>
      <c r="Q254" s="149"/>
      <c r="R254" s="149"/>
      <c r="S254" s="149"/>
      <c r="T254" s="149"/>
      <c r="U254" s="149"/>
      <c r="V254" s="149"/>
      <c r="W254" s="149"/>
      <c r="X254" s="149"/>
      <c r="Y254" s="149"/>
      <c r="Z254" s="149"/>
      <c r="AA254" s="24" t="s">
        <v>1349</v>
      </c>
    </row>
    <row r="255" spans="1:27" ht="12">
      <c r="A255" s="88" t="s">
        <v>1359</v>
      </c>
      <c r="B255" s="88" t="s">
        <v>1360</v>
      </c>
      <c r="C255" s="149" t="s">
        <v>1361</v>
      </c>
      <c r="D255" s="149"/>
      <c r="E255" s="88" t="s">
        <v>148</v>
      </c>
      <c r="F255" s="24" t="s">
        <v>24</v>
      </c>
      <c r="G255" s="24" t="s">
        <v>24</v>
      </c>
      <c r="H255" s="414" t="s">
        <v>1252</v>
      </c>
      <c r="I255" s="414" t="s">
        <v>1252</v>
      </c>
      <c r="J255" s="414" t="s">
        <v>1252</v>
      </c>
      <c r="K255" s="414" t="s">
        <v>1252</v>
      </c>
      <c r="L255" s="414" t="s">
        <v>1252</v>
      </c>
      <c r="M255" s="24"/>
      <c r="N255" s="149"/>
      <c r="O255" s="149"/>
      <c r="P255" s="149"/>
      <c r="Q255" s="149"/>
      <c r="R255" s="149"/>
      <c r="S255" s="149"/>
      <c r="T255" s="149"/>
      <c r="U255" s="149"/>
      <c r="V255" s="149"/>
      <c r="W255" s="149"/>
      <c r="X255" s="149"/>
      <c r="Y255" s="149"/>
      <c r="Z255" s="149"/>
      <c r="AA255" s="24" t="s">
        <v>1349</v>
      </c>
    </row>
    <row r="256" spans="1:27" ht="12">
      <c r="A256" s="88" t="s">
        <v>1362</v>
      </c>
      <c r="B256" s="88" t="s">
        <v>1363</v>
      </c>
      <c r="C256" s="149" t="s">
        <v>1364</v>
      </c>
      <c r="D256" s="149"/>
      <c r="E256" s="88" t="s">
        <v>148</v>
      </c>
      <c r="F256" s="24" t="s">
        <v>24</v>
      </c>
      <c r="G256" s="24" t="s">
        <v>24</v>
      </c>
      <c r="H256" s="414" t="s">
        <v>1252</v>
      </c>
      <c r="I256" s="414" t="s">
        <v>1252</v>
      </c>
      <c r="J256" s="414" t="s">
        <v>1252</v>
      </c>
      <c r="K256" s="414" t="s">
        <v>1252</v>
      </c>
      <c r="L256" s="414" t="s">
        <v>1252</v>
      </c>
      <c r="M256" s="24"/>
      <c r="N256" s="149"/>
      <c r="O256" s="149"/>
      <c r="P256" s="149"/>
      <c r="Q256" s="149"/>
      <c r="R256" s="149"/>
      <c r="S256" s="149"/>
      <c r="T256" s="149"/>
      <c r="U256" s="149"/>
      <c r="V256" s="149"/>
      <c r="W256" s="149"/>
      <c r="X256" s="149"/>
      <c r="Y256" s="149"/>
      <c r="Z256" s="149"/>
      <c r="AA256" s="24" t="s">
        <v>1349</v>
      </c>
    </row>
    <row r="257" spans="1:27" ht="12">
      <c r="A257" s="88" t="s">
        <v>1365</v>
      </c>
      <c r="B257" s="88" t="s">
        <v>1366</v>
      </c>
      <c r="C257" s="149" t="s">
        <v>1367</v>
      </c>
      <c r="D257" s="149"/>
      <c r="E257" s="88" t="s">
        <v>148</v>
      </c>
      <c r="F257" s="24" t="s">
        <v>24</v>
      </c>
      <c r="G257" s="24" t="s">
        <v>24</v>
      </c>
      <c r="H257" s="414" t="s">
        <v>1252</v>
      </c>
      <c r="I257" s="414" t="s">
        <v>1252</v>
      </c>
      <c r="J257" s="414" t="s">
        <v>1252</v>
      </c>
      <c r="K257" s="414" t="s">
        <v>1252</v>
      </c>
      <c r="L257" s="414" t="s">
        <v>1252</v>
      </c>
      <c r="M257" s="24"/>
      <c r="N257" s="149"/>
      <c r="O257" s="149"/>
      <c r="P257" s="149"/>
      <c r="Q257" s="149"/>
      <c r="R257" s="149"/>
      <c r="S257" s="149"/>
      <c r="T257" s="149"/>
      <c r="U257" s="149"/>
      <c r="V257" s="149"/>
      <c r="W257" s="149"/>
      <c r="X257" s="149"/>
      <c r="Y257" s="149"/>
      <c r="Z257" s="149"/>
      <c r="AA257" s="24" t="s">
        <v>1349</v>
      </c>
    </row>
    <row r="258" spans="1:27">
      <c r="A258" s="88" t="s">
        <v>1368</v>
      </c>
      <c r="B258" s="88" t="s">
        <v>1369</v>
      </c>
      <c r="C258" s="149" t="s">
        <v>1370</v>
      </c>
      <c r="D258" s="149"/>
      <c r="E258" s="88" t="s">
        <v>145</v>
      </c>
      <c r="F258" s="88" t="s">
        <v>145</v>
      </c>
      <c r="G258" s="88" t="s">
        <v>145</v>
      </c>
      <c r="H258" s="88" t="s">
        <v>145</v>
      </c>
      <c r="I258" s="88" t="s">
        <v>145</v>
      </c>
      <c r="J258" s="88" t="s">
        <v>145</v>
      </c>
      <c r="K258" s="88" t="s">
        <v>145</v>
      </c>
      <c r="L258" s="88" t="s">
        <v>145</v>
      </c>
      <c r="M258" s="24"/>
      <c r="N258" s="149"/>
      <c r="O258" s="149"/>
      <c r="P258" s="149"/>
      <c r="Q258" s="149"/>
      <c r="R258" s="149"/>
      <c r="S258" s="149"/>
      <c r="T258" s="149"/>
      <c r="U258" s="149"/>
      <c r="V258" s="149"/>
      <c r="W258" s="149"/>
      <c r="X258" s="149"/>
      <c r="Y258" s="149"/>
      <c r="Z258" s="149"/>
      <c r="AA258" s="24" t="s">
        <v>1349</v>
      </c>
    </row>
    <row r="259" spans="1:27">
      <c r="A259" s="88" t="s">
        <v>1371</v>
      </c>
      <c r="B259" s="88" t="s">
        <v>1372</v>
      </c>
      <c r="C259" s="149" t="s">
        <v>1373</v>
      </c>
      <c r="D259" s="149"/>
      <c r="E259" s="88" t="s">
        <v>145</v>
      </c>
      <c r="F259" s="88" t="s">
        <v>145</v>
      </c>
      <c r="G259" s="88" t="s">
        <v>145</v>
      </c>
      <c r="H259" s="88" t="s">
        <v>145</v>
      </c>
      <c r="I259" s="88" t="s">
        <v>145</v>
      </c>
      <c r="J259" s="88" t="s">
        <v>145</v>
      </c>
      <c r="K259" s="88" t="s">
        <v>145</v>
      </c>
      <c r="L259" s="88" t="s">
        <v>145</v>
      </c>
      <c r="M259" s="24"/>
      <c r="N259" s="149"/>
      <c r="O259" s="149"/>
      <c r="P259" s="149"/>
      <c r="Q259" s="149"/>
      <c r="R259" s="149"/>
      <c r="S259" s="149"/>
      <c r="T259" s="149"/>
      <c r="U259" s="149"/>
      <c r="V259" s="149"/>
      <c r="W259" s="149"/>
      <c r="X259" s="149"/>
      <c r="Y259" s="149"/>
      <c r="Z259" s="149"/>
      <c r="AA259" s="24" t="s">
        <v>1349</v>
      </c>
    </row>
    <row r="260" spans="1:27">
      <c r="A260" s="88" t="s">
        <v>1374</v>
      </c>
      <c r="B260" s="88" t="s">
        <v>1375</v>
      </c>
      <c r="C260" s="149" t="s">
        <v>1376</v>
      </c>
      <c r="D260" s="149"/>
      <c r="E260" s="88" t="s">
        <v>145</v>
      </c>
      <c r="F260" s="88" t="s">
        <v>145</v>
      </c>
      <c r="G260" s="88" t="s">
        <v>145</v>
      </c>
      <c r="H260" s="88" t="s">
        <v>145</v>
      </c>
      <c r="I260" s="88" t="s">
        <v>145</v>
      </c>
      <c r="J260" s="88" t="s">
        <v>145</v>
      </c>
      <c r="K260" s="88" t="s">
        <v>145</v>
      </c>
      <c r="L260" s="88" t="s">
        <v>145</v>
      </c>
      <c r="M260" s="24"/>
      <c r="N260" s="149"/>
      <c r="O260" s="149"/>
      <c r="P260" s="149"/>
      <c r="Q260" s="149"/>
      <c r="R260" s="149"/>
      <c r="S260" s="149"/>
      <c r="T260" s="149"/>
      <c r="U260" s="149"/>
      <c r="V260" s="149"/>
      <c r="W260" s="149"/>
      <c r="X260" s="149"/>
      <c r="Y260" s="149"/>
      <c r="Z260" s="149"/>
      <c r="AA260" s="24" t="s">
        <v>1349</v>
      </c>
    </row>
    <row r="261" spans="1:27" ht="12">
      <c r="A261" s="88" t="s">
        <v>1377</v>
      </c>
      <c r="B261" s="88" t="s">
        <v>1378</v>
      </c>
      <c r="C261" s="149" t="s">
        <v>1379</v>
      </c>
      <c r="D261" s="149"/>
      <c r="E261" s="88" t="s">
        <v>148</v>
      </c>
      <c r="F261" s="24" t="s">
        <v>24</v>
      </c>
      <c r="G261" s="24" t="s">
        <v>24</v>
      </c>
      <c r="H261" s="414" t="s">
        <v>1252</v>
      </c>
      <c r="I261" s="414" t="s">
        <v>1252</v>
      </c>
      <c r="J261" s="414" t="s">
        <v>1252</v>
      </c>
      <c r="K261" s="414" t="s">
        <v>1252</v>
      </c>
      <c r="L261" s="414" t="s">
        <v>1252</v>
      </c>
      <c r="M261" s="24"/>
      <c r="N261" s="149"/>
      <c r="O261" s="149"/>
      <c r="P261" s="149"/>
      <c r="Q261" s="149"/>
      <c r="R261" s="149"/>
      <c r="S261" s="149"/>
      <c r="T261" s="149"/>
      <c r="U261" s="149"/>
      <c r="V261" s="149"/>
      <c r="W261" s="149"/>
      <c r="X261" s="149"/>
      <c r="Y261" s="149"/>
      <c r="Z261" s="149"/>
      <c r="AA261" s="24" t="s">
        <v>1349</v>
      </c>
    </row>
    <row r="262" spans="1:27" ht="12">
      <c r="A262" s="88" t="s">
        <v>1380</v>
      </c>
      <c r="B262" s="88" t="s">
        <v>1381</v>
      </c>
      <c r="C262" s="149" t="s">
        <v>1382</v>
      </c>
      <c r="D262" s="149"/>
      <c r="E262" s="88" t="s">
        <v>148</v>
      </c>
      <c r="F262" s="24" t="s">
        <v>24</v>
      </c>
      <c r="G262" s="24" t="s">
        <v>24</v>
      </c>
      <c r="H262" s="414" t="s">
        <v>1252</v>
      </c>
      <c r="I262" s="414" t="s">
        <v>1252</v>
      </c>
      <c r="J262" s="414" t="s">
        <v>1252</v>
      </c>
      <c r="K262" s="414" t="s">
        <v>1252</v>
      </c>
      <c r="L262" s="414" t="s">
        <v>1252</v>
      </c>
      <c r="M262" s="24"/>
      <c r="N262" s="149"/>
      <c r="O262" s="149"/>
      <c r="P262" s="149"/>
      <c r="Q262" s="149"/>
      <c r="R262" s="149"/>
      <c r="S262" s="149"/>
      <c r="T262" s="149"/>
      <c r="U262" s="149"/>
      <c r="V262" s="149"/>
      <c r="W262" s="149"/>
      <c r="X262" s="149"/>
      <c r="Y262" s="149"/>
      <c r="Z262" s="149"/>
      <c r="AA262" s="24" t="s">
        <v>1349</v>
      </c>
    </row>
    <row r="263" spans="1:27" ht="12">
      <c r="A263" s="88" t="s">
        <v>1383</v>
      </c>
      <c r="B263" s="88" t="s">
        <v>1384</v>
      </c>
      <c r="C263" s="149" t="s">
        <v>1385</v>
      </c>
      <c r="D263" s="149"/>
      <c r="E263" s="88" t="s">
        <v>148</v>
      </c>
      <c r="F263" s="24" t="s">
        <v>24</v>
      </c>
      <c r="G263" s="24" t="s">
        <v>24</v>
      </c>
      <c r="H263" s="414" t="s">
        <v>1252</v>
      </c>
      <c r="I263" s="414" t="s">
        <v>1252</v>
      </c>
      <c r="J263" s="414" t="s">
        <v>1252</v>
      </c>
      <c r="K263" s="414" t="s">
        <v>1252</v>
      </c>
      <c r="L263" s="414" t="s">
        <v>1252</v>
      </c>
      <c r="M263" s="24"/>
      <c r="N263" s="149"/>
      <c r="O263" s="149"/>
      <c r="P263" s="149"/>
      <c r="Q263" s="149"/>
      <c r="R263" s="149"/>
      <c r="S263" s="149"/>
      <c r="T263" s="149"/>
      <c r="U263" s="149"/>
      <c r="V263" s="149"/>
      <c r="W263" s="149"/>
      <c r="X263" s="149"/>
      <c r="Y263" s="149"/>
      <c r="Z263" s="149"/>
      <c r="AA263" s="24" t="s">
        <v>1349</v>
      </c>
    </row>
    <row r="264" spans="1:27" ht="12">
      <c r="A264" s="88" t="s">
        <v>1386</v>
      </c>
      <c r="B264" s="88" t="s">
        <v>1387</v>
      </c>
      <c r="C264" s="149" t="s">
        <v>1388</v>
      </c>
      <c r="D264" s="149"/>
      <c r="E264" s="88" t="s">
        <v>148</v>
      </c>
      <c r="F264" s="24" t="s">
        <v>24</v>
      </c>
      <c r="G264" s="24" t="s">
        <v>24</v>
      </c>
      <c r="H264" s="414" t="s">
        <v>1252</v>
      </c>
      <c r="I264" s="414" t="s">
        <v>1252</v>
      </c>
      <c r="J264" s="414" t="s">
        <v>1252</v>
      </c>
      <c r="K264" s="414" t="s">
        <v>1252</v>
      </c>
      <c r="L264" s="414" t="s">
        <v>1252</v>
      </c>
      <c r="M264" s="24"/>
      <c r="N264" s="149"/>
      <c r="O264" s="149"/>
      <c r="P264" s="149"/>
      <c r="Q264" s="149"/>
      <c r="R264" s="149"/>
      <c r="S264" s="149"/>
      <c r="T264" s="149"/>
      <c r="U264" s="149"/>
      <c r="V264" s="149"/>
      <c r="W264" s="149"/>
      <c r="X264" s="149"/>
      <c r="Y264" s="149"/>
      <c r="Z264" s="149"/>
      <c r="AA264" s="24" t="s">
        <v>1349</v>
      </c>
    </row>
    <row r="265" spans="1:27">
      <c r="A265" s="88" t="s">
        <v>1389</v>
      </c>
      <c r="B265" s="88" t="s">
        <v>1390</v>
      </c>
      <c r="C265" s="149" t="s">
        <v>1391</v>
      </c>
      <c r="D265" s="149"/>
      <c r="E265" s="88" t="s">
        <v>145</v>
      </c>
      <c r="F265" s="88" t="s">
        <v>145</v>
      </c>
      <c r="G265" s="88" t="s">
        <v>145</v>
      </c>
      <c r="H265" s="88" t="s">
        <v>145</v>
      </c>
      <c r="I265" s="88" t="s">
        <v>145</v>
      </c>
      <c r="J265" s="88" t="s">
        <v>145</v>
      </c>
      <c r="K265" s="88" t="s">
        <v>145</v>
      </c>
      <c r="L265" s="88" t="s">
        <v>145</v>
      </c>
      <c r="M265" s="24"/>
      <c r="N265" s="149"/>
      <c r="O265" s="149"/>
      <c r="P265" s="149"/>
      <c r="Q265" s="149"/>
      <c r="R265" s="149"/>
      <c r="S265" s="149"/>
      <c r="T265" s="149"/>
      <c r="U265" s="149"/>
      <c r="V265" s="149"/>
      <c r="W265" s="149"/>
      <c r="X265" s="149"/>
      <c r="Y265" s="149"/>
      <c r="Z265" s="149"/>
      <c r="AA265" s="24" t="s">
        <v>1349</v>
      </c>
    </row>
    <row r="266" spans="1:27">
      <c r="A266" s="88" t="s">
        <v>1392</v>
      </c>
      <c r="B266" s="88" t="s">
        <v>1393</v>
      </c>
      <c r="C266" s="149" t="s">
        <v>1394</v>
      </c>
      <c r="D266" s="149"/>
      <c r="E266" s="88" t="s">
        <v>148</v>
      </c>
      <c r="F266" s="24" t="s">
        <v>24</v>
      </c>
      <c r="G266" s="24" t="s">
        <v>24</v>
      </c>
      <c r="H266" s="24" t="s">
        <v>24</v>
      </c>
      <c r="I266" s="24" t="s">
        <v>24</v>
      </c>
      <c r="J266" s="24" t="s">
        <v>24</v>
      </c>
      <c r="K266" s="24" t="s">
        <v>24</v>
      </c>
      <c r="L266" s="24" t="s">
        <v>24</v>
      </c>
      <c r="M266" s="24"/>
      <c r="N266" s="149"/>
      <c r="O266" s="149"/>
      <c r="P266" s="149"/>
      <c r="Q266" s="149"/>
      <c r="R266" s="149"/>
      <c r="S266" s="149"/>
      <c r="T266" s="149"/>
      <c r="U266" s="149"/>
      <c r="V266" s="149"/>
      <c r="W266" s="149"/>
      <c r="X266" s="149"/>
      <c r="Y266" s="149"/>
      <c r="Z266" s="149"/>
      <c r="AA266" s="24" t="s">
        <v>1349</v>
      </c>
    </row>
    <row r="267" spans="1:27">
      <c r="A267" s="88" t="s">
        <v>1395</v>
      </c>
      <c r="B267" s="88" t="s">
        <v>1396</v>
      </c>
      <c r="C267" s="149" t="s">
        <v>1397</v>
      </c>
      <c r="D267" s="149"/>
      <c r="E267" s="88" t="s">
        <v>145</v>
      </c>
      <c r="F267" s="88" t="s">
        <v>145</v>
      </c>
      <c r="G267" s="88" t="s">
        <v>145</v>
      </c>
      <c r="H267" s="88" t="s">
        <v>145</v>
      </c>
      <c r="I267" s="88" t="s">
        <v>145</v>
      </c>
      <c r="J267" s="88" t="s">
        <v>145</v>
      </c>
      <c r="K267" s="88" t="s">
        <v>145</v>
      </c>
      <c r="L267" s="88" t="s">
        <v>145</v>
      </c>
      <c r="M267" s="24"/>
      <c r="N267" s="149"/>
      <c r="O267" s="149"/>
      <c r="P267" s="149"/>
      <c r="Q267" s="149"/>
      <c r="R267" s="149"/>
      <c r="S267" s="149"/>
      <c r="T267" s="149"/>
      <c r="U267" s="149"/>
      <c r="V267" s="149"/>
      <c r="W267" s="149"/>
      <c r="X267" s="149"/>
      <c r="Y267" s="149"/>
      <c r="Z267" s="149"/>
      <c r="AA267" s="24" t="s">
        <v>1349</v>
      </c>
    </row>
    <row r="268" spans="1:27">
      <c r="A268" s="88" t="s">
        <v>1398</v>
      </c>
      <c r="B268" s="88" t="s">
        <v>1399</v>
      </c>
      <c r="C268" s="149" t="s">
        <v>1400</v>
      </c>
      <c r="D268" s="149"/>
      <c r="E268" s="88" t="s">
        <v>148</v>
      </c>
      <c r="F268" s="24" t="s">
        <v>24</v>
      </c>
      <c r="G268" s="24" t="s">
        <v>24</v>
      </c>
      <c r="H268" s="24" t="s">
        <v>24</v>
      </c>
      <c r="I268" s="24" t="s">
        <v>24</v>
      </c>
      <c r="J268" s="24" t="s">
        <v>24</v>
      </c>
      <c r="K268" s="24" t="s">
        <v>24</v>
      </c>
      <c r="L268" s="24" t="s">
        <v>24</v>
      </c>
      <c r="M268" s="24"/>
      <c r="N268" s="149"/>
      <c r="O268" s="149"/>
      <c r="P268" s="149"/>
      <c r="Q268" s="149"/>
      <c r="R268" s="149"/>
      <c r="S268" s="149"/>
      <c r="T268" s="149"/>
      <c r="U268" s="149"/>
      <c r="V268" s="149"/>
      <c r="W268" s="149"/>
      <c r="X268" s="149"/>
      <c r="Y268" s="149"/>
      <c r="Z268" s="149"/>
      <c r="AA268" s="24" t="s">
        <v>1349</v>
      </c>
    </row>
    <row r="269" spans="1:27">
      <c r="A269" s="88" t="s">
        <v>1401</v>
      </c>
      <c r="B269" s="88" t="s">
        <v>1402</v>
      </c>
      <c r="C269" s="149" t="s">
        <v>1403</v>
      </c>
      <c r="D269" s="149"/>
      <c r="E269" s="88" t="s">
        <v>145</v>
      </c>
      <c r="F269" s="88" t="s">
        <v>145</v>
      </c>
      <c r="G269" s="88" t="s">
        <v>145</v>
      </c>
      <c r="H269" s="88" t="s">
        <v>145</v>
      </c>
      <c r="I269" s="88" t="s">
        <v>145</v>
      </c>
      <c r="J269" s="88" t="s">
        <v>145</v>
      </c>
      <c r="K269" s="88" t="s">
        <v>145</v>
      </c>
      <c r="L269" s="88" t="s">
        <v>145</v>
      </c>
      <c r="M269" s="24"/>
      <c r="N269" s="149"/>
      <c r="O269" s="149"/>
      <c r="P269" s="149"/>
      <c r="Q269" s="149"/>
      <c r="R269" s="149"/>
      <c r="S269" s="149"/>
      <c r="T269" s="149"/>
      <c r="U269" s="149"/>
      <c r="V269" s="149"/>
      <c r="W269" s="149"/>
      <c r="X269" s="149"/>
      <c r="Y269" s="149"/>
      <c r="Z269" s="149"/>
      <c r="AA269" s="24" t="s">
        <v>1349</v>
      </c>
    </row>
    <row r="270" spans="1:27">
      <c r="A270" s="88" t="s">
        <v>1404</v>
      </c>
      <c r="B270" s="88" t="s">
        <v>1405</v>
      </c>
      <c r="C270" s="149" t="s">
        <v>1406</v>
      </c>
      <c r="D270" s="149"/>
      <c r="E270" s="88" t="s">
        <v>145</v>
      </c>
      <c r="F270" s="88" t="s">
        <v>145</v>
      </c>
      <c r="G270" s="88" t="s">
        <v>145</v>
      </c>
      <c r="H270" s="88" t="s">
        <v>145</v>
      </c>
      <c r="I270" s="88" t="s">
        <v>145</v>
      </c>
      <c r="J270" s="88" t="s">
        <v>145</v>
      </c>
      <c r="K270" s="88" t="s">
        <v>145</v>
      </c>
      <c r="L270" s="88" t="s">
        <v>145</v>
      </c>
      <c r="M270" s="24"/>
      <c r="N270" s="149"/>
      <c r="O270" s="149"/>
      <c r="P270" s="149"/>
      <c r="Q270" s="149"/>
      <c r="R270" s="149"/>
      <c r="S270" s="149"/>
      <c r="T270" s="149"/>
      <c r="U270" s="149"/>
      <c r="V270" s="149"/>
      <c r="W270" s="149"/>
      <c r="X270" s="149"/>
      <c r="Y270" s="149"/>
      <c r="Z270" s="149"/>
      <c r="AA270" s="24" t="s">
        <v>1349</v>
      </c>
    </row>
    <row r="271" spans="1:27">
      <c r="A271" s="88" t="s">
        <v>1407</v>
      </c>
      <c r="B271" s="88" t="s">
        <v>1408</v>
      </c>
      <c r="C271" s="149" t="s">
        <v>1409</v>
      </c>
      <c r="D271" s="149"/>
      <c r="E271" s="88" t="s">
        <v>145</v>
      </c>
      <c r="F271" s="88" t="s">
        <v>145</v>
      </c>
      <c r="G271" s="88" t="s">
        <v>145</v>
      </c>
      <c r="H271" s="88" t="s">
        <v>145</v>
      </c>
      <c r="I271" s="88" t="s">
        <v>145</v>
      </c>
      <c r="J271" s="88" t="s">
        <v>145</v>
      </c>
      <c r="K271" s="88" t="s">
        <v>145</v>
      </c>
      <c r="L271" s="88" t="s">
        <v>145</v>
      </c>
      <c r="M271" s="24"/>
      <c r="N271" s="149"/>
      <c r="O271" s="149"/>
      <c r="P271" s="149"/>
      <c r="Q271" s="149"/>
      <c r="R271" s="149"/>
      <c r="S271" s="149"/>
      <c r="T271" s="149"/>
      <c r="U271" s="149"/>
      <c r="V271" s="149"/>
      <c r="W271" s="149"/>
      <c r="X271" s="149"/>
      <c r="Y271" s="149"/>
      <c r="Z271" s="149"/>
      <c r="AA271" s="24" t="s">
        <v>1349</v>
      </c>
    </row>
    <row r="272" spans="1:27">
      <c r="A272" s="88" t="s">
        <v>1410</v>
      </c>
      <c r="B272" s="88" t="s">
        <v>1411</v>
      </c>
      <c r="C272" s="149" t="s">
        <v>1412</v>
      </c>
      <c r="D272" s="149"/>
      <c r="E272" s="88" t="s">
        <v>148</v>
      </c>
      <c r="F272" s="24" t="s">
        <v>24</v>
      </c>
      <c r="G272" s="24" t="s">
        <v>24</v>
      </c>
      <c r="H272" s="24" t="s">
        <v>24</v>
      </c>
      <c r="I272" s="24" t="s">
        <v>24</v>
      </c>
      <c r="J272" s="24" t="s">
        <v>24</v>
      </c>
      <c r="K272" s="24" t="s">
        <v>24</v>
      </c>
      <c r="L272" s="24" t="s">
        <v>24</v>
      </c>
      <c r="M272" s="24"/>
      <c r="N272" s="149"/>
      <c r="O272" s="149"/>
      <c r="P272" s="149"/>
      <c r="Q272" s="149"/>
      <c r="R272" s="149"/>
      <c r="S272" s="149"/>
      <c r="T272" s="149"/>
      <c r="U272" s="149"/>
      <c r="V272" s="149"/>
      <c r="W272" s="149"/>
      <c r="X272" s="149"/>
      <c r="Y272" s="149"/>
      <c r="Z272" s="149"/>
      <c r="AA272" s="24" t="s">
        <v>1349</v>
      </c>
    </row>
    <row r="273" spans="1:27">
      <c r="A273" s="88" t="s">
        <v>1413</v>
      </c>
      <c r="B273" s="88" t="s">
        <v>1414</v>
      </c>
      <c r="C273" s="149" t="s">
        <v>1415</v>
      </c>
      <c r="D273" s="149"/>
      <c r="E273" s="88" t="s">
        <v>148</v>
      </c>
      <c r="F273" s="24" t="s">
        <v>24</v>
      </c>
      <c r="G273" s="24" t="s">
        <v>24</v>
      </c>
      <c r="H273" s="24" t="s">
        <v>24</v>
      </c>
      <c r="I273" s="24" t="s">
        <v>24</v>
      </c>
      <c r="J273" s="24" t="s">
        <v>24</v>
      </c>
      <c r="K273" s="24" t="s">
        <v>24</v>
      </c>
      <c r="L273" s="24" t="s">
        <v>24</v>
      </c>
      <c r="M273" s="24"/>
      <c r="N273" s="149"/>
      <c r="O273" s="149"/>
      <c r="P273" s="149"/>
      <c r="Q273" s="149"/>
      <c r="R273" s="149"/>
      <c r="S273" s="149"/>
      <c r="T273" s="149"/>
      <c r="U273" s="149"/>
      <c r="V273" s="149"/>
      <c r="W273" s="149"/>
      <c r="X273" s="149"/>
      <c r="Y273" s="149"/>
      <c r="Z273" s="149"/>
      <c r="AA273" s="24" t="s">
        <v>1349</v>
      </c>
    </row>
    <row r="274" spans="1:27">
      <c r="A274" s="88" t="s">
        <v>1416</v>
      </c>
      <c r="B274" s="88" t="s">
        <v>1417</v>
      </c>
      <c r="C274" s="149" t="s">
        <v>1418</v>
      </c>
      <c r="D274" s="149"/>
      <c r="E274" s="88" t="s">
        <v>148</v>
      </c>
      <c r="F274" s="24" t="s">
        <v>24</v>
      </c>
      <c r="G274" s="24" t="s">
        <v>24</v>
      </c>
      <c r="H274" s="24" t="s">
        <v>24</v>
      </c>
      <c r="I274" s="24" t="s">
        <v>24</v>
      </c>
      <c r="J274" s="24" t="s">
        <v>24</v>
      </c>
      <c r="K274" s="24" t="s">
        <v>24</v>
      </c>
      <c r="L274" s="24" t="s">
        <v>24</v>
      </c>
      <c r="M274" s="24"/>
      <c r="N274" s="149"/>
      <c r="O274" s="149"/>
      <c r="P274" s="149"/>
      <c r="Q274" s="149"/>
      <c r="R274" s="149"/>
      <c r="S274" s="149"/>
      <c r="T274" s="149"/>
      <c r="U274" s="149"/>
      <c r="V274" s="149"/>
      <c r="W274" s="149"/>
      <c r="X274" s="149"/>
      <c r="Y274" s="149"/>
      <c r="Z274" s="149"/>
      <c r="AA274" s="24" t="s">
        <v>1349</v>
      </c>
    </row>
    <row r="275" spans="1:27">
      <c r="A275" s="88" t="s">
        <v>1419</v>
      </c>
      <c r="B275" s="88" t="s">
        <v>1420</v>
      </c>
      <c r="C275" s="149" t="s">
        <v>1421</v>
      </c>
      <c r="D275" s="149"/>
      <c r="E275" s="88" t="s">
        <v>148</v>
      </c>
      <c r="F275" s="24" t="s">
        <v>24</v>
      </c>
      <c r="G275" s="24" t="s">
        <v>24</v>
      </c>
      <c r="H275" s="24" t="s">
        <v>24</v>
      </c>
      <c r="I275" s="24" t="s">
        <v>24</v>
      </c>
      <c r="J275" s="24" t="s">
        <v>24</v>
      </c>
      <c r="K275" s="24" t="s">
        <v>24</v>
      </c>
      <c r="L275" s="24" t="s">
        <v>24</v>
      </c>
      <c r="M275" s="24"/>
      <c r="N275" s="149"/>
      <c r="O275" s="149"/>
      <c r="P275" s="149"/>
      <c r="Q275" s="149"/>
      <c r="R275" s="149"/>
      <c r="S275" s="149"/>
      <c r="T275" s="149"/>
      <c r="U275" s="149"/>
      <c r="V275" s="149"/>
      <c r="W275" s="149"/>
      <c r="X275" s="149"/>
      <c r="Y275" s="149"/>
      <c r="Z275" s="149"/>
      <c r="AA275" s="24" t="s">
        <v>1349</v>
      </c>
    </row>
    <row r="276" spans="1:27">
      <c r="A276" s="438" t="s">
        <v>1422</v>
      </c>
      <c r="B276" s="438" t="s">
        <v>1423</v>
      </c>
      <c r="C276" s="437" t="s">
        <v>1424</v>
      </c>
      <c r="D276" s="149"/>
      <c r="E276" s="88" t="s">
        <v>989</v>
      </c>
      <c r="F276" s="88" t="s">
        <v>989</v>
      </c>
      <c r="G276" s="88" t="s">
        <v>989</v>
      </c>
      <c r="H276" s="88" t="s">
        <v>989</v>
      </c>
      <c r="I276" s="88" t="s">
        <v>989</v>
      </c>
      <c r="J276" s="88" t="s">
        <v>989</v>
      </c>
      <c r="K276" s="88" t="s">
        <v>989</v>
      </c>
      <c r="L276" s="88" t="s">
        <v>989</v>
      </c>
      <c r="M276" s="149"/>
      <c r="N276" s="149"/>
      <c r="O276" s="149"/>
      <c r="P276" s="149"/>
      <c r="Q276" s="149"/>
      <c r="R276" s="149"/>
      <c r="S276" s="149"/>
      <c r="T276" s="149"/>
      <c r="U276" s="149"/>
      <c r="V276" s="149"/>
      <c r="W276" s="149"/>
      <c r="X276" s="149"/>
      <c r="Y276" s="149"/>
      <c r="Z276" s="149"/>
      <c r="AA276" s="24" t="s">
        <v>1349</v>
      </c>
    </row>
    <row r="277" spans="1:27">
      <c r="A277" s="438" t="s">
        <v>1425</v>
      </c>
      <c r="B277" s="438" t="s">
        <v>1426</v>
      </c>
      <c r="C277" s="437" t="s">
        <v>1427</v>
      </c>
      <c r="D277" s="149"/>
      <c r="E277" s="88" t="s">
        <v>989</v>
      </c>
      <c r="F277" s="88" t="s">
        <v>989</v>
      </c>
      <c r="G277" s="88" t="s">
        <v>989</v>
      </c>
      <c r="H277" s="88" t="s">
        <v>989</v>
      </c>
      <c r="I277" s="88" t="s">
        <v>989</v>
      </c>
      <c r="J277" s="88" t="s">
        <v>989</v>
      </c>
      <c r="K277" s="88" t="s">
        <v>989</v>
      </c>
      <c r="L277" s="88" t="s">
        <v>989</v>
      </c>
      <c r="M277" s="149"/>
      <c r="N277" s="149"/>
      <c r="O277" s="149"/>
      <c r="P277" s="149"/>
      <c r="Q277" s="149"/>
      <c r="R277" s="149"/>
      <c r="S277" s="149"/>
      <c r="T277" s="149"/>
      <c r="U277" s="149"/>
      <c r="V277" s="149"/>
      <c r="W277" s="149"/>
      <c r="X277" s="149"/>
      <c r="Y277" s="149"/>
      <c r="Z277" s="149"/>
      <c r="AA277" s="24" t="s">
        <v>1349</v>
      </c>
    </row>
    <row r="278" spans="1:27">
      <c r="A278" s="438" t="s">
        <v>1428</v>
      </c>
      <c r="B278" s="438" t="s">
        <v>1429</v>
      </c>
      <c r="C278" s="437" t="s">
        <v>1430</v>
      </c>
      <c r="D278" s="149"/>
      <c r="E278" s="88" t="s">
        <v>989</v>
      </c>
      <c r="F278" s="88" t="s">
        <v>989</v>
      </c>
      <c r="G278" s="88" t="s">
        <v>989</v>
      </c>
      <c r="H278" s="88" t="s">
        <v>989</v>
      </c>
      <c r="I278" s="88" t="s">
        <v>989</v>
      </c>
      <c r="J278" s="88" t="s">
        <v>989</v>
      </c>
      <c r="K278" s="88" t="s">
        <v>989</v>
      </c>
      <c r="L278" s="88" t="s">
        <v>989</v>
      </c>
      <c r="M278" s="149"/>
      <c r="N278" s="149"/>
      <c r="O278" s="149"/>
      <c r="P278" s="149"/>
      <c r="Q278" s="149"/>
      <c r="R278" s="149"/>
      <c r="S278" s="149"/>
      <c r="T278" s="149"/>
      <c r="U278" s="149"/>
      <c r="V278" s="149"/>
      <c r="W278" s="149"/>
      <c r="X278" s="149"/>
      <c r="Y278" s="149"/>
      <c r="Z278" s="149"/>
      <c r="AA278" s="24" t="s">
        <v>1349</v>
      </c>
    </row>
    <row r="279" spans="1:27">
      <c r="A279" s="438" t="s">
        <v>1431</v>
      </c>
      <c r="B279" s="438" t="s">
        <v>1432</v>
      </c>
      <c r="C279" s="437" t="s">
        <v>1433</v>
      </c>
      <c r="D279" s="149"/>
      <c r="E279" s="88" t="s">
        <v>989</v>
      </c>
      <c r="F279" s="88" t="s">
        <v>989</v>
      </c>
      <c r="G279" s="88" t="s">
        <v>989</v>
      </c>
      <c r="H279" s="88" t="s">
        <v>989</v>
      </c>
      <c r="I279" s="88" t="s">
        <v>989</v>
      </c>
      <c r="J279" s="88" t="s">
        <v>989</v>
      </c>
      <c r="K279" s="88" t="s">
        <v>989</v>
      </c>
      <c r="L279" s="88" t="s">
        <v>989</v>
      </c>
      <c r="M279" s="149"/>
      <c r="N279" s="149"/>
      <c r="O279" s="149"/>
      <c r="P279" s="149"/>
      <c r="Q279" s="149"/>
      <c r="R279" s="149"/>
      <c r="S279" s="149"/>
      <c r="T279" s="149"/>
      <c r="U279" s="149"/>
      <c r="V279" s="149"/>
      <c r="W279" s="149"/>
      <c r="X279" s="149"/>
      <c r="Y279" s="149"/>
      <c r="Z279" s="149"/>
      <c r="AA279" s="24" t="s">
        <v>1349</v>
      </c>
    </row>
    <row r="280" spans="1:27">
      <c r="A280" s="438" t="s">
        <v>1434</v>
      </c>
      <c r="B280" s="438" t="s">
        <v>1435</v>
      </c>
      <c r="C280" s="437" t="s">
        <v>1436</v>
      </c>
      <c r="D280" s="149"/>
      <c r="E280" s="88" t="s">
        <v>989</v>
      </c>
      <c r="F280" s="88" t="s">
        <v>989</v>
      </c>
      <c r="G280" s="88" t="s">
        <v>989</v>
      </c>
      <c r="H280" s="88" t="s">
        <v>989</v>
      </c>
      <c r="I280" s="88" t="s">
        <v>989</v>
      </c>
      <c r="J280" s="88" t="s">
        <v>989</v>
      </c>
      <c r="K280" s="88" t="s">
        <v>989</v>
      </c>
      <c r="L280" s="88" t="s">
        <v>989</v>
      </c>
      <c r="M280" s="149"/>
      <c r="N280" s="149"/>
      <c r="O280" s="149"/>
      <c r="P280" s="149"/>
      <c r="Q280" s="149"/>
      <c r="R280" s="149"/>
      <c r="S280" s="149"/>
      <c r="T280" s="149"/>
      <c r="U280" s="149"/>
      <c r="V280" s="149"/>
      <c r="W280" s="149"/>
      <c r="X280" s="149"/>
      <c r="Y280" s="149"/>
      <c r="Z280" s="149"/>
      <c r="AA280" s="24" t="s">
        <v>1349</v>
      </c>
    </row>
    <row r="281" spans="1:27" ht="12">
      <c r="A281" s="438" t="s">
        <v>1437</v>
      </c>
      <c r="B281" s="438" t="s">
        <v>1438</v>
      </c>
      <c r="C281" s="439" t="s">
        <v>1439</v>
      </c>
      <c r="D281" s="149"/>
      <c r="E281" s="88" t="s">
        <v>989</v>
      </c>
      <c r="F281" s="88" t="s">
        <v>989</v>
      </c>
      <c r="G281" s="88" t="s">
        <v>989</v>
      </c>
      <c r="H281" s="414" t="s">
        <v>1252</v>
      </c>
      <c r="I281" s="414" t="s">
        <v>1252</v>
      </c>
      <c r="J281" s="414" t="s">
        <v>1252</v>
      </c>
      <c r="K281" s="414" t="s">
        <v>1252</v>
      </c>
      <c r="L281" s="414" t="s">
        <v>1252</v>
      </c>
      <c r="M281" s="149"/>
      <c r="N281" s="149"/>
      <c r="O281" s="149"/>
      <c r="P281" s="149"/>
      <c r="Q281" s="149"/>
      <c r="R281" s="149"/>
      <c r="S281" s="149"/>
      <c r="T281" s="149"/>
      <c r="U281" s="149"/>
      <c r="V281" s="149"/>
      <c r="W281" s="149"/>
      <c r="X281" s="149"/>
      <c r="Y281" s="149"/>
      <c r="Z281" s="149"/>
      <c r="AA281" s="24" t="s">
        <v>1349</v>
      </c>
    </row>
    <row r="282" spans="1:27" ht="12">
      <c r="A282" s="438" t="s">
        <v>1440</v>
      </c>
      <c r="B282" s="438" t="s">
        <v>1441</v>
      </c>
      <c r="C282" s="439" t="s">
        <v>1442</v>
      </c>
      <c r="D282" s="149"/>
      <c r="E282" s="88" t="s">
        <v>989</v>
      </c>
      <c r="F282" s="88" t="s">
        <v>989</v>
      </c>
      <c r="G282" s="88" t="s">
        <v>989</v>
      </c>
      <c r="H282" s="414" t="s">
        <v>1252</v>
      </c>
      <c r="I282" s="414" t="s">
        <v>1252</v>
      </c>
      <c r="J282" s="414" t="s">
        <v>1252</v>
      </c>
      <c r="K282" s="414" t="s">
        <v>1252</v>
      </c>
      <c r="L282" s="414" t="s">
        <v>1252</v>
      </c>
      <c r="M282" s="149"/>
      <c r="N282" s="149"/>
      <c r="O282" s="149"/>
      <c r="P282" s="149"/>
      <c r="Q282" s="149"/>
      <c r="R282" s="149"/>
      <c r="S282" s="149"/>
      <c r="T282" s="149"/>
      <c r="U282" s="149"/>
      <c r="V282" s="149"/>
      <c r="W282" s="149"/>
      <c r="X282" s="149"/>
      <c r="Y282" s="149"/>
      <c r="Z282" s="149"/>
      <c r="AA282" s="24" t="s">
        <v>1349</v>
      </c>
    </row>
    <row r="283" spans="1:27" ht="12">
      <c r="A283" s="438" t="s">
        <v>1443</v>
      </c>
      <c r="B283" s="438" t="s">
        <v>1444</v>
      </c>
      <c r="C283" s="439" t="s">
        <v>1445</v>
      </c>
      <c r="D283" s="149"/>
      <c r="E283" s="88" t="s">
        <v>989</v>
      </c>
      <c r="F283" s="88" t="s">
        <v>989</v>
      </c>
      <c r="G283" s="88" t="s">
        <v>989</v>
      </c>
      <c r="H283" s="414" t="s">
        <v>1252</v>
      </c>
      <c r="I283" s="414" t="s">
        <v>1252</v>
      </c>
      <c r="J283" s="414" t="s">
        <v>1252</v>
      </c>
      <c r="K283" s="414" t="s">
        <v>1252</v>
      </c>
      <c r="L283" s="414" t="s">
        <v>1252</v>
      </c>
      <c r="M283" s="149"/>
      <c r="N283" s="149"/>
      <c r="O283" s="149"/>
      <c r="P283" s="149"/>
      <c r="Q283" s="149"/>
      <c r="R283" s="149"/>
      <c r="S283" s="149"/>
      <c r="T283" s="149"/>
      <c r="U283" s="149"/>
      <c r="V283" s="149"/>
      <c r="W283" s="149"/>
      <c r="X283" s="149"/>
      <c r="Y283" s="149"/>
      <c r="Z283" s="149"/>
      <c r="AA283" s="24" t="s">
        <v>1349</v>
      </c>
    </row>
    <row r="284" spans="1:27" ht="12">
      <c r="A284" s="438" t="s">
        <v>1446</v>
      </c>
      <c r="B284" s="438" t="s">
        <v>1447</v>
      </c>
      <c r="C284" s="439" t="s">
        <v>1448</v>
      </c>
      <c r="D284" s="149"/>
      <c r="E284" s="88" t="s">
        <v>989</v>
      </c>
      <c r="F284" s="88" t="s">
        <v>989</v>
      </c>
      <c r="G284" s="88" t="s">
        <v>989</v>
      </c>
      <c r="H284" s="414" t="s">
        <v>1252</v>
      </c>
      <c r="I284" s="414" t="s">
        <v>1252</v>
      </c>
      <c r="J284" s="414" t="s">
        <v>1252</v>
      </c>
      <c r="K284" s="414" t="s">
        <v>1252</v>
      </c>
      <c r="L284" s="414" t="s">
        <v>1252</v>
      </c>
      <c r="M284" s="149"/>
      <c r="N284" s="149"/>
      <c r="O284" s="149"/>
      <c r="P284" s="149"/>
      <c r="Q284" s="149"/>
      <c r="R284" s="149"/>
      <c r="S284" s="149"/>
      <c r="T284" s="149"/>
      <c r="U284" s="149"/>
      <c r="V284" s="149"/>
      <c r="W284" s="149"/>
      <c r="X284" s="149"/>
      <c r="Y284" s="149"/>
      <c r="Z284" s="149"/>
      <c r="AA284" s="24" t="s">
        <v>1349</v>
      </c>
    </row>
    <row r="285" spans="1:27" ht="12">
      <c r="A285" s="438" t="s">
        <v>1449</v>
      </c>
      <c r="B285" s="438" t="s">
        <v>1450</v>
      </c>
      <c r="C285" s="439" t="s">
        <v>1451</v>
      </c>
      <c r="D285" s="149"/>
      <c r="E285" s="88" t="s">
        <v>989</v>
      </c>
      <c r="F285" s="88" t="s">
        <v>989</v>
      </c>
      <c r="G285" s="88" t="s">
        <v>989</v>
      </c>
      <c r="H285" s="414" t="s">
        <v>1252</v>
      </c>
      <c r="I285" s="414" t="s">
        <v>1252</v>
      </c>
      <c r="J285" s="414" t="s">
        <v>1252</v>
      </c>
      <c r="K285" s="414" t="s">
        <v>1252</v>
      </c>
      <c r="L285" s="414" t="s">
        <v>1252</v>
      </c>
      <c r="M285" s="149"/>
      <c r="N285" s="149"/>
      <c r="O285" s="149"/>
      <c r="P285" s="149"/>
      <c r="Q285" s="149"/>
      <c r="R285" s="149"/>
      <c r="S285" s="149"/>
      <c r="T285" s="149"/>
      <c r="U285" s="149"/>
      <c r="V285" s="149"/>
      <c r="W285" s="149"/>
      <c r="X285" s="149"/>
      <c r="Y285" s="149"/>
      <c r="Z285" s="149"/>
      <c r="AA285" s="24" t="s">
        <v>1349</v>
      </c>
    </row>
    <row r="286" spans="1:27" ht="12">
      <c r="A286" s="438" t="s">
        <v>1452</v>
      </c>
      <c r="B286" s="438" t="s">
        <v>1453</v>
      </c>
      <c r="C286" s="439" t="s">
        <v>1454</v>
      </c>
      <c r="D286" s="149"/>
      <c r="E286" s="88" t="s">
        <v>989</v>
      </c>
      <c r="F286" s="88" t="s">
        <v>989</v>
      </c>
      <c r="G286" s="88" t="s">
        <v>989</v>
      </c>
      <c r="H286" s="414" t="s">
        <v>1252</v>
      </c>
      <c r="I286" s="414" t="s">
        <v>1252</v>
      </c>
      <c r="J286" s="414" t="s">
        <v>1252</v>
      </c>
      <c r="K286" s="414" t="s">
        <v>1252</v>
      </c>
      <c r="L286" s="414" t="s">
        <v>1252</v>
      </c>
      <c r="M286" s="149"/>
      <c r="N286" s="149"/>
      <c r="O286" s="149"/>
      <c r="P286" s="149"/>
      <c r="Q286" s="149"/>
      <c r="R286" s="149"/>
      <c r="S286" s="149"/>
      <c r="T286" s="149"/>
      <c r="U286" s="149"/>
      <c r="V286" s="149"/>
      <c r="W286" s="149"/>
      <c r="X286" s="149"/>
      <c r="Y286" s="149"/>
      <c r="Z286" s="149"/>
      <c r="AA286" s="24" t="s">
        <v>1349</v>
      </c>
    </row>
    <row r="287" spans="1:27" ht="12">
      <c r="A287" s="438" t="s">
        <v>1455</v>
      </c>
      <c r="B287" s="438" t="s">
        <v>1456</v>
      </c>
      <c r="C287" s="439" t="s">
        <v>1457</v>
      </c>
      <c r="D287" s="149"/>
      <c r="E287" s="88" t="s">
        <v>989</v>
      </c>
      <c r="F287" s="88" t="s">
        <v>989</v>
      </c>
      <c r="G287" s="88" t="s">
        <v>989</v>
      </c>
      <c r="H287" s="414" t="s">
        <v>1252</v>
      </c>
      <c r="I287" s="414" t="s">
        <v>1252</v>
      </c>
      <c r="J287" s="414" t="s">
        <v>1252</v>
      </c>
      <c r="K287" s="414" t="s">
        <v>1252</v>
      </c>
      <c r="L287" s="414" t="s">
        <v>1252</v>
      </c>
      <c r="M287" s="149"/>
      <c r="N287" s="149"/>
      <c r="O287" s="149"/>
      <c r="P287" s="149"/>
      <c r="Q287" s="149"/>
      <c r="R287" s="149"/>
      <c r="S287" s="149"/>
      <c r="T287" s="149"/>
      <c r="U287" s="149"/>
      <c r="V287" s="149"/>
      <c r="W287" s="149"/>
      <c r="X287" s="149"/>
      <c r="Y287" s="149"/>
      <c r="Z287" s="149"/>
      <c r="AA287" s="24" t="s">
        <v>1349</v>
      </c>
    </row>
    <row r="288" spans="1:27" ht="12">
      <c r="A288" s="438" t="s">
        <v>1458</v>
      </c>
      <c r="B288" s="438" t="s">
        <v>1459</v>
      </c>
      <c r="C288" s="439" t="s">
        <v>1460</v>
      </c>
      <c r="D288" s="149"/>
      <c r="E288" s="88" t="s">
        <v>989</v>
      </c>
      <c r="F288" s="88" t="s">
        <v>989</v>
      </c>
      <c r="G288" s="88" t="s">
        <v>989</v>
      </c>
      <c r="H288" s="414" t="s">
        <v>1252</v>
      </c>
      <c r="I288" s="414" t="s">
        <v>1252</v>
      </c>
      <c r="J288" s="414" t="s">
        <v>1252</v>
      </c>
      <c r="K288" s="414" t="s">
        <v>1252</v>
      </c>
      <c r="L288" s="414" t="s">
        <v>1252</v>
      </c>
      <c r="M288" s="149"/>
      <c r="N288" s="149"/>
      <c r="O288" s="149"/>
      <c r="P288" s="149"/>
      <c r="Q288" s="149"/>
      <c r="R288" s="149"/>
      <c r="S288" s="149"/>
      <c r="T288" s="149"/>
      <c r="U288" s="149"/>
      <c r="V288" s="149"/>
      <c r="W288" s="149"/>
      <c r="X288" s="149"/>
      <c r="Y288" s="149"/>
      <c r="Z288" s="149"/>
      <c r="AA288" s="24" t="s">
        <v>1349</v>
      </c>
    </row>
    <row r="289" spans="1:27" ht="12">
      <c r="A289" s="438" t="s">
        <v>1461</v>
      </c>
      <c r="B289" s="438" t="s">
        <v>1462</v>
      </c>
      <c r="C289" s="439" t="s">
        <v>1463</v>
      </c>
      <c r="D289" s="149"/>
      <c r="E289" s="88" t="s">
        <v>989</v>
      </c>
      <c r="F289" s="88" t="s">
        <v>989</v>
      </c>
      <c r="G289" s="88" t="s">
        <v>989</v>
      </c>
      <c r="H289" s="414" t="s">
        <v>1252</v>
      </c>
      <c r="I289" s="414" t="s">
        <v>1252</v>
      </c>
      <c r="J289" s="414" t="s">
        <v>1252</v>
      </c>
      <c r="K289" s="414" t="s">
        <v>1252</v>
      </c>
      <c r="L289" s="414" t="s">
        <v>1252</v>
      </c>
      <c r="M289" s="149"/>
      <c r="N289" s="149"/>
      <c r="O289" s="149"/>
      <c r="P289" s="149"/>
      <c r="Q289" s="149"/>
      <c r="R289" s="149"/>
      <c r="S289" s="149"/>
      <c r="T289" s="149"/>
      <c r="U289" s="149"/>
      <c r="V289" s="149"/>
      <c r="W289" s="149"/>
      <c r="X289" s="149"/>
      <c r="Y289" s="149"/>
      <c r="Z289" s="149"/>
      <c r="AA289" s="24" t="s">
        <v>1349</v>
      </c>
    </row>
    <row r="290" spans="1:27">
      <c r="A290" s="438" t="s">
        <v>1464</v>
      </c>
      <c r="B290" s="438" t="s">
        <v>1465</v>
      </c>
      <c r="C290" s="439" t="s">
        <v>1466</v>
      </c>
      <c r="D290" s="149"/>
      <c r="E290" s="88" t="s">
        <v>989</v>
      </c>
      <c r="F290" s="88" t="s">
        <v>989</v>
      </c>
      <c r="G290" s="88" t="s">
        <v>924</v>
      </c>
      <c r="H290" s="88" t="s">
        <v>989</v>
      </c>
      <c r="I290" s="88" t="s">
        <v>989</v>
      </c>
      <c r="J290" s="88" t="s">
        <v>989</v>
      </c>
      <c r="K290" s="88" t="s">
        <v>989</v>
      </c>
      <c r="L290" s="88" t="s">
        <v>989</v>
      </c>
      <c r="M290" s="149"/>
      <c r="N290" s="149"/>
      <c r="O290" s="149"/>
      <c r="P290" s="149"/>
      <c r="Q290" s="149"/>
      <c r="R290" s="149"/>
      <c r="S290" s="149"/>
      <c r="T290" s="149"/>
      <c r="U290" s="149"/>
      <c r="V290" s="149"/>
      <c r="W290" s="149"/>
      <c r="X290" s="149"/>
      <c r="Y290" s="149"/>
      <c r="Z290" s="149"/>
      <c r="AA290" s="24" t="s">
        <v>1349</v>
      </c>
    </row>
    <row r="291" spans="1:27">
      <c r="A291" s="438" t="s">
        <v>1467</v>
      </c>
      <c r="B291" s="438" t="s">
        <v>1468</v>
      </c>
      <c r="C291" s="439" t="s">
        <v>1469</v>
      </c>
      <c r="D291" s="149"/>
      <c r="E291" s="88" t="s">
        <v>989</v>
      </c>
      <c r="F291" s="88" t="s">
        <v>989</v>
      </c>
      <c r="G291" s="88" t="s">
        <v>924</v>
      </c>
      <c r="H291" s="88" t="s">
        <v>989</v>
      </c>
      <c r="I291" s="88" t="s">
        <v>989</v>
      </c>
      <c r="J291" s="88" t="s">
        <v>989</v>
      </c>
      <c r="K291" s="88" t="s">
        <v>989</v>
      </c>
      <c r="L291" s="88" t="s">
        <v>989</v>
      </c>
      <c r="M291" s="149"/>
      <c r="N291" s="149"/>
      <c r="O291" s="149"/>
      <c r="P291" s="149"/>
      <c r="Q291" s="149"/>
      <c r="R291" s="149"/>
      <c r="S291" s="149"/>
      <c r="T291" s="149"/>
      <c r="U291" s="149"/>
      <c r="V291" s="149"/>
      <c r="W291" s="149"/>
      <c r="X291" s="149"/>
      <c r="Y291" s="149"/>
      <c r="Z291" s="149"/>
      <c r="AA291" s="24" t="s">
        <v>1349</v>
      </c>
    </row>
    <row r="292" spans="1:27">
      <c r="A292" s="438" t="s">
        <v>1470</v>
      </c>
      <c r="B292" s="438" t="s">
        <v>1471</v>
      </c>
      <c r="C292" s="439" t="s">
        <v>1472</v>
      </c>
      <c r="D292" s="149"/>
      <c r="E292" s="88" t="s">
        <v>989</v>
      </c>
      <c r="F292" s="88" t="s">
        <v>989</v>
      </c>
      <c r="G292" s="88" t="s">
        <v>924</v>
      </c>
      <c r="H292" s="88" t="s">
        <v>989</v>
      </c>
      <c r="I292" s="88" t="s">
        <v>989</v>
      </c>
      <c r="J292" s="88" t="s">
        <v>989</v>
      </c>
      <c r="K292" s="88" t="s">
        <v>989</v>
      </c>
      <c r="L292" s="88" t="s">
        <v>989</v>
      </c>
      <c r="M292" s="149"/>
      <c r="N292" s="149"/>
      <c r="O292" s="149"/>
      <c r="P292" s="149"/>
      <c r="Q292" s="149"/>
      <c r="R292" s="149"/>
      <c r="S292" s="149"/>
      <c r="T292" s="149"/>
      <c r="U292" s="149"/>
      <c r="V292" s="149"/>
      <c r="W292" s="149"/>
      <c r="X292" s="149"/>
      <c r="Y292" s="149"/>
      <c r="Z292" s="149"/>
      <c r="AA292" s="24" t="s">
        <v>1349</v>
      </c>
    </row>
    <row r="293" spans="1:27">
      <c r="A293" s="438" t="s">
        <v>1473</v>
      </c>
      <c r="B293" s="438" t="s">
        <v>1474</v>
      </c>
      <c r="C293" s="439" t="s">
        <v>1475</v>
      </c>
      <c r="D293" s="149"/>
      <c r="E293" s="88" t="s">
        <v>989</v>
      </c>
      <c r="F293" s="88" t="s">
        <v>989</v>
      </c>
      <c r="G293" s="88" t="s">
        <v>924</v>
      </c>
      <c r="H293" s="88" t="s">
        <v>989</v>
      </c>
      <c r="I293" s="88" t="s">
        <v>989</v>
      </c>
      <c r="J293" s="88" t="s">
        <v>989</v>
      </c>
      <c r="K293" s="88" t="s">
        <v>989</v>
      </c>
      <c r="L293" s="88" t="s">
        <v>989</v>
      </c>
      <c r="M293" s="149"/>
      <c r="N293" s="149"/>
      <c r="O293" s="149"/>
      <c r="P293" s="149"/>
      <c r="Q293" s="149"/>
      <c r="R293" s="149"/>
      <c r="S293" s="149"/>
      <c r="T293" s="149"/>
      <c r="U293" s="149"/>
      <c r="V293" s="149"/>
      <c r="W293" s="149"/>
      <c r="X293" s="149"/>
      <c r="Y293" s="149"/>
      <c r="Z293" s="149"/>
      <c r="AA293" s="24" t="s">
        <v>1349</v>
      </c>
    </row>
    <row r="294" spans="1:27">
      <c r="A294" s="438" t="s">
        <v>1476</v>
      </c>
      <c r="B294" s="438" t="s">
        <v>1477</v>
      </c>
      <c r="C294" s="439" t="s">
        <v>1478</v>
      </c>
      <c r="D294" s="149"/>
      <c r="E294" s="88" t="s">
        <v>989</v>
      </c>
      <c r="F294" s="88" t="s">
        <v>989</v>
      </c>
      <c r="G294" s="88" t="s">
        <v>924</v>
      </c>
      <c r="H294" s="88" t="s">
        <v>989</v>
      </c>
      <c r="I294" s="88" t="s">
        <v>989</v>
      </c>
      <c r="J294" s="88" t="s">
        <v>989</v>
      </c>
      <c r="K294" s="88" t="s">
        <v>989</v>
      </c>
      <c r="L294" s="88" t="s">
        <v>989</v>
      </c>
      <c r="M294" s="149"/>
      <c r="N294" s="149"/>
      <c r="O294" s="149"/>
      <c r="P294" s="149"/>
      <c r="Q294" s="149"/>
      <c r="R294" s="149"/>
      <c r="S294" s="149"/>
      <c r="T294" s="149"/>
      <c r="U294" s="149"/>
      <c r="V294" s="149"/>
      <c r="W294" s="149"/>
      <c r="X294" s="149"/>
      <c r="Y294" s="149"/>
      <c r="Z294" s="149"/>
      <c r="AA294" s="24" t="s">
        <v>1349</v>
      </c>
    </row>
    <row r="295" spans="1:27">
      <c r="A295" s="438" t="s">
        <v>1479</v>
      </c>
      <c r="B295" s="438" t="s">
        <v>1480</v>
      </c>
      <c r="C295" s="439" t="s">
        <v>1481</v>
      </c>
      <c r="D295" s="149"/>
      <c r="E295" s="88" t="s">
        <v>989</v>
      </c>
      <c r="F295" s="88" t="s">
        <v>989</v>
      </c>
      <c r="G295" s="88" t="s">
        <v>924</v>
      </c>
      <c r="H295" s="88" t="s">
        <v>989</v>
      </c>
      <c r="I295" s="88" t="s">
        <v>989</v>
      </c>
      <c r="J295" s="88" t="s">
        <v>989</v>
      </c>
      <c r="K295" s="88" t="s">
        <v>989</v>
      </c>
      <c r="L295" s="88" t="s">
        <v>989</v>
      </c>
      <c r="M295" s="149"/>
      <c r="N295" s="149"/>
      <c r="O295" s="149"/>
      <c r="P295" s="149"/>
      <c r="Q295" s="149"/>
      <c r="R295" s="149"/>
      <c r="S295" s="149"/>
      <c r="T295" s="149"/>
      <c r="U295" s="149"/>
      <c r="V295" s="149"/>
      <c r="W295" s="149"/>
      <c r="X295" s="149"/>
      <c r="Y295" s="149"/>
      <c r="Z295" s="149"/>
      <c r="AA295" s="24" t="s">
        <v>1349</v>
      </c>
    </row>
    <row r="296" spans="1:27">
      <c r="A296" s="88" t="s">
        <v>1482</v>
      </c>
      <c r="B296" s="88" t="s">
        <v>1483</v>
      </c>
      <c r="C296" s="554" t="s">
        <v>1484</v>
      </c>
      <c r="D296" s="149"/>
      <c r="E296" s="88" t="s">
        <v>148</v>
      </c>
      <c r="F296" s="24" t="s">
        <v>24</v>
      </c>
      <c r="G296" s="24" t="s">
        <v>24</v>
      </c>
      <c r="H296" s="24" t="s">
        <v>24</v>
      </c>
      <c r="I296" s="24" t="s">
        <v>24</v>
      </c>
      <c r="J296" s="24" t="s">
        <v>24</v>
      </c>
      <c r="K296" s="24" t="s">
        <v>24</v>
      </c>
      <c r="L296" s="24" t="s">
        <v>24</v>
      </c>
      <c r="M296" s="24"/>
      <c r="N296" s="149"/>
      <c r="O296" s="149"/>
      <c r="P296" s="149"/>
      <c r="Q296" s="149"/>
      <c r="R296" s="149"/>
      <c r="S296" s="149"/>
      <c r="T296" s="149"/>
      <c r="U296" s="149"/>
      <c r="V296" s="149"/>
      <c r="W296" s="149"/>
      <c r="X296" s="149"/>
      <c r="Y296" s="149"/>
      <c r="Z296" s="149"/>
      <c r="AA296" s="24" t="s">
        <v>1485</v>
      </c>
    </row>
    <row r="297" spans="1:27">
      <c r="A297" s="88" t="s">
        <v>1486</v>
      </c>
      <c r="B297" s="88" t="s">
        <v>1487</v>
      </c>
      <c r="C297" s="554" t="s">
        <v>1488</v>
      </c>
      <c r="D297" s="149"/>
      <c r="E297" s="88" t="s">
        <v>148</v>
      </c>
      <c r="F297" s="24" t="s">
        <v>24</v>
      </c>
      <c r="G297" s="24" t="s">
        <v>24</v>
      </c>
      <c r="H297" s="24" t="s">
        <v>24</v>
      </c>
      <c r="I297" s="24" t="s">
        <v>24</v>
      </c>
      <c r="J297" s="24" t="s">
        <v>24</v>
      </c>
      <c r="K297" s="24" t="s">
        <v>24</v>
      </c>
      <c r="L297" s="24" t="s">
        <v>24</v>
      </c>
      <c r="M297" s="24"/>
      <c r="N297" s="149"/>
      <c r="O297" s="149"/>
      <c r="P297" s="149"/>
      <c r="Q297" s="149"/>
      <c r="R297" s="149"/>
      <c r="S297" s="149"/>
      <c r="T297" s="149"/>
      <c r="U297" s="149"/>
      <c r="V297" s="149"/>
      <c r="W297" s="149"/>
      <c r="X297" s="149"/>
      <c r="Y297" s="149"/>
      <c r="Z297" s="149"/>
      <c r="AA297" s="24" t="s">
        <v>1485</v>
      </c>
    </row>
    <row r="298" spans="1:27">
      <c r="A298" s="88" t="s">
        <v>1489</v>
      </c>
      <c r="B298" s="88" t="s">
        <v>1490</v>
      </c>
      <c r="C298" s="554" t="s">
        <v>1491</v>
      </c>
      <c r="D298" s="149"/>
      <c r="E298" s="88" t="s">
        <v>148</v>
      </c>
      <c r="F298" s="24" t="s">
        <v>24</v>
      </c>
      <c r="G298" s="24" t="s">
        <v>24</v>
      </c>
      <c r="H298" s="24" t="s">
        <v>24</v>
      </c>
      <c r="I298" s="24" t="s">
        <v>24</v>
      </c>
      <c r="J298" s="24" t="s">
        <v>24</v>
      </c>
      <c r="K298" s="24" t="s">
        <v>24</v>
      </c>
      <c r="L298" s="24" t="s">
        <v>24</v>
      </c>
      <c r="M298" s="24"/>
      <c r="N298" s="149"/>
      <c r="O298" s="149"/>
      <c r="P298" s="149"/>
      <c r="Q298" s="149"/>
      <c r="R298" s="149"/>
      <c r="S298" s="149"/>
      <c r="T298" s="149"/>
      <c r="U298" s="149"/>
      <c r="V298" s="149"/>
      <c r="W298" s="149"/>
      <c r="X298" s="149"/>
      <c r="Y298" s="149"/>
      <c r="Z298" s="149"/>
      <c r="AA298" s="24" t="s">
        <v>1485</v>
      </c>
    </row>
    <row r="299" spans="1:27">
      <c r="A299" s="88" t="s">
        <v>1492</v>
      </c>
      <c r="B299" s="88" t="s">
        <v>1493</v>
      </c>
      <c r="C299" s="554" t="s">
        <v>1494</v>
      </c>
      <c r="D299" s="149"/>
      <c r="E299" s="88" t="s">
        <v>148</v>
      </c>
      <c r="F299" s="24" t="s">
        <v>24</v>
      </c>
      <c r="G299" s="24" t="s">
        <v>24</v>
      </c>
      <c r="H299" s="24" t="s">
        <v>24</v>
      </c>
      <c r="I299" s="24" t="s">
        <v>24</v>
      </c>
      <c r="J299" s="24" t="s">
        <v>24</v>
      </c>
      <c r="K299" s="24" t="s">
        <v>24</v>
      </c>
      <c r="L299" s="24" t="s">
        <v>24</v>
      </c>
      <c r="M299" s="24"/>
      <c r="N299" s="149"/>
      <c r="O299" s="149"/>
      <c r="P299" s="149"/>
      <c r="Q299" s="149"/>
      <c r="R299" s="149"/>
      <c r="S299" s="149"/>
      <c r="T299" s="149"/>
      <c r="U299" s="149"/>
      <c r="V299" s="149"/>
      <c r="W299" s="149"/>
      <c r="X299" s="149"/>
      <c r="Y299" s="149"/>
      <c r="Z299" s="149"/>
      <c r="AA299" s="24" t="s">
        <v>1485</v>
      </c>
    </row>
    <row r="300" spans="1:27">
      <c r="A300" s="88" t="s">
        <v>1495</v>
      </c>
      <c r="B300" s="88" t="s">
        <v>1496</v>
      </c>
      <c r="C300" s="554" t="s">
        <v>1497</v>
      </c>
      <c r="D300" s="149"/>
      <c r="E300" s="88" t="s">
        <v>148</v>
      </c>
      <c r="F300" s="24" t="s">
        <v>24</v>
      </c>
      <c r="G300" s="24" t="s">
        <v>24</v>
      </c>
      <c r="H300" s="24" t="s">
        <v>24</v>
      </c>
      <c r="I300" s="24" t="s">
        <v>24</v>
      </c>
      <c r="J300" s="24" t="s">
        <v>24</v>
      </c>
      <c r="K300" s="24" t="s">
        <v>24</v>
      </c>
      <c r="L300" s="24" t="s">
        <v>24</v>
      </c>
      <c r="M300" s="24"/>
      <c r="N300" s="149"/>
      <c r="O300" s="149"/>
      <c r="P300" s="149"/>
      <c r="Q300" s="149"/>
      <c r="R300" s="149"/>
      <c r="S300" s="149"/>
      <c r="T300" s="149"/>
      <c r="U300" s="149"/>
      <c r="V300" s="149"/>
      <c r="W300" s="149"/>
      <c r="X300" s="149"/>
      <c r="Y300" s="149"/>
      <c r="Z300" s="149"/>
      <c r="AA300" s="24" t="s">
        <v>1485</v>
      </c>
    </row>
    <row r="301" spans="1:27">
      <c r="A301" s="88" t="s">
        <v>1498</v>
      </c>
      <c r="B301" s="88" t="s">
        <v>1499</v>
      </c>
      <c r="C301" s="410" t="s">
        <v>1500</v>
      </c>
      <c r="D301" s="149"/>
      <c r="E301" s="88" t="s">
        <v>989</v>
      </c>
      <c r="F301" s="24" t="s">
        <v>989</v>
      </c>
      <c r="G301" s="24" t="s">
        <v>924</v>
      </c>
      <c r="H301" s="24" t="s">
        <v>924</v>
      </c>
      <c r="I301" s="24" t="s">
        <v>989</v>
      </c>
      <c r="J301" s="24" t="s">
        <v>989</v>
      </c>
      <c r="K301" s="24" t="s">
        <v>989</v>
      </c>
      <c r="L301" s="24" t="s">
        <v>924</v>
      </c>
      <c r="M301" s="24"/>
      <c r="N301" s="149"/>
      <c r="O301" s="149"/>
      <c r="P301" s="149"/>
      <c r="Q301" s="149"/>
      <c r="R301" s="149"/>
      <c r="S301" s="149"/>
      <c r="T301" s="149"/>
      <c r="U301" s="149"/>
      <c r="V301" s="149"/>
      <c r="W301" s="149"/>
      <c r="X301" s="149"/>
      <c r="Y301" s="149"/>
      <c r="Z301" s="149"/>
      <c r="AA301" s="24" t="s">
        <v>1501</v>
      </c>
    </row>
    <row r="302" spans="1:27">
      <c r="A302" s="88" t="s">
        <v>1502</v>
      </c>
      <c r="B302" s="88" t="s">
        <v>1503</v>
      </c>
      <c r="C302" s="410" t="s">
        <v>1504</v>
      </c>
      <c r="D302" s="149"/>
      <c r="E302" s="88" t="s">
        <v>989</v>
      </c>
      <c r="F302" s="24" t="s">
        <v>989</v>
      </c>
      <c r="G302" s="24" t="s">
        <v>924</v>
      </c>
      <c r="H302" s="24" t="s">
        <v>924</v>
      </c>
      <c r="I302" s="24" t="s">
        <v>989</v>
      </c>
      <c r="J302" s="24" t="s">
        <v>989</v>
      </c>
      <c r="K302" s="24" t="s">
        <v>989</v>
      </c>
      <c r="L302" s="24" t="s">
        <v>924</v>
      </c>
      <c r="M302" s="24"/>
      <c r="N302" s="149"/>
      <c r="O302" s="149"/>
      <c r="P302" s="149"/>
      <c r="Q302" s="149"/>
      <c r="R302" s="149"/>
      <c r="S302" s="149"/>
      <c r="T302" s="149"/>
      <c r="U302" s="149"/>
      <c r="V302" s="149"/>
      <c r="W302" s="149"/>
      <c r="X302" s="149"/>
      <c r="Y302" s="149"/>
      <c r="Z302" s="149"/>
      <c r="AA302" s="24" t="s">
        <v>1501</v>
      </c>
    </row>
    <row r="303" spans="1:27">
      <c r="A303" s="88" t="s">
        <v>1505</v>
      </c>
      <c r="B303" s="88" t="s">
        <v>1506</v>
      </c>
      <c r="C303" s="410" t="s">
        <v>1507</v>
      </c>
      <c r="D303" s="149"/>
      <c r="E303" s="88" t="s">
        <v>989</v>
      </c>
      <c r="F303" s="24" t="s">
        <v>989</v>
      </c>
      <c r="G303" s="24" t="s">
        <v>924</v>
      </c>
      <c r="H303" s="24" t="s">
        <v>924</v>
      </c>
      <c r="I303" s="24" t="s">
        <v>989</v>
      </c>
      <c r="J303" s="24" t="s">
        <v>989</v>
      </c>
      <c r="K303" s="24" t="s">
        <v>989</v>
      </c>
      <c r="L303" s="24" t="s">
        <v>924</v>
      </c>
      <c r="M303" s="24"/>
      <c r="N303" s="149"/>
      <c r="O303" s="149"/>
      <c r="P303" s="149"/>
      <c r="Q303" s="149"/>
      <c r="R303" s="149"/>
      <c r="S303" s="149"/>
      <c r="T303" s="149"/>
      <c r="U303" s="149"/>
      <c r="V303" s="149"/>
      <c r="W303" s="149"/>
      <c r="X303" s="149"/>
      <c r="Y303" s="149"/>
      <c r="Z303" s="149"/>
      <c r="AA303" s="24" t="s">
        <v>1501</v>
      </c>
    </row>
    <row r="304" spans="1:27">
      <c r="A304" s="88" t="s">
        <v>1508</v>
      </c>
      <c r="B304" s="88" t="s">
        <v>1509</v>
      </c>
      <c r="C304" s="410" t="s">
        <v>1510</v>
      </c>
      <c r="D304" s="149"/>
      <c r="E304" s="88" t="s">
        <v>989</v>
      </c>
      <c r="F304" s="24" t="s">
        <v>989</v>
      </c>
      <c r="G304" s="24" t="s">
        <v>924</v>
      </c>
      <c r="H304" s="24" t="s">
        <v>924</v>
      </c>
      <c r="I304" s="24" t="s">
        <v>989</v>
      </c>
      <c r="J304" s="24" t="s">
        <v>989</v>
      </c>
      <c r="K304" s="24" t="s">
        <v>989</v>
      </c>
      <c r="L304" s="24" t="s">
        <v>924</v>
      </c>
      <c r="M304" s="24"/>
      <c r="N304" s="149"/>
      <c r="O304" s="149"/>
      <c r="P304" s="149"/>
      <c r="Q304" s="149"/>
      <c r="R304" s="149"/>
      <c r="S304" s="149"/>
      <c r="T304" s="149"/>
      <c r="U304" s="149"/>
      <c r="V304" s="149"/>
      <c r="W304" s="149"/>
      <c r="X304" s="149"/>
      <c r="Y304" s="149"/>
      <c r="Z304" s="149"/>
      <c r="AA304" s="24" t="s">
        <v>1501</v>
      </c>
    </row>
    <row r="305" spans="1:27">
      <c r="A305" s="88" t="s">
        <v>1511</v>
      </c>
      <c r="B305" s="88" t="s">
        <v>1512</v>
      </c>
      <c r="C305" s="410" t="s">
        <v>1513</v>
      </c>
      <c r="D305" s="149"/>
      <c r="E305" s="88" t="s">
        <v>989</v>
      </c>
      <c r="F305" s="24" t="s">
        <v>989</v>
      </c>
      <c r="G305" s="24" t="s">
        <v>924</v>
      </c>
      <c r="H305" s="24" t="s">
        <v>924</v>
      </c>
      <c r="I305" s="24" t="s">
        <v>989</v>
      </c>
      <c r="J305" s="24" t="s">
        <v>989</v>
      </c>
      <c r="K305" s="24" t="s">
        <v>989</v>
      </c>
      <c r="L305" s="24" t="s">
        <v>924</v>
      </c>
      <c r="M305" s="24"/>
      <c r="N305" s="149"/>
      <c r="O305" s="149"/>
      <c r="P305" s="149"/>
      <c r="Q305" s="149"/>
      <c r="R305" s="149"/>
      <c r="S305" s="149"/>
      <c r="T305" s="149"/>
      <c r="U305" s="149"/>
      <c r="V305" s="149"/>
      <c r="W305" s="149"/>
      <c r="X305" s="149"/>
      <c r="Y305" s="149"/>
      <c r="Z305" s="149"/>
      <c r="AA305" s="24" t="s">
        <v>1501</v>
      </c>
    </row>
    <row r="306" spans="1:27">
      <c r="A306" s="88" t="s">
        <v>1514</v>
      </c>
      <c r="B306" s="88" t="s">
        <v>1515</v>
      </c>
      <c r="C306" s="410" t="s">
        <v>1516</v>
      </c>
      <c r="D306" s="149"/>
      <c r="E306" s="88" t="s">
        <v>989</v>
      </c>
      <c r="F306" s="24" t="s">
        <v>989</v>
      </c>
      <c r="G306" s="24" t="s">
        <v>924</v>
      </c>
      <c r="H306" s="24" t="s">
        <v>924</v>
      </c>
      <c r="I306" s="24" t="s">
        <v>989</v>
      </c>
      <c r="J306" s="24" t="s">
        <v>989</v>
      </c>
      <c r="K306" s="24" t="s">
        <v>989</v>
      </c>
      <c r="L306" s="24" t="s">
        <v>924</v>
      </c>
      <c r="M306" s="24"/>
      <c r="N306" s="149"/>
      <c r="O306" s="149"/>
      <c r="P306" s="149"/>
      <c r="Q306" s="149"/>
      <c r="R306" s="149"/>
      <c r="S306" s="149"/>
      <c r="T306" s="149"/>
      <c r="U306" s="149"/>
      <c r="V306" s="149"/>
      <c r="W306" s="149"/>
      <c r="X306" s="149"/>
      <c r="Y306" s="149"/>
      <c r="Z306" s="149"/>
      <c r="AA306" s="24" t="s">
        <v>1501</v>
      </c>
    </row>
    <row r="307" spans="1:27">
      <c r="A307" s="88" t="s">
        <v>1517</v>
      </c>
      <c r="B307" s="88" t="s">
        <v>1518</v>
      </c>
      <c r="C307" s="410" t="s">
        <v>1519</v>
      </c>
      <c r="D307" s="149"/>
      <c r="E307" s="88" t="s">
        <v>989</v>
      </c>
      <c r="F307" s="24" t="s">
        <v>989</v>
      </c>
      <c r="G307" s="24" t="s">
        <v>924</v>
      </c>
      <c r="H307" s="24" t="s">
        <v>924</v>
      </c>
      <c r="I307" s="24" t="s">
        <v>989</v>
      </c>
      <c r="J307" s="24" t="s">
        <v>989</v>
      </c>
      <c r="K307" s="24" t="s">
        <v>989</v>
      </c>
      <c r="L307" s="24" t="s">
        <v>924</v>
      </c>
      <c r="M307" s="24"/>
      <c r="N307" s="149"/>
      <c r="O307" s="149"/>
      <c r="P307" s="149"/>
      <c r="Q307" s="149"/>
      <c r="R307" s="149"/>
      <c r="S307" s="149"/>
      <c r="T307" s="149"/>
      <c r="U307" s="149"/>
      <c r="V307" s="149"/>
      <c r="W307" s="149"/>
      <c r="X307" s="149"/>
      <c r="Y307" s="149"/>
      <c r="Z307" s="149"/>
      <c r="AA307" s="24" t="s">
        <v>1501</v>
      </c>
    </row>
    <row r="308" spans="1:27">
      <c r="A308" s="88" t="s">
        <v>1520</v>
      </c>
      <c r="B308" s="88" t="s">
        <v>1521</v>
      </c>
      <c r="C308" s="410" t="s">
        <v>1522</v>
      </c>
      <c r="D308" s="149"/>
      <c r="E308" s="88" t="s">
        <v>989</v>
      </c>
      <c r="F308" s="24" t="s">
        <v>989</v>
      </c>
      <c r="G308" s="24" t="s">
        <v>924</v>
      </c>
      <c r="H308" s="24" t="s">
        <v>924</v>
      </c>
      <c r="I308" s="24" t="s">
        <v>989</v>
      </c>
      <c r="J308" s="24" t="s">
        <v>989</v>
      </c>
      <c r="K308" s="24" t="s">
        <v>989</v>
      </c>
      <c r="L308" s="24" t="s">
        <v>924</v>
      </c>
      <c r="M308" s="24"/>
      <c r="N308" s="149"/>
      <c r="O308" s="149"/>
      <c r="P308" s="149"/>
      <c r="Q308" s="149"/>
      <c r="R308" s="149"/>
      <c r="S308" s="149"/>
      <c r="T308" s="149"/>
      <c r="U308" s="149"/>
      <c r="V308" s="149"/>
      <c r="W308" s="149"/>
      <c r="X308" s="149"/>
      <c r="Y308" s="149"/>
      <c r="Z308" s="149"/>
      <c r="AA308" s="24" t="s">
        <v>1501</v>
      </c>
    </row>
    <row r="309" spans="1:27">
      <c r="A309" s="88" t="s">
        <v>1523</v>
      </c>
      <c r="B309" s="88" t="s">
        <v>1524</v>
      </c>
      <c r="C309" s="410" t="s">
        <v>1525</v>
      </c>
      <c r="D309" s="149"/>
      <c r="E309" s="88" t="s">
        <v>989</v>
      </c>
      <c r="F309" s="24" t="s">
        <v>989</v>
      </c>
      <c r="G309" s="24" t="s">
        <v>924</v>
      </c>
      <c r="H309" s="24" t="s">
        <v>924</v>
      </c>
      <c r="I309" s="24" t="s">
        <v>989</v>
      </c>
      <c r="J309" s="24" t="s">
        <v>989</v>
      </c>
      <c r="K309" s="24" t="s">
        <v>989</v>
      </c>
      <c r="L309" s="24" t="s">
        <v>924</v>
      </c>
      <c r="M309" s="24"/>
      <c r="N309" s="149"/>
      <c r="O309" s="149"/>
      <c r="P309" s="149"/>
      <c r="Q309" s="149"/>
      <c r="R309" s="149"/>
      <c r="S309" s="149"/>
      <c r="T309" s="149"/>
      <c r="U309" s="149"/>
      <c r="V309" s="149"/>
      <c r="W309" s="149"/>
      <c r="X309" s="149"/>
      <c r="Y309" s="149"/>
      <c r="Z309" s="149"/>
      <c r="AA309" s="24" t="s">
        <v>1501</v>
      </c>
    </row>
    <row r="310" spans="1:27">
      <c r="A310" s="88" t="s">
        <v>1526</v>
      </c>
      <c r="B310" s="88" t="s">
        <v>1527</v>
      </c>
      <c r="C310" s="410" t="s">
        <v>1528</v>
      </c>
      <c r="D310" s="149"/>
      <c r="E310" s="88" t="s">
        <v>989</v>
      </c>
      <c r="F310" s="24" t="s">
        <v>989</v>
      </c>
      <c r="G310" s="24" t="s">
        <v>924</v>
      </c>
      <c r="H310" s="24" t="s">
        <v>924</v>
      </c>
      <c r="I310" s="24" t="s">
        <v>989</v>
      </c>
      <c r="J310" s="24" t="s">
        <v>989</v>
      </c>
      <c r="K310" s="24" t="s">
        <v>989</v>
      </c>
      <c r="L310" s="24" t="s">
        <v>924</v>
      </c>
      <c r="M310" s="24"/>
      <c r="N310" s="149"/>
      <c r="O310" s="149"/>
      <c r="P310" s="149"/>
      <c r="Q310" s="149"/>
      <c r="R310" s="149"/>
      <c r="S310" s="149"/>
      <c r="T310" s="149"/>
      <c r="U310" s="149"/>
      <c r="V310" s="149"/>
      <c r="W310" s="149"/>
      <c r="X310" s="149"/>
      <c r="Y310" s="149"/>
      <c r="Z310" s="149"/>
      <c r="AA310" s="24" t="s">
        <v>1501</v>
      </c>
    </row>
    <row r="311" spans="1:27">
      <c r="A311" s="88" t="s">
        <v>1529</v>
      </c>
      <c r="B311" s="88" t="s">
        <v>1530</v>
      </c>
      <c r="C311" s="410" t="s">
        <v>1531</v>
      </c>
      <c r="D311" s="149"/>
      <c r="E311" s="88" t="s">
        <v>989</v>
      </c>
      <c r="F311" s="24" t="s">
        <v>989</v>
      </c>
      <c r="G311" s="24" t="s">
        <v>924</v>
      </c>
      <c r="H311" s="24" t="s">
        <v>924</v>
      </c>
      <c r="I311" s="24" t="s">
        <v>989</v>
      </c>
      <c r="J311" s="24" t="s">
        <v>989</v>
      </c>
      <c r="K311" s="24" t="s">
        <v>989</v>
      </c>
      <c r="L311" s="24" t="s">
        <v>924</v>
      </c>
      <c r="M311" s="24"/>
      <c r="N311" s="149"/>
      <c r="O311" s="149"/>
      <c r="P311" s="149"/>
      <c r="Q311" s="149"/>
      <c r="R311" s="149"/>
      <c r="S311" s="149"/>
      <c r="T311" s="149"/>
      <c r="U311" s="149"/>
      <c r="V311" s="149"/>
      <c r="W311" s="149"/>
      <c r="X311" s="149"/>
      <c r="Y311" s="149"/>
      <c r="Z311" s="149"/>
      <c r="AA311" s="24" t="s">
        <v>1501</v>
      </c>
    </row>
    <row r="312" spans="1:27">
      <c r="A312" s="88" t="s">
        <v>1532</v>
      </c>
      <c r="B312" s="88" t="s">
        <v>1533</v>
      </c>
      <c r="C312" s="410" t="s">
        <v>1534</v>
      </c>
      <c r="D312" s="149"/>
      <c r="E312" s="88" t="s">
        <v>989</v>
      </c>
      <c r="F312" s="24" t="s">
        <v>989</v>
      </c>
      <c r="G312" s="24" t="s">
        <v>924</v>
      </c>
      <c r="H312" s="24" t="s">
        <v>924</v>
      </c>
      <c r="I312" s="24" t="s">
        <v>989</v>
      </c>
      <c r="J312" s="24" t="s">
        <v>989</v>
      </c>
      <c r="K312" s="24" t="s">
        <v>989</v>
      </c>
      <c r="L312" s="24" t="s">
        <v>924</v>
      </c>
      <c r="M312" s="24"/>
      <c r="N312" s="149"/>
      <c r="O312" s="149"/>
      <c r="P312" s="149"/>
      <c r="Q312" s="149"/>
      <c r="R312" s="149"/>
      <c r="S312" s="149"/>
      <c r="T312" s="149"/>
      <c r="U312" s="149"/>
      <c r="V312" s="149"/>
      <c r="W312" s="149"/>
      <c r="X312" s="149"/>
      <c r="Y312" s="149"/>
      <c r="Z312" s="149"/>
      <c r="AA312" s="24" t="s">
        <v>1501</v>
      </c>
    </row>
    <row r="313" spans="1:27">
      <c r="A313" s="88" t="s">
        <v>1535</v>
      </c>
      <c r="B313" s="88" t="s">
        <v>1536</v>
      </c>
      <c r="C313" s="410" t="s">
        <v>1537</v>
      </c>
      <c r="D313" s="149"/>
      <c r="E313" s="88" t="s">
        <v>989</v>
      </c>
      <c r="F313" s="24" t="s">
        <v>989</v>
      </c>
      <c r="G313" s="24" t="s">
        <v>924</v>
      </c>
      <c r="H313" s="24" t="s">
        <v>924</v>
      </c>
      <c r="I313" s="24" t="s">
        <v>989</v>
      </c>
      <c r="J313" s="24" t="s">
        <v>989</v>
      </c>
      <c r="K313" s="24" t="s">
        <v>989</v>
      </c>
      <c r="L313" s="24" t="s">
        <v>924</v>
      </c>
      <c r="M313" s="24"/>
      <c r="N313" s="149"/>
      <c r="O313" s="149"/>
      <c r="P313" s="149"/>
      <c r="Q313" s="149"/>
      <c r="R313" s="149"/>
      <c r="S313" s="149"/>
      <c r="T313" s="149"/>
      <c r="U313" s="149"/>
      <c r="V313" s="149"/>
      <c r="W313" s="149"/>
      <c r="X313" s="149"/>
      <c r="Y313" s="149"/>
      <c r="Z313" s="149"/>
      <c r="AA313" s="24" t="s">
        <v>1501</v>
      </c>
    </row>
    <row r="314" spans="1:27">
      <c r="A314" s="88" t="s">
        <v>1538</v>
      </c>
      <c r="B314" s="88" t="s">
        <v>1539</v>
      </c>
      <c r="C314" s="410" t="s">
        <v>1540</v>
      </c>
      <c r="D314" s="149"/>
      <c r="E314" s="88" t="s">
        <v>989</v>
      </c>
      <c r="F314" s="24" t="s">
        <v>989</v>
      </c>
      <c r="G314" s="24" t="s">
        <v>924</v>
      </c>
      <c r="H314" s="24" t="s">
        <v>924</v>
      </c>
      <c r="I314" s="24" t="s">
        <v>989</v>
      </c>
      <c r="J314" s="24" t="s">
        <v>989</v>
      </c>
      <c r="K314" s="24" t="s">
        <v>989</v>
      </c>
      <c r="L314" s="24" t="s">
        <v>924</v>
      </c>
      <c r="M314" s="24"/>
      <c r="N314" s="149"/>
      <c r="O314" s="149"/>
      <c r="P314" s="149"/>
      <c r="Q314" s="149"/>
      <c r="R314" s="149"/>
      <c r="S314" s="149"/>
      <c r="T314" s="149"/>
      <c r="U314" s="149"/>
      <c r="V314" s="149"/>
      <c r="W314" s="149"/>
      <c r="X314" s="149"/>
      <c r="Y314" s="149"/>
      <c r="Z314" s="149"/>
      <c r="AA314" s="24" t="s">
        <v>1501</v>
      </c>
    </row>
    <row r="315" spans="1:27">
      <c r="A315" s="88" t="s">
        <v>1541</v>
      </c>
      <c r="B315" s="88" t="s">
        <v>1542</v>
      </c>
      <c r="C315" s="410" t="s">
        <v>1543</v>
      </c>
      <c r="D315" s="149"/>
      <c r="E315" s="88" t="s">
        <v>989</v>
      </c>
      <c r="F315" s="24" t="s">
        <v>989</v>
      </c>
      <c r="G315" s="24" t="s">
        <v>924</v>
      </c>
      <c r="H315" s="24" t="s">
        <v>924</v>
      </c>
      <c r="I315" s="24" t="s">
        <v>989</v>
      </c>
      <c r="J315" s="24" t="s">
        <v>989</v>
      </c>
      <c r="K315" s="24" t="s">
        <v>989</v>
      </c>
      <c r="L315" s="24" t="s">
        <v>924</v>
      </c>
      <c r="M315" s="24"/>
      <c r="N315" s="149"/>
      <c r="O315" s="149"/>
      <c r="P315" s="149"/>
      <c r="Q315" s="149"/>
      <c r="R315" s="149"/>
      <c r="S315" s="149"/>
      <c r="T315" s="149"/>
      <c r="U315" s="149"/>
      <c r="V315" s="149"/>
      <c r="W315" s="149"/>
      <c r="X315" s="149"/>
      <c r="Y315" s="149"/>
      <c r="Z315" s="149"/>
      <c r="AA315" s="24" t="s">
        <v>1501</v>
      </c>
    </row>
    <row r="316" spans="1:27">
      <c r="A316" s="88" t="s">
        <v>1544</v>
      </c>
      <c r="B316" s="88" t="s">
        <v>1545</v>
      </c>
      <c r="C316" s="410" t="s">
        <v>1546</v>
      </c>
      <c r="D316" s="149"/>
      <c r="E316" s="88" t="s">
        <v>989</v>
      </c>
      <c r="F316" s="24" t="s">
        <v>989</v>
      </c>
      <c r="G316" s="24" t="s">
        <v>924</v>
      </c>
      <c r="H316" s="24" t="s">
        <v>924</v>
      </c>
      <c r="I316" s="24" t="s">
        <v>989</v>
      </c>
      <c r="J316" s="24" t="s">
        <v>989</v>
      </c>
      <c r="K316" s="24" t="s">
        <v>989</v>
      </c>
      <c r="L316" s="24" t="s">
        <v>924</v>
      </c>
      <c r="M316" s="24"/>
      <c r="N316" s="149"/>
      <c r="O316" s="149"/>
      <c r="P316" s="149"/>
      <c r="Q316" s="149"/>
      <c r="R316" s="149"/>
      <c r="S316" s="149"/>
      <c r="T316" s="149"/>
      <c r="U316" s="149"/>
      <c r="V316" s="149"/>
      <c r="W316" s="149"/>
      <c r="X316" s="149"/>
      <c r="Y316" s="149"/>
      <c r="Z316" s="149"/>
      <c r="AA316" s="24" t="s">
        <v>1501</v>
      </c>
    </row>
    <row r="317" spans="1:27">
      <c r="A317" s="88" t="s">
        <v>1547</v>
      </c>
      <c r="B317" s="88" t="s">
        <v>1548</v>
      </c>
      <c r="C317" s="410" t="s">
        <v>1549</v>
      </c>
      <c r="D317" s="149"/>
      <c r="E317" s="88" t="s">
        <v>989</v>
      </c>
      <c r="F317" s="24" t="s">
        <v>989</v>
      </c>
      <c r="G317" s="24" t="s">
        <v>924</v>
      </c>
      <c r="H317" s="24" t="s">
        <v>924</v>
      </c>
      <c r="I317" s="24" t="s">
        <v>989</v>
      </c>
      <c r="J317" s="24" t="s">
        <v>989</v>
      </c>
      <c r="K317" s="24" t="s">
        <v>989</v>
      </c>
      <c r="L317" s="24" t="s">
        <v>924</v>
      </c>
      <c r="M317" s="24"/>
      <c r="N317" s="149"/>
      <c r="O317" s="149"/>
      <c r="P317" s="149"/>
      <c r="Q317" s="149"/>
      <c r="R317" s="149"/>
      <c r="S317" s="149"/>
      <c r="T317" s="149"/>
      <c r="U317" s="149"/>
      <c r="V317" s="149"/>
      <c r="W317" s="149"/>
      <c r="X317" s="149"/>
      <c r="Y317" s="149"/>
      <c r="Z317" s="149"/>
      <c r="AA317" s="24" t="s">
        <v>1501</v>
      </c>
    </row>
    <row r="318" spans="1:27">
      <c r="A318" s="88" t="s">
        <v>1550</v>
      </c>
      <c r="B318" s="88" t="s">
        <v>1551</v>
      </c>
      <c r="C318" s="410" t="s">
        <v>1552</v>
      </c>
      <c r="D318" s="149"/>
      <c r="E318" s="88" t="s">
        <v>989</v>
      </c>
      <c r="F318" s="24" t="s">
        <v>989</v>
      </c>
      <c r="G318" s="24" t="s">
        <v>924</v>
      </c>
      <c r="H318" s="24" t="s">
        <v>924</v>
      </c>
      <c r="I318" s="24" t="s">
        <v>989</v>
      </c>
      <c r="J318" s="24" t="s">
        <v>989</v>
      </c>
      <c r="K318" s="24" t="s">
        <v>989</v>
      </c>
      <c r="L318" s="24" t="s">
        <v>924</v>
      </c>
      <c r="M318" s="24"/>
      <c r="N318" s="149"/>
      <c r="O318" s="149"/>
      <c r="P318" s="149"/>
      <c r="Q318" s="149"/>
      <c r="R318" s="149"/>
      <c r="S318" s="149"/>
      <c r="T318" s="149"/>
      <c r="U318" s="149"/>
      <c r="V318" s="149"/>
      <c r="W318" s="149"/>
      <c r="X318" s="149"/>
      <c r="Y318" s="149"/>
      <c r="Z318" s="149"/>
      <c r="AA318" s="24" t="s">
        <v>1501</v>
      </c>
    </row>
    <row r="319" spans="1:27">
      <c r="A319" s="88" t="s">
        <v>1553</v>
      </c>
      <c r="B319" s="88" t="s">
        <v>1554</v>
      </c>
      <c r="C319" s="410" t="s">
        <v>1555</v>
      </c>
      <c r="D319" s="149"/>
      <c r="E319" s="88" t="s">
        <v>989</v>
      </c>
      <c r="F319" s="24" t="s">
        <v>989</v>
      </c>
      <c r="G319" s="24" t="s">
        <v>924</v>
      </c>
      <c r="H319" s="24" t="s">
        <v>924</v>
      </c>
      <c r="I319" s="24" t="s">
        <v>989</v>
      </c>
      <c r="J319" s="24" t="s">
        <v>989</v>
      </c>
      <c r="K319" s="24" t="s">
        <v>989</v>
      </c>
      <c r="L319" s="24" t="s">
        <v>924</v>
      </c>
      <c r="M319" s="24"/>
      <c r="N319" s="149"/>
      <c r="O319" s="149"/>
      <c r="P319" s="149"/>
      <c r="Q319" s="149"/>
      <c r="R319" s="149"/>
      <c r="S319" s="149"/>
      <c r="T319" s="149"/>
      <c r="U319" s="149"/>
      <c r="V319" s="149"/>
      <c r="W319" s="149"/>
      <c r="X319" s="149"/>
      <c r="Y319" s="149"/>
      <c r="Z319" s="149"/>
      <c r="AA319" s="24" t="s">
        <v>1501</v>
      </c>
    </row>
    <row r="320" spans="1:27">
      <c r="A320" s="88" t="s">
        <v>1556</v>
      </c>
      <c r="B320" s="88" t="s">
        <v>1557</v>
      </c>
      <c r="C320" s="410" t="s">
        <v>1558</v>
      </c>
      <c r="D320" s="149"/>
      <c r="E320" s="88" t="s">
        <v>989</v>
      </c>
      <c r="F320" s="24" t="s">
        <v>989</v>
      </c>
      <c r="G320" s="24" t="s">
        <v>924</v>
      </c>
      <c r="H320" s="24" t="s">
        <v>924</v>
      </c>
      <c r="I320" s="24" t="s">
        <v>989</v>
      </c>
      <c r="J320" s="24" t="s">
        <v>989</v>
      </c>
      <c r="K320" s="24" t="s">
        <v>989</v>
      </c>
      <c r="L320" s="24" t="s">
        <v>924</v>
      </c>
      <c r="M320" s="24"/>
      <c r="N320" s="149"/>
      <c r="O320" s="149"/>
      <c r="P320" s="149"/>
      <c r="Q320" s="149"/>
      <c r="R320" s="149"/>
      <c r="S320" s="149"/>
      <c r="T320" s="149"/>
      <c r="U320" s="149"/>
      <c r="V320" s="149"/>
      <c r="W320" s="149"/>
      <c r="X320" s="149"/>
      <c r="Y320" s="149"/>
      <c r="Z320" s="149"/>
      <c r="AA320" s="24" t="s">
        <v>1501</v>
      </c>
    </row>
    <row r="321" spans="1:27">
      <c r="A321" s="88" t="s">
        <v>1559</v>
      </c>
      <c r="B321" s="88" t="s">
        <v>1560</v>
      </c>
      <c r="C321" s="410" t="s">
        <v>1561</v>
      </c>
      <c r="D321" s="149"/>
      <c r="E321" s="88" t="s">
        <v>989</v>
      </c>
      <c r="F321" s="24" t="s">
        <v>989</v>
      </c>
      <c r="G321" s="24" t="s">
        <v>924</v>
      </c>
      <c r="H321" s="24" t="s">
        <v>924</v>
      </c>
      <c r="I321" s="24" t="s">
        <v>989</v>
      </c>
      <c r="J321" s="24" t="s">
        <v>989</v>
      </c>
      <c r="K321" s="24" t="s">
        <v>989</v>
      </c>
      <c r="L321" s="24" t="s">
        <v>924</v>
      </c>
      <c r="M321" s="24"/>
      <c r="N321" s="149"/>
      <c r="O321" s="149"/>
      <c r="P321" s="149"/>
      <c r="Q321" s="149"/>
      <c r="R321" s="149"/>
      <c r="S321" s="149"/>
      <c r="T321" s="149"/>
      <c r="U321" s="149"/>
      <c r="V321" s="149"/>
      <c r="W321" s="149"/>
      <c r="X321" s="149"/>
      <c r="Y321" s="149"/>
      <c r="Z321" s="149"/>
      <c r="AA321" s="24" t="s">
        <v>1501</v>
      </c>
    </row>
    <row r="322" spans="1:27">
      <c r="A322" s="88" t="s">
        <v>1562</v>
      </c>
      <c r="B322" s="88" t="s">
        <v>1563</v>
      </c>
      <c r="C322" s="410" t="s">
        <v>1564</v>
      </c>
      <c r="D322" s="149"/>
      <c r="E322" s="88" t="s">
        <v>989</v>
      </c>
      <c r="F322" s="24" t="s">
        <v>989</v>
      </c>
      <c r="G322" s="24" t="s">
        <v>924</v>
      </c>
      <c r="H322" s="24" t="s">
        <v>924</v>
      </c>
      <c r="I322" s="24" t="s">
        <v>989</v>
      </c>
      <c r="J322" s="24" t="s">
        <v>989</v>
      </c>
      <c r="K322" s="24" t="s">
        <v>989</v>
      </c>
      <c r="L322" s="24" t="s">
        <v>924</v>
      </c>
      <c r="M322" s="24"/>
      <c r="N322" s="149"/>
      <c r="O322" s="149"/>
      <c r="P322" s="149"/>
      <c r="Q322" s="149"/>
      <c r="R322" s="149"/>
      <c r="S322" s="149"/>
      <c r="T322" s="149"/>
      <c r="U322" s="149"/>
      <c r="V322" s="149"/>
      <c r="W322" s="149"/>
      <c r="X322" s="149"/>
      <c r="Y322" s="149"/>
      <c r="Z322" s="149"/>
      <c r="AA322" s="24" t="s">
        <v>1501</v>
      </c>
    </row>
    <row r="323" spans="1:27">
      <c r="A323" s="88" t="s">
        <v>1565</v>
      </c>
      <c r="B323" s="88" t="s">
        <v>1566</v>
      </c>
      <c r="C323" s="410" t="s">
        <v>1567</v>
      </c>
      <c r="D323" s="149"/>
      <c r="E323" s="88" t="s">
        <v>989</v>
      </c>
      <c r="F323" s="24" t="s">
        <v>989</v>
      </c>
      <c r="G323" s="24" t="s">
        <v>924</v>
      </c>
      <c r="H323" s="24" t="s">
        <v>924</v>
      </c>
      <c r="I323" s="24" t="s">
        <v>989</v>
      </c>
      <c r="J323" s="24" t="s">
        <v>989</v>
      </c>
      <c r="K323" s="24" t="s">
        <v>989</v>
      </c>
      <c r="L323" s="24" t="s">
        <v>924</v>
      </c>
      <c r="M323" s="24"/>
      <c r="N323" s="149"/>
      <c r="O323" s="149"/>
      <c r="P323" s="149"/>
      <c r="Q323" s="149"/>
      <c r="R323" s="149"/>
      <c r="S323" s="149"/>
      <c r="T323" s="149"/>
      <c r="U323" s="149"/>
      <c r="V323" s="149"/>
      <c r="W323" s="149"/>
      <c r="X323" s="149"/>
      <c r="Y323" s="149"/>
      <c r="Z323" s="149"/>
      <c r="AA323" s="24" t="s">
        <v>1501</v>
      </c>
    </row>
    <row r="324" spans="1:27">
      <c r="A324" s="88" t="s">
        <v>1568</v>
      </c>
      <c r="B324" s="88" t="s">
        <v>1569</v>
      </c>
      <c r="C324" s="410" t="s">
        <v>1570</v>
      </c>
      <c r="D324" s="149"/>
      <c r="E324" s="88" t="s">
        <v>989</v>
      </c>
      <c r="F324" s="24" t="s">
        <v>989</v>
      </c>
      <c r="G324" s="24" t="s">
        <v>924</v>
      </c>
      <c r="H324" s="24" t="s">
        <v>924</v>
      </c>
      <c r="I324" s="24" t="s">
        <v>989</v>
      </c>
      <c r="J324" s="24" t="s">
        <v>989</v>
      </c>
      <c r="K324" s="24" t="s">
        <v>989</v>
      </c>
      <c r="L324" s="24" t="s">
        <v>924</v>
      </c>
      <c r="M324" s="24"/>
      <c r="N324" s="149"/>
      <c r="O324" s="149"/>
      <c r="P324" s="149"/>
      <c r="Q324" s="149"/>
      <c r="R324" s="149"/>
      <c r="S324" s="149"/>
      <c r="T324" s="149"/>
      <c r="U324" s="149"/>
      <c r="V324" s="149"/>
      <c r="W324" s="149"/>
      <c r="X324" s="149"/>
      <c r="Y324" s="149"/>
      <c r="Z324" s="149"/>
      <c r="AA324" s="24" t="s">
        <v>1501</v>
      </c>
    </row>
    <row r="325" spans="1:27">
      <c r="A325" s="88" t="s">
        <v>1571</v>
      </c>
      <c r="B325" s="88" t="s">
        <v>1572</v>
      </c>
      <c r="C325" s="410" t="s">
        <v>1573</v>
      </c>
      <c r="D325" s="149"/>
      <c r="E325" s="88" t="s">
        <v>989</v>
      </c>
      <c r="F325" s="24" t="s">
        <v>989</v>
      </c>
      <c r="G325" s="24" t="s">
        <v>924</v>
      </c>
      <c r="H325" s="24" t="s">
        <v>924</v>
      </c>
      <c r="I325" s="24" t="s">
        <v>989</v>
      </c>
      <c r="J325" s="24" t="s">
        <v>989</v>
      </c>
      <c r="K325" s="24" t="s">
        <v>989</v>
      </c>
      <c r="L325" s="24" t="s">
        <v>924</v>
      </c>
      <c r="M325" s="24"/>
      <c r="N325" s="149"/>
      <c r="O325" s="149"/>
      <c r="P325" s="149"/>
      <c r="Q325" s="149"/>
      <c r="R325" s="149"/>
      <c r="S325" s="149"/>
      <c r="T325" s="149"/>
      <c r="U325" s="149"/>
      <c r="V325" s="149"/>
      <c r="W325" s="149"/>
      <c r="X325" s="149"/>
      <c r="Y325" s="149"/>
      <c r="Z325" s="149"/>
      <c r="AA325" s="24" t="s">
        <v>1501</v>
      </c>
    </row>
    <row r="326" spans="1:27">
      <c r="A326" s="88" t="s">
        <v>1574</v>
      </c>
      <c r="B326" s="88" t="s">
        <v>1575</v>
      </c>
      <c r="C326" s="410" t="s">
        <v>1576</v>
      </c>
      <c r="D326" s="149"/>
      <c r="E326" s="88" t="s">
        <v>989</v>
      </c>
      <c r="F326" s="24" t="s">
        <v>989</v>
      </c>
      <c r="G326" s="24" t="s">
        <v>924</v>
      </c>
      <c r="H326" s="24" t="s">
        <v>924</v>
      </c>
      <c r="I326" s="24" t="s">
        <v>989</v>
      </c>
      <c r="J326" s="24" t="s">
        <v>989</v>
      </c>
      <c r="K326" s="24" t="s">
        <v>989</v>
      </c>
      <c r="L326" s="24" t="s">
        <v>924</v>
      </c>
      <c r="M326" s="24"/>
      <c r="N326" s="149"/>
      <c r="O326" s="149"/>
      <c r="P326" s="149"/>
      <c r="Q326" s="149"/>
      <c r="R326" s="149"/>
      <c r="S326" s="149"/>
      <c r="T326" s="149"/>
      <c r="U326" s="149"/>
      <c r="V326" s="149"/>
      <c r="W326" s="149"/>
      <c r="X326" s="149"/>
      <c r="Y326" s="149"/>
      <c r="Z326" s="149"/>
      <c r="AA326" s="24" t="s">
        <v>1501</v>
      </c>
    </row>
    <row r="327" spans="1:27" ht="9.6" customHeight="1">
      <c r="A327" s="88" t="s">
        <v>1577</v>
      </c>
      <c r="B327" s="88" t="s">
        <v>1578</v>
      </c>
      <c r="C327" s="410" t="s">
        <v>1579</v>
      </c>
      <c r="D327" s="149"/>
      <c r="E327" s="88" t="s">
        <v>989</v>
      </c>
      <c r="F327" s="24" t="s">
        <v>989</v>
      </c>
      <c r="G327" s="24" t="s">
        <v>924</v>
      </c>
      <c r="H327" s="24" t="s">
        <v>924</v>
      </c>
      <c r="I327" s="24" t="s">
        <v>989</v>
      </c>
      <c r="J327" s="24" t="s">
        <v>989</v>
      </c>
      <c r="K327" s="24" t="s">
        <v>989</v>
      </c>
      <c r="L327" s="24" t="s">
        <v>924</v>
      </c>
      <c r="M327" s="24"/>
      <c r="N327" s="149"/>
      <c r="O327" s="149"/>
      <c r="P327" s="149"/>
      <c r="Q327" s="149"/>
      <c r="R327" s="149"/>
      <c r="S327" s="149"/>
      <c r="T327" s="149"/>
      <c r="U327" s="149"/>
      <c r="V327" s="149"/>
      <c r="W327" s="149"/>
      <c r="X327" s="149"/>
      <c r="Y327" s="149"/>
      <c r="Z327" s="149"/>
      <c r="AA327" s="24" t="s">
        <v>1501</v>
      </c>
    </row>
    <row r="328" spans="1:27">
      <c r="A328" s="88" t="s">
        <v>1580</v>
      </c>
      <c r="B328" s="88" t="s">
        <v>1581</v>
      </c>
      <c r="C328" s="410" t="s">
        <v>1582</v>
      </c>
      <c r="D328" s="149"/>
      <c r="E328" s="88" t="s">
        <v>989</v>
      </c>
      <c r="F328" s="24" t="s">
        <v>989</v>
      </c>
      <c r="G328" s="24" t="s">
        <v>924</v>
      </c>
      <c r="H328" s="24" t="s">
        <v>924</v>
      </c>
      <c r="I328" s="24" t="s">
        <v>989</v>
      </c>
      <c r="J328" s="24" t="s">
        <v>989</v>
      </c>
      <c r="K328" s="24" t="s">
        <v>989</v>
      </c>
      <c r="L328" s="24" t="s">
        <v>924</v>
      </c>
      <c r="M328" s="24"/>
      <c r="N328" s="149"/>
      <c r="O328" s="149"/>
      <c r="P328" s="149"/>
      <c r="Q328" s="149"/>
      <c r="R328" s="149"/>
      <c r="S328" s="149"/>
      <c r="T328" s="149"/>
      <c r="U328" s="149"/>
      <c r="V328" s="149"/>
      <c r="W328" s="149"/>
      <c r="X328" s="149"/>
      <c r="Y328" s="149"/>
      <c r="Z328" s="149"/>
      <c r="AA328" s="24" t="s">
        <v>1501</v>
      </c>
    </row>
    <row r="329" spans="1:27">
      <c r="A329" s="88" t="s">
        <v>1583</v>
      </c>
      <c r="B329" s="88" t="s">
        <v>1584</v>
      </c>
      <c r="C329" s="149" t="s">
        <v>1585</v>
      </c>
      <c r="D329" s="149"/>
      <c r="E329" s="88" t="s">
        <v>989</v>
      </c>
      <c r="F329" s="24" t="s">
        <v>989</v>
      </c>
      <c r="G329" s="24" t="s">
        <v>924</v>
      </c>
      <c r="H329" s="24" t="s">
        <v>924</v>
      </c>
      <c r="I329" s="24" t="s">
        <v>989</v>
      </c>
      <c r="J329" s="24" t="s">
        <v>989</v>
      </c>
      <c r="K329" s="24" t="s">
        <v>989</v>
      </c>
      <c r="L329" s="24" t="s">
        <v>924</v>
      </c>
      <c r="M329" s="24"/>
      <c r="N329" s="149"/>
      <c r="O329" s="149"/>
      <c r="P329" s="149"/>
      <c r="Q329" s="149"/>
      <c r="R329" s="149"/>
      <c r="S329" s="149"/>
      <c r="T329" s="149"/>
      <c r="U329" s="149"/>
      <c r="V329" s="149"/>
      <c r="W329" s="149"/>
      <c r="X329" s="149"/>
      <c r="Y329" s="149"/>
      <c r="Z329" s="149"/>
      <c r="AA329" s="24" t="s">
        <v>1501</v>
      </c>
    </row>
    <row r="330" spans="1:27">
      <c r="A330" s="88" t="s">
        <v>1586</v>
      </c>
      <c r="B330" s="88" t="s">
        <v>1587</v>
      </c>
      <c r="C330" s="410" t="s">
        <v>1588</v>
      </c>
      <c r="D330" s="149"/>
      <c r="E330" s="88" t="s">
        <v>989</v>
      </c>
      <c r="F330" s="24" t="s">
        <v>989</v>
      </c>
      <c r="G330" s="24" t="s">
        <v>924</v>
      </c>
      <c r="H330" s="24" t="s">
        <v>924</v>
      </c>
      <c r="I330" s="24" t="s">
        <v>989</v>
      </c>
      <c r="J330" s="24" t="s">
        <v>989</v>
      </c>
      <c r="K330" s="24" t="s">
        <v>989</v>
      </c>
      <c r="L330" s="24" t="s">
        <v>924</v>
      </c>
      <c r="M330" s="24"/>
      <c r="N330" s="149"/>
      <c r="O330" s="149"/>
      <c r="P330" s="149"/>
      <c r="Q330" s="149"/>
      <c r="R330" s="149"/>
      <c r="S330" s="149"/>
      <c r="T330" s="149"/>
      <c r="U330" s="149"/>
      <c r="V330" s="149"/>
      <c r="W330" s="149"/>
      <c r="X330" s="149"/>
      <c r="Y330" s="149"/>
      <c r="Z330" s="149"/>
      <c r="AA330" s="24" t="s">
        <v>1501</v>
      </c>
    </row>
    <row r="331" spans="1:27">
      <c r="A331" s="88" t="s">
        <v>1589</v>
      </c>
      <c r="B331" s="88" t="s">
        <v>1590</v>
      </c>
      <c r="C331" s="410" t="s">
        <v>1591</v>
      </c>
      <c r="D331" s="149"/>
      <c r="E331" s="88" t="s">
        <v>989</v>
      </c>
      <c r="F331" s="24" t="s">
        <v>989</v>
      </c>
      <c r="G331" s="24" t="s">
        <v>924</v>
      </c>
      <c r="H331" s="24" t="s">
        <v>924</v>
      </c>
      <c r="I331" s="24" t="s">
        <v>989</v>
      </c>
      <c r="J331" s="24" t="s">
        <v>989</v>
      </c>
      <c r="K331" s="24" t="s">
        <v>989</v>
      </c>
      <c r="L331" s="24" t="s">
        <v>924</v>
      </c>
      <c r="M331" s="24"/>
      <c r="N331" s="149"/>
      <c r="O331" s="149"/>
      <c r="P331" s="149"/>
      <c r="Q331" s="149"/>
      <c r="R331" s="149"/>
      <c r="S331" s="149"/>
      <c r="T331" s="149"/>
      <c r="U331" s="149"/>
      <c r="V331" s="149"/>
      <c r="W331" s="149"/>
      <c r="X331" s="149"/>
      <c r="Y331" s="149"/>
      <c r="Z331" s="149"/>
      <c r="AA331" s="24" t="s">
        <v>1501</v>
      </c>
    </row>
    <row r="332" spans="1:27">
      <c r="A332" s="88" t="s">
        <v>1592</v>
      </c>
      <c r="B332" s="88" t="s">
        <v>1593</v>
      </c>
      <c r="C332" s="410" t="s">
        <v>1594</v>
      </c>
      <c r="D332" s="149"/>
      <c r="E332" s="88" t="s">
        <v>989</v>
      </c>
      <c r="F332" s="24" t="s">
        <v>989</v>
      </c>
      <c r="G332" s="24" t="s">
        <v>924</v>
      </c>
      <c r="H332" s="24" t="s">
        <v>924</v>
      </c>
      <c r="I332" s="24" t="s">
        <v>989</v>
      </c>
      <c r="J332" s="24" t="s">
        <v>989</v>
      </c>
      <c r="K332" s="24" t="s">
        <v>989</v>
      </c>
      <c r="L332" s="24" t="s">
        <v>924</v>
      </c>
      <c r="M332" s="24"/>
      <c r="N332" s="149"/>
      <c r="O332" s="149"/>
      <c r="P332" s="149"/>
      <c r="Q332" s="149"/>
      <c r="R332" s="149"/>
      <c r="S332" s="149"/>
      <c r="T332" s="149"/>
      <c r="U332" s="149"/>
      <c r="V332" s="149"/>
      <c r="W332" s="149"/>
      <c r="X332" s="149"/>
      <c r="Y332" s="149"/>
      <c r="Z332" s="149"/>
      <c r="AA332" s="24" t="s">
        <v>1501</v>
      </c>
    </row>
    <row r="333" spans="1:27">
      <c r="A333" s="88" t="s">
        <v>1595</v>
      </c>
      <c r="B333" s="88" t="s">
        <v>1596</v>
      </c>
      <c r="C333" s="410" t="s">
        <v>1597</v>
      </c>
      <c r="D333" s="149"/>
      <c r="E333" s="88" t="s">
        <v>989</v>
      </c>
      <c r="F333" s="24" t="s">
        <v>989</v>
      </c>
      <c r="G333" s="24" t="s">
        <v>924</v>
      </c>
      <c r="H333" s="24" t="s">
        <v>924</v>
      </c>
      <c r="I333" s="24" t="s">
        <v>989</v>
      </c>
      <c r="J333" s="24" t="s">
        <v>989</v>
      </c>
      <c r="K333" s="24" t="s">
        <v>989</v>
      </c>
      <c r="L333" s="24" t="s">
        <v>924</v>
      </c>
      <c r="M333" s="24"/>
      <c r="N333" s="149"/>
      <c r="O333" s="149"/>
      <c r="P333" s="149"/>
      <c r="Q333" s="149"/>
      <c r="R333" s="149"/>
      <c r="S333" s="149"/>
      <c r="T333" s="149"/>
      <c r="U333" s="149"/>
      <c r="V333" s="149"/>
      <c r="W333" s="149"/>
      <c r="X333" s="149"/>
      <c r="Y333" s="149"/>
      <c r="Z333" s="149"/>
      <c r="AA333" s="24" t="s">
        <v>1501</v>
      </c>
    </row>
    <row r="334" spans="1:27">
      <c r="A334" s="88" t="s">
        <v>1598</v>
      </c>
      <c r="B334" s="88" t="s">
        <v>1599</v>
      </c>
      <c r="C334" s="410" t="s">
        <v>1600</v>
      </c>
      <c r="D334" s="149"/>
      <c r="E334" s="88" t="s">
        <v>989</v>
      </c>
      <c r="F334" s="24" t="s">
        <v>989</v>
      </c>
      <c r="G334" s="24" t="s">
        <v>924</v>
      </c>
      <c r="H334" s="24" t="s">
        <v>924</v>
      </c>
      <c r="I334" s="24" t="s">
        <v>989</v>
      </c>
      <c r="J334" s="24" t="s">
        <v>989</v>
      </c>
      <c r="K334" s="24" t="s">
        <v>989</v>
      </c>
      <c r="L334" s="24" t="s">
        <v>924</v>
      </c>
      <c r="M334" s="24"/>
      <c r="N334" s="149"/>
      <c r="O334" s="149"/>
      <c r="P334" s="149"/>
      <c r="Q334" s="149"/>
      <c r="R334" s="149"/>
      <c r="S334" s="149"/>
      <c r="T334" s="149"/>
      <c r="U334" s="149"/>
      <c r="V334" s="149"/>
      <c r="W334" s="149"/>
      <c r="X334" s="149"/>
      <c r="Y334" s="149"/>
      <c r="Z334" s="149"/>
      <c r="AA334" s="24" t="s">
        <v>1501</v>
      </c>
    </row>
    <row r="335" spans="1:27">
      <c r="A335" s="88" t="s">
        <v>1601</v>
      </c>
      <c r="B335" s="88" t="s">
        <v>1602</v>
      </c>
      <c r="C335" s="410" t="s">
        <v>1603</v>
      </c>
      <c r="D335" s="149"/>
      <c r="E335" s="88" t="s">
        <v>989</v>
      </c>
      <c r="F335" s="24" t="s">
        <v>989</v>
      </c>
      <c r="G335" s="24" t="s">
        <v>924</v>
      </c>
      <c r="H335" s="24" t="s">
        <v>924</v>
      </c>
      <c r="I335" s="24" t="s">
        <v>989</v>
      </c>
      <c r="J335" s="24" t="s">
        <v>989</v>
      </c>
      <c r="K335" s="24" t="s">
        <v>989</v>
      </c>
      <c r="L335" s="24" t="s">
        <v>924</v>
      </c>
      <c r="M335" s="24"/>
      <c r="N335" s="149"/>
      <c r="O335" s="149"/>
      <c r="P335" s="149"/>
      <c r="Q335" s="149"/>
      <c r="R335" s="149"/>
      <c r="S335" s="149"/>
      <c r="T335" s="149"/>
      <c r="U335" s="149"/>
      <c r="V335" s="149"/>
      <c r="W335" s="149"/>
      <c r="X335" s="149"/>
      <c r="Y335" s="149"/>
      <c r="Z335" s="149"/>
      <c r="AA335" s="24" t="s">
        <v>1501</v>
      </c>
    </row>
    <row r="336" spans="1:27">
      <c r="A336" s="88" t="s">
        <v>1604</v>
      </c>
      <c r="B336" s="88" t="s">
        <v>1605</v>
      </c>
      <c r="C336" s="410" t="s">
        <v>1606</v>
      </c>
      <c r="D336" s="149"/>
      <c r="E336" s="88" t="s">
        <v>989</v>
      </c>
      <c r="F336" s="24" t="s">
        <v>989</v>
      </c>
      <c r="G336" s="24" t="s">
        <v>924</v>
      </c>
      <c r="H336" s="24" t="s">
        <v>924</v>
      </c>
      <c r="I336" s="24" t="s">
        <v>989</v>
      </c>
      <c r="J336" s="24" t="s">
        <v>989</v>
      </c>
      <c r="K336" s="24" t="s">
        <v>989</v>
      </c>
      <c r="L336" s="24" t="s">
        <v>924</v>
      </c>
      <c r="M336" s="24"/>
      <c r="N336" s="149"/>
      <c r="O336" s="149"/>
      <c r="P336" s="149"/>
      <c r="Q336" s="149"/>
      <c r="R336" s="149"/>
      <c r="S336" s="149"/>
      <c r="T336" s="149"/>
      <c r="U336" s="149"/>
      <c r="V336" s="149"/>
      <c r="W336" s="149"/>
      <c r="X336" s="149"/>
      <c r="Y336" s="149"/>
      <c r="Z336" s="149"/>
      <c r="AA336" s="24" t="s">
        <v>1501</v>
      </c>
    </row>
    <row r="337" spans="1:27">
      <c r="A337" s="88" t="s">
        <v>1607</v>
      </c>
      <c r="B337" s="88" t="s">
        <v>1608</v>
      </c>
      <c r="C337" s="410" t="s">
        <v>1609</v>
      </c>
      <c r="D337" s="149"/>
      <c r="E337" s="88" t="s">
        <v>989</v>
      </c>
      <c r="F337" s="24" t="s">
        <v>989</v>
      </c>
      <c r="G337" s="24" t="s">
        <v>924</v>
      </c>
      <c r="H337" s="24" t="s">
        <v>924</v>
      </c>
      <c r="I337" s="24" t="s">
        <v>989</v>
      </c>
      <c r="J337" s="24" t="s">
        <v>989</v>
      </c>
      <c r="K337" s="24" t="s">
        <v>989</v>
      </c>
      <c r="L337" s="24" t="s">
        <v>924</v>
      </c>
      <c r="M337" s="24"/>
      <c r="N337" s="149"/>
      <c r="O337" s="149"/>
      <c r="P337" s="149"/>
      <c r="Q337" s="149"/>
      <c r="R337" s="149"/>
      <c r="S337" s="149"/>
      <c r="T337" s="149"/>
      <c r="U337" s="149"/>
      <c r="V337" s="149"/>
      <c r="W337" s="149"/>
      <c r="X337" s="149"/>
      <c r="Y337" s="149"/>
      <c r="Z337" s="149"/>
      <c r="AA337" s="24" t="s">
        <v>1501</v>
      </c>
    </row>
    <row r="338" spans="1:27">
      <c r="A338" s="88" t="s">
        <v>1610</v>
      </c>
      <c r="B338" s="88" t="s">
        <v>1611</v>
      </c>
      <c r="C338" s="410" t="s">
        <v>1612</v>
      </c>
      <c r="D338" s="149"/>
      <c r="E338" s="88" t="s">
        <v>989</v>
      </c>
      <c r="F338" s="24" t="s">
        <v>989</v>
      </c>
      <c r="G338" s="24" t="s">
        <v>924</v>
      </c>
      <c r="H338" s="24" t="s">
        <v>924</v>
      </c>
      <c r="I338" s="24" t="s">
        <v>989</v>
      </c>
      <c r="J338" s="24" t="s">
        <v>989</v>
      </c>
      <c r="K338" s="24" t="s">
        <v>989</v>
      </c>
      <c r="L338" s="24" t="s">
        <v>924</v>
      </c>
      <c r="M338" s="24"/>
      <c r="N338" s="149"/>
      <c r="O338" s="149"/>
      <c r="P338" s="149"/>
      <c r="Q338" s="149"/>
      <c r="R338" s="149"/>
      <c r="S338" s="149"/>
      <c r="T338" s="149"/>
      <c r="U338" s="149"/>
      <c r="V338" s="149"/>
      <c r="W338" s="149"/>
      <c r="X338" s="149"/>
      <c r="Y338" s="149"/>
      <c r="Z338" s="149"/>
      <c r="AA338" s="24" t="s">
        <v>1501</v>
      </c>
    </row>
    <row r="339" spans="1:27">
      <c r="A339" s="88" t="s">
        <v>1613</v>
      </c>
      <c r="B339" s="88" t="s">
        <v>1614</v>
      </c>
      <c r="C339" s="410" t="s">
        <v>1615</v>
      </c>
      <c r="D339" s="149"/>
      <c r="E339" s="88" t="s">
        <v>989</v>
      </c>
      <c r="F339" s="24" t="s">
        <v>989</v>
      </c>
      <c r="G339" s="24" t="s">
        <v>924</v>
      </c>
      <c r="H339" s="24" t="s">
        <v>924</v>
      </c>
      <c r="I339" s="24" t="s">
        <v>989</v>
      </c>
      <c r="J339" s="24" t="s">
        <v>989</v>
      </c>
      <c r="K339" s="24" t="s">
        <v>989</v>
      </c>
      <c r="L339" s="24" t="s">
        <v>924</v>
      </c>
      <c r="M339" s="24"/>
      <c r="N339" s="149"/>
      <c r="O339" s="149"/>
      <c r="P339" s="149"/>
      <c r="Q339" s="149"/>
      <c r="R339" s="149"/>
      <c r="S339" s="149"/>
      <c r="T339" s="149"/>
      <c r="U339" s="149"/>
      <c r="V339" s="149"/>
      <c r="W339" s="149"/>
      <c r="X339" s="149"/>
      <c r="Y339" s="149"/>
      <c r="Z339" s="149"/>
      <c r="AA339" s="24" t="s">
        <v>1501</v>
      </c>
    </row>
    <row r="340" spans="1:27">
      <c r="A340" s="88" t="s">
        <v>1616</v>
      </c>
      <c r="B340" s="88" t="s">
        <v>1617</v>
      </c>
      <c r="C340" s="410" t="s">
        <v>1618</v>
      </c>
      <c r="D340" s="149"/>
      <c r="E340" s="88" t="s">
        <v>989</v>
      </c>
      <c r="F340" s="24" t="s">
        <v>989</v>
      </c>
      <c r="G340" s="24" t="s">
        <v>924</v>
      </c>
      <c r="H340" s="24" t="s">
        <v>924</v>
      </c>
      <c r="I340" s="24" t="s">
        <v>989</v>
      </c>
      <c r="J340" s="24" t="s">
        <v>989</v>
      </c>
      <c r="K340" s="24" t="s">
        <v>989</v>
      </c>
      <c r="L340" s="24" t="s">
        <v>924</v>
      </c>
      <c r="M340" s="24"/>
      <c r="N340" s="149"/>
      <c r="O340" s="149"/>
      <c r="P340" s="149"/>
      <c r="Q340" s="149"/>
      <c r="R340" s="149"/>
      <c r="S340" s="149"/>
      <c r="T340" s="149"/>
      <c r="U340" s="149"/>
      <c r="V340" s="149"/>
      <c r="W340" s="149"/>
      <c r="X340" s="149"/>
      <c r="Y340" s="149"/>
      <c r="Z340" s="149"/>
      <c r="AA340" s="24" t="s">
        <v>1501</v>
      </c>
    </row>
    <row r="341" spans="1:27">
      <c r="A341" s="88" t="s">
        <v>1619</v>
      </c>
      <c r="B341" s="88" t="s">
        <v>1620</v>
      </c>
      <c r="C341" s="410" t="s">
        <v>1621</v>
      </c>
      <c r="D341" s="149"/>
      <c r="E341" s="88" t="s">
        <v>989</v>
      </c>
      <c r="F341" s="24" t="s">
        <v>989</v>
      </c>
      <c r="G341" s="24" t="s">
        <v>924</v>
      </c>
      <c r="H341" s="24" t="s">
        <v>924</v>
      </c>
      <c r="I341" s="24" t="s">
        <v>989</v>
      </c>
      <c r="J341" s="24" t="s">
        <v>989</v>
      </c>
      <c r="K341" s="24" t="s">
        <v>989</v>
      </c>
      <c r="L341" s="24" t="s">
        <v>924</v>
      </c>
      <c r="M341" s="24"/>
      <c r="N341" s="149"/>
      <c r="O341" s="149"/>
      <c r="P341" s="149"/>
      <c r="Q341" s="149"/>
      <c r="R341" s="149"/>
      <c r="S341" s="149"/>
      <c r="T341" s="149"/>
      <c r="U341" s="149"/>
      <c r="V341" s="149"/>
      <c r="W341" s="149"/>
      <c r="X341" s="149"/>
      <c r="Y341" s="149"/>
      <c r="Z341" s="149"/>
      <c r="AA341" s="24" t="s">
        <v>1501</v>
      </c>
    </row>
    <row r="342" spans="1:27">
      <c r="A342" s="88" t="s">
        <v>1622</v>
      </c>
      <c r="B342" s="88" t="s">
        <v>1623</v>
      </c>
      <c r="C342" s="410" t="s">
        <v>1624</v>
      </c>
      <c r="D342" s="149"/>
      <c r="E342" s="88" t="s">
        <v>989</v>
      </c>
      <c r="F342" s="24" t="s">
        <v>989</v>
      </c>
      <c r="G342" s="24" t="s">
        <v>924</v>
      </c>
      <c r="H342" s="24" t="s">
        <v>924</v>
      </c>
      <c r="I342" s="24" t="s">
        <v>989</v>
      </c>
      <c r="J342" s="24" t="s">
        <v>989</v>
      </c>
      <c r="K342" s="24" t="s">
        <v>989</v>
      </c>
      <c r="L342" s="24" t="s">
        <v>924</v>
      </c>
      <c r="M342" s="24"/>
      <c r="N342" s="149"/>
      <c r="O342" s="149"/>
      <c r="P342" s="149"/>
      <c r="Q342" s="149"/>
      <c r="R342" s="149"/>
      <c r="S342" s="149"/>
      <c r="T342" s="149"/>
      <c r="U342" s="149"/>
      <c r="V342" s="149"/>
      <c r="W342" s="149"/>
      <c r="X342" s="149"/>
      <c r="Y342" s="149"/>
      <c r="Z342" s="149"/>
      <c r="AA342" s="24" t="s">
        <v>1501</v>
      </c>
    </row>
    <row r="343" spans="1:27">
      <c r="A343" s="88" t="s">
        <v>1625</v>
      </c>
      <c r="B343" s="88" t="s">
        <v>1626</v>
      </c>
      <c r="C343" s="410" t="s">
        <v>1627</v>
      </c>
      <c r="D343" s="149"/>
      <c r="E343" s="88" t="s">
        <v>989</v>
      </c>
      <c r="F343" s="24" t="s">
        <v>989</v>
      </c>
      <c r="G343" s="24" t="s">
        <v>924</v>
      </c>
      <c r="H343" s="24" t="s">
        <v>924</v>
      </c>
      <c r="I343" s="24" t="s">
        <v>989</v>
      </c>
      <c r="J343" s="24" t="s">
        <v>989</v>
      </c>
      <c r="K343" s="24" t="s">
        <v>989</v>
      </c>
      <c r="L343" s="24" t="s">
        <v>924</v>
      </c>
      <c r="M343" s="24"/>
      <c r="N343" s="149"/>
      <c r="O343" s="149"/>
      <c r="P343" s="149"/>
      <c r="Q343" s="149"/>
      <c r="R343" s="149"/>
      <c r="S343" s="149"/>
      <c r="T343" s="149"/>
      <c r="U343" s="149"/>
      <c r="V343" s="149"/>
      <c r="W343" s="149"/>
      <c r="X343" s="149"/>
      <c r="Y343" s="149"/>
      <c r="Z343" s="149"/>
      <c r="AA343" s="24" t="s">
        <v>1501</v>
      </c>
    </row>
    <row r="344" spans="1:27">
      <c r="A344" s="88" t="s">
        <v>1628</v>
      </c>
      <c r="B344" s="88" t="s">
        <v>1629</v>
      </c>
      <c r="C344" s="410" t="s">
        <v>1630</v>
      </c>
      <c r="D344" s="149"/>
      <c r="E344" s="88" t="s">
        <v>989</v>
      </c>
      <c r="F344" s="24" t="s">
        <v>989</v>
      </c>
      <c r="G344" s="24" t="s">
        <v>924</v>
      </c>
      <c r="H344" s="24" t="s">
        <v>924</v>
      </c>
      <c r="I344" s="24" t="s">
        <v>989</v>
      </c>
      <c r="J344" s="24" t="s">
        <v>989</v>
      </c>
      <c r="K344" s="24" t="s">
        <v>989</v>
      </c>
      <c r="L344" s="24" t="s">
        <v>924</v>
      </c>
      <c r="M344" s="24"/>
      <c r="N344" s="149"/>
      <c r="O344" s="149"/>
      <c r="P344" s="149"/>
      <c r="Q344" s="149"/>
      <c r="R344" s="149"/>
      <c r="S344" s="149"/>
      <c r="T344" s="149"/>
      <c r="U344" s="149"/>
      <c r="V344" s="149"/>
      <c r="W344" s="149"/>
      <c r="X344" s="149"/>
      <c r="Y344" s="149"/>
      <c r="Z344" s="149"/>
      <c r="AA344" s="24" t="s">
        <v>1501</v>
      </c>
    </row>
    <row r="345" spans="1:27">
      <c r="A345" s="88" t="s">
        <v>1631</v>
      </c>
      <c r="B345" s="88" t="s">
        <v>1632</v>
      </c>
      <c r="C345" s="410" t="s">
        <v>1633</v>
      </c>
      <c r="D345" s="149"/>
      <c r="E345" s="88" t="s">
        <v>989</v>
      </c>
      <c r="F345" s="24" t="s">
        <v>989</v>
      </c>
      <c r="G345" s="24" t="s">
        <v>924</v>
      </c>
      <c r="H345" s="24" t="s">
        <v>924</v>
      </c>
      <c r="I345" s="24" t="s">
        <v>989</v>
      </c>
      <c r="J345" s="24" t="s">
        <v>989</v>
      </c>
      <c r="K345" s="24" t="s">
        <v>989</v>
      </c>
      <c r="L345" s="24" t="s">
        <v>924</v>
      </c>
      <c r="M345" s="24"/>
      <c r="N345" s="149"/>
      <c r="O345" s="149"/>
      <c r="P345" s="149"/>
      <c r="Q345" s="149"/>
      <c r="R345" s="149"/>
      <c r="S345" s="149"/>
      <c r="T345" s="149"/>
      <c r="U345" s="149"/>
      <c r="V345" s="149"/>
      <c r="W345" s="149"/>
      <c r="X345" s="149"/>
      <c r="Y345" s="149"/>
      <c r="Z345" s="149"/>
      <c r="AA345" s="24" t="s">
        <v>1501</v>
      </c>
    </row>
    <row r="346" spans="1:27">
      <c r="A346" s="88" t="s">
        <v>1634</v>
      </c>
      <c r="B346" s="88" t="s">
        <v>1635</v>
      </c>
      <c r="C346" s="410" t="s">
        <v>1636</v>
      </c>
      <c r="D346" s="149"/>
      <c r="E346" s="88" t="s">
        <v>989</v>
      </c>
      <c r="F346" s="24" t="s">
        <v>989</v>
      </c>
      <c r="G346" s="24" t="s">
        <v>924</v>
      </c>
      <c r="H346" s="24" t="s">
        <v>924</v>
      </c>
      <c r="I346" s="24" t="s">
        <v>989</v>
      </c>
      <c r="J346" s="24" t="s">
        <v>989</v>
      </c>
      <c r="K346" s="24" t="s">
        <v>989</v>
      </c>
      <c r="L346" s="24" t="s">
        <v>924</v>
      </c>
      <c r="M346" s="24"/>
      <c r="N346" s="149"/>
      <c r="O346" s="149"/>
      <c r="P346" s="149"/>
      <c r="Q346" s="149"/>
      <c r="R346" s="149"/>
      <c r="S346" s="149"/>
      <c r="T346" s="149"/>
      <c r="U346" s="149"/>
      <c r="V346" s="149"/>
      <c r="W346" s="149"/>
      <c r="X346" s="149"/>
      <c r="Y346" s="149"/>
      <c r="Z346" s="149"/>
      <c r="AA346" s="24" t="s">
        <v>1501</v>
      </c>
    </row>
    <row r="347" spans="1:27">
      <c r="A347" s="88" t="s">
        <v>1637</v>
      </c>
      <c r="B347" s="88" t="s">
        <v>1638</v>
      </c>
      <c r="C347" s="410" t="s">
        <v>1639</v>
      </c>
      <c r="D347" s="149"/>
      <c r="E347" s="88" t="s">
        <v>989</v>
      </c>
      <c r="F347" s="24" t="s">
        <v>989</v>
      </c>
      <c r="G347" s="24" t="s">
        <v>924</v>
      </c>
      <c r="H347" s="24" t="s">
        <v>924</v>
      </c>
      <c r="I347" s="24" t="s">
        <v>989</v>
      </c>
      <c r="J347" s="24" t="s">
        <v>989</v>
      </c>
      <c r="K347" s="24" t="s">
        <v>989</v>
      </c>
      <c r="L347" s="24" t="s">
        <v>924</v>
      </c>
      <c r="M347" s="24"/>
      <c r="N347" s="149"/>
      <c r="O347" s="149"/>
      <c r="P347" s="149"/>
      <c r="Q347" s="149"/>
      <c r="R347" s="149"/>
      <c r="S347" s="149"/>
      <c r="T347" s="149"/>
      <c r="U347" s="149"/>
      <c r="V347" s="149"/>
      <c r="W347" s="149"/>
      <c r="X347" s="149"/>
      <c r="Y347" s="149"/>
      <c r="Z347" s="149"/>
      <c r="AA347" s="24" t="s">
        <v>1501</v>
      </c>
    </row>
    <row r="348" spans="1:27">
      <c r="A348" s="88" t="s">
        <v>1640</v>
      </c>
      <c r="B348" s="88" t="s">
        <v>1641</v>
      </c>
      <c r="C348" s="410" t="s">
        <v>1642</v>
      </c>
      <c r="D348" s="149"/>
      <c r="E348" s="88" t="s">
        <v>989</v>
      </c>
      <c r="F348" s="24" t="s">
        <v>989</v>
      </c>
      <c r="G348" s="24" t="s">
        <v>924</v>
      </c>
      <c r="H348" s="24" t="s">
        <v>924</v>
      </c>
      <c r="I348" s="24" t="s">
        <v>989</v>
      </c>
      <c r="J348" s="24" t="s">
        <v>989</v>
      </c>
      <c r="K348" s="24" t="s">
        <v>989</v>
      </c>
      <c r="L348" s="24" t="s">
        <v>924</v>
      </c>
      <c r="M348" s="24"/>
      <c r="N348" s="149"/>
      <c r="O348" s="149"/>
      <c r="P348" s="149"/>
      <c r="Q348" s="149"/>
      <c r="R348" s="149"/>
      <c r="S348" s="149"/>
      <c r="T348" s="149"/>
      <c r="U348" s="149"/>
      <c r="V348" s="149"/>
      <c r="W348" s="149"/>
      <c r="X348" s="149"/>
      <c r="Y348" s="149"/>
      <c r="Z348" s="149"/>
      <c r="AA348" s="24" t="s">
        <v>1501</v>
      </c>
    </row>
    <row r="349" spans="1:27">
      <c r="A349" s="88" t="s">
        <v>1643</v>
      </c>
      <c r="B349" s="88" t="s">
        <v>1644</v>
      </c>
      <c r="C349" s="410" t="s">
        <v>1645</v>
      </c>
      <c r="D349" s="149"/>
      <c r="E349" s="88" t="s">
        <v>989</v>
      </c>
      <c r="F349" s="24" t="s">
        <v>989</v>
      </c>
      <c r="G349" s="24" t="s">
        <v>924</v>
      </c>
      <c r="H349" s="24" t="s">
        <v>924</v>
      </c>
      <c r="I349" s="24" t="s">
        <v>989</v>
      </c>
      <c r="J349" s="24" t="s">
        <v>989</v>
      </c>
      <c r="K349" s="24" t="s">
        <v>989</v>
      </c>
      <c r="L349" s="24" t="s">
        <v>924</v>
      </c>
      <c r="M349" s="24"/>
      <c r="N349" s="149"/>
      <c r="O349" s="149"/>
      <c r="P349" s="149"/>
      <c r="Q349" s="149"/>
      <c r="R349" s="149"/>
      <c r="S349" s="149"/>
      <c r="T349" s="149"/>
      <c r="U349" s="149"/>
      <c r="V349" s="149"/>
      <c r="W349" s="149"/>
      <c r="X349" s="149"/>
      <c r="Y349" s="149"/>
      <c r="Z349" s="149"/>
      <c r="AA349" s="24" t="s">
        <v>1501</v>
      </c>
    </row>
    <row r="350" spans="1:27">
      <c r="A350" s="88" t="s">
        <v>1646</v>
      </c>
      <c r="B350" s="88" t="s">
        <v>1647</v>
      </c>
      <c r="C350" s="410" t="s">
        <v>1648</v>
      </c>
      <c r="D350" s="149"/>
      <c r="E350" s="88" t="s">
        <v>989</v>
      </c>
      <c r="F350" s="24" t="s">
        <v>989</v>
      </c>
      <c r="G350" s="24" t="s">
        <v>924</v>
      </c>
      <c r="H350" s="24" t="s">
        <v>924</v>
      </c>
      <c r="I350" s="24" t="s">
        <v>989</v>
      </c>
      <c r="J350" s="24" t="s">
        <v>989</v>
      </c>
      <c r="K350" s="24" t="s">
        <v>989</v>
      </c>
      <c r="L350" s="24" t="s">
        <v>924</v>
      </c>
      <c r="M350" s="24"/>
      <c r="N350" s="149"/>
      <c r="O350" s="149"/>
      <c r="P350" s="149"/>
      <c r="Q350" s="149"/>
      <c r="R350" s="149"/>
      <c r="S350" s="149"/>
      <c r="T350" s="149"/>
      <c r="U350" s="149"/>
      <c r="V350" s="149"/>
      <c r="W350" s="149"/>
      <c r="X350" s="149"/>
      <c r="Y350" s="149"/>
      <c r="Z350" s="149"/>
      <c r="AA350" s="24" t="s">
        <v>1501</v>
      </c>
    </row>
    <row r="351" spans="1:27">
      <c r="A351" s="88" t="s">
        <v>1649</v>
      </c>
      <c r="B351" s="88" t="s">
        <v>1650</v>
      </c>
      <c r="C351" s="410" t="s">
        <v>1651</v>
      </c>
      <c r="D351" s="149"/>
      <c r="E351" s="88" t="s">
        <v>989</v>
      </c>
      <c r="F351" s="24" t="s">
        <v>989</v>
      </c>
      <c r="G351" s="24" t="s">
        <v>924</v>
      </c>
      <c r="H351" s="24" t="s">
        <v>924</v>
      </c>
      <c r="I351" s="24" t="s">
        <v>989</v>
      </c>
      <c r="J351" s="24" t="s">
        <v>989</v>
      </c>
      <c r="K351" s="24" t="s">
        <v>989</v>
      </c>
      <c r="L351" s="24" t="s">
        <v>924</v>
      </c>
      <c r="M351" s="24"/>
      <c r="N351" s="149"/>
      <c r="O351" s="149"/>
      <c r="P351" s="149"/>
      <c r="Q351" s="149"/>
      <c r="R351" s="149"/>
      <c r="S351" s="149"/>
      <c r="T351" s="149"/>
      <c r="U351" s="149"/>
      <c r="V351" s="149"/>
      <c r="W351" s="149"/>
      <c r="X351" s="149"/>
      <c r="Y351" s="149"/>
      <c r="Z351" s="149"/>
      <c r="AA351" s="24" t="s">
        <v>1501</v>
      </c>
    </row>
    <row r="352" spans="1:27">
      <c r="A352" s="88" t="s">
        <v>1652</v>
      </c>
      <c r="B352" s="88" t="s">
        <v>1653</v>
      </c>
      <c r="C352" s="410" t="s">
        <v>1654</v>
      </c>
      <c r="D352" s="149"/>
      <c r="E352" s="88" t="s">
        <v>989</v>
      </c>
      <c r="F352" s="24" t="s">
        <v>989</v>
      </c>
      <c r="G352" s="24" t="s">
        <v>924</v>
      </c>
      <c r="H352" s="24" t="s">
        <v>924</v>
      </c>
      <c r="I352" s="24" t="s">
        <v>989</v>
      </c>
      <c r="J352" s="24" t="s">
        <v>989</v>
      </c>
      <c r="K352" s="24" t="s">
        <v>989</v>
      </c>
      <c r="L352" s="24" t="s">
        <v>924</v>
      </c>
      <c r="M352" s="24"/>
      <c r="N352" s="149"/>
      <c r="O352" s="149"/>
      <c r="P352" s="149"/>
      <c r="Q352" s="149"/>
      <c r="R352" s="149"/>
      <c r="S352" s="149"/>
      <c r="T352" s="149"/>
      <c r="U352" s="149"/>
      <c r="V352" s="149"/>
      <c r="W352" s="149"/>
      <c r="X352" s="149"/>
      <c r="Y352" s="149"/>
      <c r="Z352" s="149"/>
      <c r="AA352" s="24" t="s">
        <v>1501</v>
      </c>
    </row>
    <row r="353" spans="1:27">
      <c r="A353" s="88" t="s">
        <v>1655</v>
      </c>
      <c r="B353" s="88" t="s">
        <v>1656</v>
      </c>
      <c r="C353" s="410" t="s">
        <v>1657</v>
      </c>
      <c r="D353" s="149"/>
      <c r="E353" s="88" t="s">
        <v>989</v>
      </c>
      <c r="F353" s="24" t="s">
        <v>989</v>
      </c>
      <c r="G353" s="24" t="s">
        <v>924</v>
      </c>
      <c r="H353" s="24" t="s">
        <v>924</v>
      </c>
      <c r="I353" s="24" t="s">
        <v>989</v>
      </c>
      <c r="J353" s="24" t="s">
        <v>989</v>
      </c>
      <c r="K353" s="24" t="s">
        <v>989</v>
      </c>
      <c r="L353" s="24" t="s">
        <v>924</v>
      </c>
      <c r="M353" s="24"/>
      <c r="N353" s="149"/>
      <c r="O353" s="149"/>
      <c r="P353" s="149"/>
      <c r="Q353" s="149"/>
      <c r="R353" s="149"/>
      <c r="S353" s="149"/>
      <c r="T353" s="149"/>
      <c r="U353" s="149"/>
      <c r="V353" s="149"/>
      <c r="W353" s="149"/>
      <c r="X353" s="149"/>
      <c r="Y353" s="149"/>
      <c r="Z353" s="149"/>
      <c r="AA353" s="24" t="s">
        <v>1501</v>
      </c>
    </row>
    <row r="354" spans="1:27">
      <c r="A354" s="88" t="s">
        <v>1658</v>
      </c>
      <c r="B354" s="88" t="s">
        <v>1659</v>
      </c>
      <c r="C354" s="410" t="s">
        <v>1660</v>
      </c>
      <c r="D354" s="149"/>
      <c r="E354" s="88" t="s">
        <v>989</v>
      </c>
      <c r="F354" s="24" t="s">
        <v>989</v>
      </c>
      <c r="G354" s="24" t="s">
        <v>924</v>
      </c>
      <c r="H354" s="24" t="s">
        <v>924</v>
      </c>
      <c r="I354" s="24" t="s">
        <v>989</v>
      </c>
      <c r="J354" s="24" t="s">
        <v>989</v>
      </c>
      <c r="K354" s="24" t="s">
        <v>989</v>
      </c>
      <c r="L354" s="24" t="s">
        <v>924</v>
      </c>
      <c r="M354" s="24"/>
      <c r="N354" s="149"/>
      <c r="O354" s="149"/>
      <c r="P354" s="149"/>
      <c r="Q354" s="149"/>
      <c r="R354" s="149"/>
      <c r="S354" s="149"/>
      <c r="T354" s="149"/>
      <c r="U354" s="149"/>
      <c r="V354" s="149"/>
      <c r="W354" s="149"/>
      <c r="X354" s="149"/>
      <c r="Y354" s="149"/>
      <c r="Z354" s="149"/>
      <c r="AA354" s="24" t="s">
        <v>1501</v>
      </c>
    </row>
    <row r="355" spans="1:27">
      <c r="A355" s="88" t="s">
        <v>1661</v>
      </c>
      <c r="B355" s="88" t="s">
        <v>1662</v>
      </c>
      <c r="C355" s="410" t="s">
        <v>1663</v>
      </c>
      <c r="D355" s="149"/>
      <c r="E355" s="88" t="s">
        <v>989</v>
      </c>
      <c r="F355" s="24" t="s">
        <v>989</v>
      </c>
      <c r="G355" s="24" t="s">
        <v>924</v>
      </c>
      <c r="H355" s="24" t="s">
        <v>924</v>
      </c>
      <c r="I355" s="24" t="s">
        <v>989</v>
      </c>
      <c r="J355" s="24" t="s">
        <v>989</v>
      </c>
      <c r="K355" s="24" t="s">
        <v>989</v>
      </c>
      <c r="L355" s="24" t="s">
        <v>924</v>
      </c>
      <c r="M355" s="24"/>
      <c r="N355" s="149"/>
      <c r="O355" s="149"/>
      <c r="P355" s="149"/>
      <c r="Q355" s="149"/>
      <c r="R355" s="149"/>
      <c r="S355" s="149"/>
      <c r="T355" s="149"/>
      <c r="U355" s="149"/>
      <c r="V355" s="149"/>
      <c r="W355" s="149"/>
      <c r="X355" s="149"/>
      <c r="Y355" s="149"/>
      <c r="Z355" s="149"/>
      <c r="AA355" s="24" t="s">
        <v>1501</v>
      </c>
    </row>
    <row r="356" spans="1:27">
      <c r="A356" s="88" t="s">
        <v>1664</v>
      </c>
      <c r="B356" s="88" t="s">
        <v>1665</v>
      </c>
      <c r="C356" s="410" t="s">
        <v>1666</v>
      </c>
      <c r="D356" s="149"/>
      <c r="E356" s="88" t="s">
        <v>989</v>
      </c>
      <c r="F356" s="24" t="s">
        <v>989</v>
      </c>
      <c r="G356" s="24" t="s">
        <v>924</v>
      </c>
      <c r="H356" s="24" t="s">
        <v>924</v>
      </c>
      <c r="I356" s="24" t="s">
        <v>989</v>
      </c>
      <c r="J356" s="24" t="s">
        <v>989</v>
      </c>
      <c r="K356" s="24" t="s">
        <v>989</v>
      </c>
      <c r="L356" s="24" t="s">
        <v>924</v>
      </c>
      <c r="M356" s="24"/>
      <c r="N356" s="149"/>
      <c r="O356" s="149"/>
      <c r="P356" s="149"/>
      <c r="Q356" s="149"/>
      <c r="R356" s="149"/>
      <c r="S356" s="149"/>
      <c r="T356" s="149"/>
      <c r="U356" s="149"/>
      <c r="V356" s="149"/>
      <c r="W356" s="149"/>
      <c r="X356" s="149"/>
      <c r="Y356" s="149"/>
      <c r="Z356" s="149"/>
      <c r="AA356" s="24" t="s">
        <v>1501</v>
      </c>
    </row>
    <row r="357" spans="1:27">
      <c r="A357" s="88" t="s">
        <v>1667</v>
      </c>
      <c r="B357" s="88" t="s">
        <v>1668</v>
      </c>
      <c r="C357" s="410" t="s">
        <v>1669</v>
      </c>
      <c r="D357" s="149"/>
      <c r="E357" s="88" t="s">
        <v>989</v>
      </c>
      <c r="F357" s="24" t="s">
        <v>989</v>
      </c>
      <c r="G357" s="24" t="s">
        <v>924</v>
      </c>
      <c r="H357" s="24" t="s">
        <v>924</v>
      </c>
      <c r="I357" s="24" t="s">
        <v>989</v>
      </c>
      <c r="J357" s="24" t="s">
        <v>989</v>
      </c>
      <c r="K357" s="24" t="s">
        <v>989</v>
      </c>
      <c r="L357" s="24" t="s">
        <v>924</v>
      </c>
      <c r="M357" s="24"/>
      <c r="N357" s="149"/>
      <c r="O357" s="149"/>
      <c r="P357" s="149"/>
      <c r="Q357" s="149"/>
      <c r="R357" s="149"/>
      <c r="S357" s="149"/>
      <c r="T357" s="149"/>
      <c r="U357" s="149"/>
      <c r="V357" s="149"/>
      <c r="W357" s="149"/>
      <c r="X357" s="149"/>
      <c r="Y357" s="149"/>
      <c r="Z357" s="149"/>
      <c r="AA357" s="24" t="s">
        <v>1501</v>
      </c>
    </row>
    <row r="358" spans="1:27">
      <c r="A358" s="88" t="s">
        <v>1670</v>
      </c>
      <c r="B358" s="88" t="s">
        <v>1671</v>
      </c>
      <c r="C358" s="410" t="s">
        <v>1672</v>
      </c>
      <c r="D358" s="149"/>
      <c r="E358" s="88" t="s">
        <v>989</v>
      </c>
      <c r="F358" s="24" t="s">
        <v>989</v>
      </c>
      <c r="G358" s="24" t="s">
        <v>924</v>
      </c>
      <c r="H358" s="24" t="s">
        <v>924</v>
      </c>
      <c r="I358" s="24" t="s">
        <v>989</v>
      </c>
      <c r="J358" s="24" t="s">
        <v>989</v>
      </c>
      <c r="K358" s="24" t="s">
        <v>989</v>
      </c>
      <c r="L358" s="24" t="s">
        <v>924</v>
      </c>
      <c r="M358" s="24"/>
      <c r="N358" s="149"/>
      <c r="O358" s="149"/>
      <c r="P358" s="149"/>
      <c r="Q358" s="149"/>
      <c r="R358" s="149"/>
      <c r="S358" s="149"/>
      <c r="T358" s="149"/>
      <c r="U358" s="149"/>
      <c r="V358" s="149"/>
      <c r="W358" s="149"/>
      <c r="X358" s="149"/>
      <c r="Y358" s="149"/>
      <c r="Z358" s="149"/>
      <c r="AA358" s="24" t="s">
        <v>1501</v>
      </c>
    </row>
    <row r="359" spans="1:27">
      <c r="A359" s="88" t="s">
        <v>1673</v>
      </c>
      <c r="B359" s="88" t="s">
        <v>1674</v>
      </c>
      <c r="C359" s="410" t="s">
        <v>1675</v>
      </c>
      <c r="D359" s="149"/>
      <c r="E359" s="88" t="s">
        <v>989</v>
      </c>
      <c r="F359" s="24" t="s">
        <v>989</v>
      </c>
      <c r="G359" s="24" t="s">
        <v>924</v>
      </c>
      <c r="H359" s="24" t="s">
        <v>924</v>
      </c>
      <c r="I359" s="24" t="s">
        <v>989</v>
      </c>
      <c r="J359" s="24" t="s">
        <v>989</v>
      </c>
      <c r="K359" s="24" t="s">
        <v>989</v>
      </c>
      <c r="L359" s="24" t="s">
        <v>924</v>
      </c>
      <c r="M359" s="24"/>
      <c r="N359" s="149"/>
      <c r="O359" s="149"/>
      <c r="P359" s="149"/>
      <c r="Q359" s="149"/>
      <c r="R359" s="149"/>
      <c r="S359" s="149"/>
      <c r="T359" s="149"/>
      <c r="U359" s="149"/>
      <c r="V359" s="149"/>
      <c r="W359" s="149"/>
      <c r="X359" s="149"/>
      <c r="Y359" s="149"/>
      <c r="Z359" s="149"/>
      <c r="AA359" s="24" t="s">
        <v>1501</v>
      </c>
    </row>
    <row r="360" spans="1:27">
      <c r="A360" s="88" t="s">
        <v>1676</v>
      </c>
      <c r="B360" s="88" t="s">
        <v>1677</v>
      </c>
      <c r="C360" s="410" t="s">
        <v>1678</v>
      </c>
      <c r="D360" s="149"/>
      <c r="E360" s="88" t="s">
        <v>989</v>
      </c>
      <c r="F360" s="24" t="s">
        <v>989</v>
      </c>
      <c r="G360" s="24" t="s">
        <v>924</v>
      </c>
      <c r="H360" s="24" t="s">
        <v>924</v>
      </c>
      <c r="I360" s="24" t="s">
        <v>989</v>
      </c>
      <c r="J360" s="24" t="s">
        <v>989</v>
      </c>
      <c r="K360" s="24" t="s">
        <v>989</v>
      </c>
      <c r="L360" s="24" t="s">
        <v>924</v>
      </c>
      <c r="M360" s="24"/>
      <c r="N360" s="149"/>
      <c r="O360" s="149"/>
      <c r="P360" s="149"/>
      <c r="Q360" s="149"/>
      <c r="R360" s="149"/>
      <c r="S360" s="149"/>
      <c r="T360" s="149"/>
      <c r="U360" s="149"/>
      <c r="V360" s="149"/>
      <c r="W360" s="149"/>
      <c r="X360" s="149"/>
      <c r="Y360" s="149"/>
      <c r="Z360" s="149"/>
      <c r="AA360" s="24" t="s">
        <v>1501</v>
      </c>
    </row>
    <row r="361" spans="1:27">
      <c r="A361" s="88" t="s">
        <v>1679</v>
      </c>
      <c r="B361" s="88" t="s">
        <v>1680</v>
      </c>
      <c r="C361" s="410" t="s">
        <v>1681</v>
      </c>
      <c r="D361" s="149"/>
      <c r="E361" s="88" t="s">
        <v>989</v>
      </c>
      <c r="F361" s="24" t="s">
        <v>989</v>
      </c>
      <c r="G361" s="24" t="s">
        <v>924</v>
      </c>
      <c r="H361" s="24" t="s">
        <v>924</v>
      </c>
      <c r="I361" s="24" t="s">
        <v>989</v>
      </c>
      <c r="J361" s="24" t="s">
        <v>989</v>
      </c>
      <c r="K361" s="24" t="s">
        <v>989</v>
      </c>
      <c r="L361" s="24" t="s">
        <v>924</v>
      </c>
      <c r="M361" s="24"/>
      <c r="N361" s="149"/>
      <c r="O361" s="149"/>
      <c r="P361" s="149"/>
      <c r="Q361" s="149"/>
      <c r="R361" s="149"/>
      <c r="S361" s="149"/>
      <c r="T361" s="149"/>
      <c r="U361" s="149"/>
      <c r="V361" s="149"/>
      <c r="W361" s="149"/>
      <c r="X361" s="149"/>
      <c r="Y361" s="149"/>
      <c r="Z361" s="149"/>
      <c r="AA361" s="24" t="s">
        <v>1501</v>
      </c>
    </row>
    <row r="362" spans="1:27">
      <c r="A362" s="88" t="s">
        <v>1682</v>
      </c>
      <c r="B362" s="88" t="s">
        <v>1683</v>
      </c>
      <c r="C362" s="410" t="s">
        <v>1684</v>
      </c>
      <c r="D362" s="149"/>
      <c r="E362" s="88" t="s">
        <v>989</v>
      </c>
      <c r="F362" s="24" t="s">
        <v>989</v>
      </c>
      <c r="G362" s="24" t="s">
        <v>924</v>
      </c>
      <c r="H362" s="24" t="s">
        <v>924</v>
      </c>
      <c r="I362" s="24" t="s">
        <v>989</v>
      </c>
      <c r="J362" s="24" t="s">
        <v>989</v>
      </c>
      <c r="K362" s="24" t="s">
        <v>989</v>
      </c>
      <c r="L362" s="24" t="s">
        <v>924</v>
      </c>
      <c r="M362" s="24"/>
      <c r="N362" s="149"/>
      <c r="O362" s="149"/>
      <c r="P362" s="149"/>
      <c r="Q362" s="149"/>
      <c r="R362" s="149"/>
      <c r="S362" s="149"/>
      <c r="T362" s="149"/>
      <c r="U362" s="149"/>
      <c r="V362" s="149"/>
      <c r="W362" s="149"/>
      <c r="X362" s="149"/>
      <c r="Y362" s="149"/>
      <c r="Z362" s="149"/>
      <c r="AA362" s="24" t="s">
        <v>1501</v>
      </c>
    </row>
    <row r="363" spans="1:27">
      <c r="A363" s="88" t="s">
        <v>1685</v>
      </c>
      <c r="B363" s="88" t="s">
        <v>1686</v>
      </c>
      <c r="C363" s="410" t="s">
        <v>1687</v>
      </c>
      <c r="D363" s="149"/>
      <c r="E363" s="88" t="s">
        <v>989</v>
      </c>
      <c r="F363" s="24" t="s">
        <v>989</v>
      </c>
      <c r="G363" s="24" t="s">
        <v>924</v>
      </c>
      <c r="H363" s="24" t="s">
        <v>924</v>
      </c>
      <c r="I363" s="24" t="s">
        <v>989</v>
      </c>
      <c r="J363" s="24" t="s">
        <v>989</v>
      </c>
      <c r="K363" s="24" t="s">
        <v>989</v>
      </c>
      <c r="L363" s="24" t="s">
        <v>924</v>
      </c>
      <c r="M363" s="24"/>
      <c r="N363" s="149"/>
      <c r="O363" s="149"/>
      <c r="P363" s="149"/>
      <c r="Q363" s="149"/>
      <c r="R363" s="149"/>
      <c r="S363" s="149"/>
      <c r="T363" s="149"/>
      <c r="U363" s="149"/>
      <c r="V363" s="149"/>
      <c r="W363" s="149"/>
      <c r="X363" s="149"/>
      <c r="Y363" s="149"/>
      <c r="Z363" s="149"/>
      <c r="AA363" s="24" t="s">
        <v>1501</v>
      </c>
    </row>
    <row r="364" spans="1:27">
      <c r="A364" s="88" t="s">
        <v>1688</v>
      </c>
      <c r="B364" s="88" t="s">
        <v>1689</v>
      </c>
      <c r="C364" s="410" t="s">
        <v>1690</v>
      </c>
      <c r="D364" s="149"/>
      <c r="E364" s="88" t="s">
        <v>989</v>
      </c>
      <c r="F364" s="24" t="s">
        <v>989</v>
      </c>
      <c r="G364" s="24" t="s">
        <v>924</v>
      </c>
      <c r="H364" s="24" t="s">
        <v>924</v>
      </c>
      <c r="I364" s="24" t="s">
        <v>989</v>
      </c>
      <c r="J364" s="24" t="s">
        <v>989</v>
      </c>
      <c r="K364" s="24" t="s">
        <v>989</v>
      </c>
      <c r="L364" s="24" t="s">
        <v>924</v>
      </c>
      <c r="M364" s="24"/>
      <c r="N364" s="149"/>
      <c r="O364" s="149"/>
      <c r="P364" s="149"/>
      <c r="Q364" s="149"/>
      <c r="R364" s="149"/>
      <c r="S364" s="149"/>
      <c r="T364" s="149"/>
      <c r="U364" s="149"/>
      <c r="V364" s="149"/>
      <c r="W364" s="149"/>
      <c r="X364" s="149"/>
      <c r="Y364" s="149"/>
      <c r="Z364" s="149"/>
      <c r="AA364" s="24" t="s">
        <v>1501</v>
      </c>
    </row>
    <row r="365" spans="1:27">
      <c r="A365" s="88" t="s">
        <v>1691</v>
      </c>
      <c r="B365" s="88" t="s">
        <v>1692</v>
      </c>
      <c r="C365" s="410" t="s">
        <v>1693</v>
      </c>
      <c r="D365" s="149"/>
      <c r="E365" s="88" t="s">
        <v>989</v>
      </c>
      <c r="F365" s="24" t="s">
        <v>989</v>
      </c>
      <c r="G365" s="24" t="s">
        <v>924</v>
      </c>
      <c r="H365" s="24" t="s">
        <v>924</v>
      </c>
      <c r="I365" s="24" t="s">
        <v>989</v>
      </c>
      <c r="J365" s="24" t="s">
        <v>989</v>
      </c>
      <c r="K365" s="24" t="s">
        <v>989</v>
      </c>
      <c r="L365" s="24" t="s">
        <v>924</v>
      </c>
      <c r="M365" s="24"/>
      <c r="N365" s="149"/>
      <c r="O365" s="149"/>
      <c r="P365" s="149"/>
      <c r="Q365" s="149"/>
      <c r="R365" s="149"/>
      <c r="S365" s="149"/>
      <c r="T365" s="149"/>
      <c r="U365" s="149"/>
      <c r="V365" s="149"/>
      <c r="W365" s="149"/>
      <c r="X365" s="149"/>
      <c r="Y365" s="149"/>
      <c r="Z365" s="149"/>
      <c r="AA365" s="24" t="s">
        <v>1501</v>
      </c>
    </row>
    <row r="366" spans="1:27">
      <c r="A366" s="88" t="s">
        <v>1694</v>
      </c>
      <c r="B366" s="88" t="s">
        <v>1695</v>
      </c>
      <c r="C366" s="410" t="s">
        <v>1696</v>
      </c>
      <c r="D366" s="149"/>
      <c r="E366" s="88" t="s">
        <v>989</v>
      </c>
      <c r="F366" s="24" t="s">
        <v>989</v>
      </c>
      <c r="G366" s="24" t="s">
        <v>924</v>
      </c>
      <c r="H366" s="24" t="s">
        <v>924</v>
      </c>
      <c r="I366" s="24" t="s">
        <v>989</v>
      </c>
      <c r="J366" s="24" t="s">
        <v>989</v>
      </c>
      <c r="K366" s="24" t="s">
        <v>989</v>
      </c>
      <c r="L366" s="24" t="s">
        <v>924</v>
      </c>
      <c r="M366" s="24"/>
      <c r="N366" s="149"/>
      <c r="O366" s="149"/>
      <c r="P366" s="149"/>
      <c r="Q366" s="149"/>
      <c r="R366" s="149"/>
      <c r="S366" s="149"/>
      <c r="T366" s="149"/>
      <c r="U366" s="149"/>
      <c r="V366" s="149"/>
      <c r="W366" s="149"/>
      <c r="X366" s="149"/>
      <c r="Y366" s="149"/>
      <c r="Z366" s="149"/>
      <c r="AA366" s="24" t="s">
        <v>1501</v>
      </c>
    </row>
    <row r="367" spans="1:27">
      <c r="A367" s="88" t="s">
        <v>1697</v>
      </c>
      <c r="B367" s="88" t="s">
        <v>1698</v>
      </c>
      <c r="C367" s="410" t="s">
        <v>1699</v>
      </c>
      <c r="D367" s="149"/>
      <c r="E367" s="88" t="s">
        <v>989</v>
      </c>
      <c r="F367" s="24" t="s">
        <v>989</v>
      </c>
      <c r="G367" s="24" t="s">
        <v>924</v>
      </c>
      <c r="H367" s="24" t="s">
        <v>924</v>
      </c>
      <c r="I367" s="24" t="s">
        <v>989</v>
      </c>
      <c r="J367" s="24" t="s">
        <v>989</v>
      </c>
      <c r="K367" s="24" t="s">
        <v>989</v>
      </c>
      <c r="L367" s="24" t="s">
        <v>924</v>
      </c>
      <c r="M367" s="24"/>
      <c r="N367" s="149"/>
      <c r="O367" s="149"/>
      <c r="P367" s="149"/>
      <c r="Q367" s="149"/>
      <c r="R367" s="149"/>
      <c r="S367" s="149"/>
      <c r="T367" s="149"/>
      <c r="U367" s="149"/>
      <c r="V367" s="149"/>
      <c r="W367" s="149"/>
      <c r="X367" s="149"/>
      <c r="Y367" s="149"/>
      <c r="Z367" s="149"/>
      <c r="AA367" s="24" t="s">
        <v>1501</v>
      </c>
    </row>
    <row r="368" spans="1:27">
      <c r="A368" s="88" t="s">
        <v>1700</v>
      </c>
      <c r="B368" s="88" t="s">
        <v>1701</v>
      </c>
      <c r="C368" s="410" t="s">
        <v>1702</v>
      </c>
      <c r="D368" s="149"/>
      <c r="E368" s="88" t="s">
        <v>989</v>
      </c>
      <c r="F368" s="24" t="s">
        <v>989</v>
      </c>
      <c r="G368" s="24" t="s">
        <v>924</v>
      </c>
      <c r="H368" s="24" t="s">
        <v>924</v>
      </c>
      <c r="I368" s="24" t="s">
        <v>989</v>
      </c>
      <c r="J368" s="24" t="s">
        <v>989</v>
      </c>
      <c r="K368" s="24" t="s">
        <v>989</v>
      </c>
      <c r="L368" s="24" t="s">
        <v>924</v>
      </c>
      <c r="M368" s="24"/>
      <c r="N368" s="149"/>
      <c r="O368" s="149"/>
      <c r="P368" s="149"/>
      <c r="Q368" s="149"/>
      <c r="R368" s="149"/>
      <c r="S368" s="149"/>
      <c r="T368" s="149"/>
      <c r="U368" s="149"/>
      <c r="V368" s="149"/>
      <c r="W368" s="149"/>
      <c r="X368" s="149"/>
      <c r="Y368" s="149"/>
      <c r="Z368" s="149"/>
      <c r="AA368" s="24" t="s">
        <v>1501</v>
      </c>
    </row>
    <row r="369" spans="1:27">
      <c r="A369" s="88" t="s">
        <v>1703</v>
      </c>
      <c r="B369" s="88" t="s">
        <v>1704</v>
      </c>
      <c r="C369" s="410" t="s">
        <v>1705</v>
      </c>
      <c r="D369" s="149"/>
      <c r="E369" s="88" t="s">
        <v>989</v>
      </c>
      <c r="F369" s="24" t="s">
        <v>989</v>
      </c>
      <c r="G369" s="24" t="s">
        <v>924</v>
      </c>
      <c r="H369" s="24" t="s">
        <v>924</v>
      </c>
      <c r="I369" s="24" t="s">
        <v>989</v>
      </c>
      <c r="J369" s="24" t="s">
        <v>989</v>
      </c>
      <c r="K369" s="24" t="s">
        <v>989</v>
      </c>
      <c r="L369" s="24" t="s">
        <v>924</v>
      </c>
      <c r="M369" s="24"/>
      <c r="N369" s="149"/>
      <c r="O369" s="149"/>
      <c r="P369" s="149"/>
      <c r="Q369" s="149"/>
      <c r="R369" s="149"/>
      <c r="S369" s="149"/>
      <c r="T369" s="149"/>
      <c r="U369" s="149"/>
      <c r="V369" s="149"/>
      <c r="W369" s="149"/>
      <c r="X369" s="149"/>
      <c r="Y369" s="149"/>
      <c r="Z369" s="149"/>
      <c r="AA369" s="24" t="s">
        <v>1501</v>
      </c>
    </row>
    <row r="370" spans="1:27">
      <c r="A370" s="88" t="s">
        <v>1706</v>
      </c>
      <c r="B370" s="88" t="s">
        <v>1707</v>
      </c>
      <c r="C370" s="410" t="s">
        <v>1708</v>
      </c>
      <c r="D370" s="149"/>
      <c r="E370" s="88" t="s">
        <v>989</v>
      </c>
      <c r="F370" s="24" t="s">
        <v>989</v>
      </c>
      <c r="G370" s="24" t="s">
        <v>924</v>
      </c>
      <c r="H370" s="24" t="s">
        <v>924</v>
      </c>
      <c r="I370" s="24" t="s">
        <v>989</v>
      </c>
      <c r="J370" s="24" t="s">
        <v>989</v>
      </c>
      <c r="K370" s="24" t="s">
        <v>989</v>
      </c>
      <c r="L370" s="24" t="s">
        <v>924</v>
      </c>
      <c r="M370" s="24"/>
      <c r="N370" s="149"/>
      <c r="O370" s="149"/>
      <c r="P370" s="149"/>
      <c r="Q370" s="149"/>
      <c r="R370" s="149"/>
      <c r="S370" s="149"/>
      <c r="T370" s="149"/>
      <c r="U370" s="149"/>
      <c r="V370" s="149"/>
      <c r="W370" s="149"/>
      <c r="X370" s="149"/>
      <c r="Y370" s="149"/>
      <c r="Z370" s="149"/>
      <c r="AA370" s="24" t="s">
        <v>1501</v>
      </c>
    </row>
    <row r="371" spans="1:27">
      <c r="A371" s="88" t="s">
        <v>1709</v>
      </c>
      <c r="B371" s="88" t="s">
        <v>1710</v>
      </c>
      <c r="C371" s="410" t="s">
        <v>1711</v>
      </c>
      <c r="D371" s="149"/>
      <c r="E371" s="88" t="s">
        <v>989</v>
      </c>
      <c r="F371" s="24" t="s">
        <v>989</v>
      </c>
      <c r="G371" s="24" t="s">
        <v>924</v>
      </c>
      <c r="H371" s="24" t="s">
        <v>924</v>
      </c>
      <c r="I371" s="24" t="s">
        <v>989</v>
      </c>
      <c r="J371" s="24" t="s">
        <v>989</v>
      </c>
      <c r="K371" s="24" t="s">
        <v>989</v>
      </c>
      <c r="L371" s="24" t="s">
        <v>924</v>
      </c>
      <c r="M371" s="24"/>
      <c r="N371" s="149"/>
      <c r="O371" s="149"/>
      <c r="P371" s="149"/>
      <c r="Q371" s="149"/>
      <c r="R371" s="149"/>
      <c r="S371" s="149"/>
      <c r="T371" s="149"/>
      <c r="U371" s="149"/>
      <c r="V371" s="149"/>
      <c r="W371" s="149"/>
      <c r="X371" s="149"/>
      <c r="Y371" s="149"/>
      <c r="Z371" s="149"/>
      <c r="AA371" s="24" t="s">
        <v>1501</v>
      </c>
    </row>
    <row r="372" spans="1:27">
      <c r="A372" s="88" t="s">
        <v>1712</v>
      </c>
      <c r="B372" s="88" t="s">
        <v>1713</v>
      </c>
      <c r="C372" s="410" t="s">
        <v>1714</v>
      </c>
      <c r="D372" s="149"/>
      <c r="E372" s="88" t="s">
        <v>989</v>
      </c>
      <c r="F372" s="24" t="s">
        <v>989</v>
      </c>
      <c r="G372" s="24" t="s">
        <v>924</v>
      </c>
      <c r="H372" s="24" t="s">
        <v>924</v>
      </c>
      <c r="I372" s="24" t="s">
        <v>989</v>
      </c>
      <c r="J372" s="24" t="s">
        <v>989</v>
      </c>
      <c r="K372" s="24" t="s">
        <v>989</v>
      </c>
      <c r="L372" s="24" t="s">
        <v>924</v>
      </c>
      <c r="M372" s="24"/>
      <c r="N372" s="149"/>
      <c r="O372" s="149"/>
      <c r="P372" s="149"/>
      <c r="Q372" s="149"/>
      <c r="R372" s="149"/>
      <c r="S372" s="149"/>
      <c r="T372" s="149"/>
      <c r="U372" s="149"/>
      <c r="V372" s="149"/>
      <c r="W372" s="149"/>
      <c r="X372" s="149"/>
      <c r="Y372" s="149"/>
      <c r="Z372" s="149"/>
      <c r="AA372" s="24" t="s">
        <v>1501</v>
      </c>
    </row>
    <row r="373" spans="1:27">
      <c r="A373" s="88" t="s">
        <v>1715</v>
      </c>
      <c r="B373" s="88" t="s">
        <v>1716</v>
      </c>
      <c r="C373" s="410" t="s">
        <v>1717</v>
      </c>
      <c r="D373" s="149"/>
      <c r="E373" s="88" t="s">
        <v>989</v>
      </c>
      <c r="F373" s="24" t="s">
        <v>989</v>
      </c>
      <c r="G373" s="24" t="s">
        <v>924</v>
      </c>
      <c r="H373" s="24" t="s">
        <v>924</v>
      </c>
      <c r="I373" s="24" t="s">
        <v>989</v>
      </c>
      <c r="J373" s="24" t="s">
        <v>989</v>
      </c>
      <c r="K373" s="24" t="s">
        <v>989</v>
      </c>
      <c r="L373" s="24" t="s">
        <v>924</v>
      </c>
      <c r="M373" s="24"/>
      <c r="N373" s="149"/>
      <c r="O373" s="149"/>
      <c r="P373" s="149"/>
      <c r="Q373" s="149"/>
      <c r="R373" s="149"/>
      <c r="S373" s="149"/>
      <c r="T373" s="149"/>
      <c r="U373" s="149"/>
      <c r="V373" s="149"/>
      <c r="W373" s="149"/>
      <c r="X373" s="149"/>
      <c r="Y373" s="149"/>
      <c r="Z373" s="149"/>
      <c r="AA373" s="24" t="s">
        <v>1501</v>
      </c>
    </row>
    <row r="374" spans="1:27">
      <c r="A374" s="88" t="s">
        <v>1718</v>
      </c>
      <c r="B374" s="88" t="s">
        <v>1719</v>
      </c>
      <c r="C374" s="410" t="s">
        <v>1720</v>
      </c>
      <c r="D374" s="149"/>
      <c r="E374" s="88" t="s">
        <v>989</v>
      </c>
      <c r="F374" s="24" t="s">
        <v>989</v>
      </c>
      <c r="G374" s="24" t="s">
        <v>924</v>
      </c>
      <c r="H374" s="24" t="s">
        <v>924</v>
      </c>
      <c r="I374" s="24" t="s">
        <v>989</v>
      </c>
      <c r="J374" s="24" t="s">
        <v>989</v>
      </c>
      <c r="K374" s="24" t="s">
        <v>989</v>
      </c>
      <c r="L374" s="24" t="s">
        <v>924</v>
      </c>
      <c r="M374" s="24"/>
      <c r="N374" s="149"/>
      <c r="O374" s="149"/>
      <c r="P374" s="149"/>
      <c r="Q374" s="149"/>
      <c r="R374" s="149"/>
      <c r="S374" s="149"/>
      <c r="T374" s="149"/>
      <c r="U374" s="149"/>
      <c r="V374" s="149"/>
      <c r="W374" s="149"/>
      <c r="X374" s="149"/>
      <c r="Y374" s="149"/>
      <c r="Z374" s="149"/>
      <c r="AA374" s="24" t="s">
        <v>1501</v>
      </c>
    </row>
    <row r="375" spans="1:27">
      <c r="A375" s="88" t="s">
        <v>1721</v>
      </c>
      <c r="B375" s="88" t="s">
        <v>1722</v>
      </c>
      <c r="C375" s="410" t="s">
        <v>1723</v>
      </c>
      <c r="D375" s="149"/>
      <c r="E375" s="88" t="s">
        <v>989</v>
      </c>
      <c r="F375" s="24" t="s">
        <v>989</v>
      </c>
      <c r="G375" s="24" t="s">
        <v>924</v>
      </c>
      <c r="H375" s="24" t="s">
        <v>924</v>
      </c>
      <c r="I375" s="24" t="s">
        <v>989</v>
      </c>
      <c r="J375" s="24" t="s">
        <v>989</v>
      </c>
      <c r="K375" s="24" t="s">
        <v>989</v>
      </c>
      <c r="L375" s="24" t="s">
        <v>924</v>
      </c>
      <c r="M375" s="24"/>
      <c r="N375" s="149"/>
      <c r="O375" s="149"/>
      <c r="P375" s="149"/>
      <c r="Q375" s="149"/>
      <c r="R375" s="149"/>
      <c r="S375" s="149"/>
      <c r="T375" s="149"/>
      <c r="U375" s="149"/>
      <c r="V375" s="149"/>
      <c r="W375" s="149"/>
      <c r="X375" s="149"/>
      <c r="Y375" s="149"/>
      <c r="Z375" s="149"/>
      <c r="AA375" s="24" t="s">
        <v>1501</v>
      </c>
    </row>
    <row r="376" spans="1:27">
      <c r="A376" s="88" t="s">
        <v>1724</v>
      </c>
      <c r="B376" s="88" t="s">
        <v>1725</v>
      </c>
      <c r="C376" s="410" t="s">
        <v>1726</v>
      </c>
      <c r="D376" s="149"/>
      <c r="E376" s="88" t="s">
        <v>989</v>
      </c>
      <c r="F376" s="24" t="s">
        <v>989</v>
      </c>
      <c r="G376" s="24" t="s">
        <v>924</v>
      </c>
      <c r="H376" s="24" t="s">
        <v>924</v>
      </c>
      <c r="I376" s="24" t="s">
        <v>989</v>
      </c>
      <c r="J376" s="24" t="s">
        <v>989</v>
      </c>
      <c r="K376" s="24" t="s">
        <v>989</v>
      </c>
      <c r="L376" s="24" t="s">
        <v>924</v>
      </c>
      <c r="M376" s="24"/>
      <c r="N376" s="149"/>
      <c r="O376" s="149"/>
      <c r="P376" s="149"/>
      <c r="Q376" s="149"/>
      <c r="R376" s="149"/>
      <c r="S376" s="149"/>
      <c r="T376" s="149"/>
      <c r="U376" s="149"/>
      <c r="V376" s="149"/>
      <c r="W376" s="149"/>
      <c r="X376" s="149"/>
      <c r="Y376" s="149"/>
      <c r="Z376" s="149"/>
      <c r="AA376" s="24" t="s">
        <v>1501</v>
      </c>
    </row>
    <row r="377" spans="1:27">
      <c r="A377" s="88" t="s">
        <v>1727</v>
      </c>
      <c r="B377" s="88" t="s">
        <v>1728</v>
      </c>
      <c r="C377" s="410" t="s">
        <v>1729</v>
      </c>
      <c r="D377" s="149"/>
      <c r="E377" s="88" t="s">
        <v>989</v>
      </c>
      <c r="F377" s="24" t="s">
        <v>989</v>
      </c>
      <c r="G377" s="24" t="s">
        <v>924</v>
      </c>
      <c r="H377" s="24" t="s">
        <v>924</v>
      </c>
      <c r="I377" s="24" t="s">
        <v>989</v>
      </c>
      <c r="J377" s="24" t="s">
        <v>989</v>
      </c>
      <c r="K377" s="24" t="s">
        <v>989</v>
      </c>
      <c r="L377" s="24" t="s">
        <v>924</v>
      </c>
      <c r="M377" s="24"/>
      <c r="N377" s="149"/>
      <c r="O377" s="149"/>
      <c r="P377" s="149"/>
      <c r="Q377" s="149"/>
      <c r="R377" s="149"/>
      <c r="S377" s="149"/>
      <c r="T377" s="149"/>
      <c r="U377" s="149"/>
      <c r="V377" s="149"/>
      <c r="W377" s="149"/>
      <c r="X377" s="149"/>
      <c r="Y377" s="149"/>
      <c r="Z377" s="149"/>
      <c r="AA377" s="24" t="s">
        <v>1501</v>
      </c>
    </row>
    <row r="378" spans="1:27">
      <c r="A378" s="88" t="s">
        <v>1730</v>
      </c>
      <c r="B378" s="88" t="s">
        <v>1731</v>
      </c>
      <c r="C378" s="410" t="s">
        <v>1732</v>
      </c>
      <c r="D378" s="149"/>
      <c r="E378" s="88" t="s">
        <v>989</v>
      </c>
      <c r="F378" s="24" t="s">
        <v>989</v>
      </c>
      <c r="G378" s="24" t="s">
        <v>924</v>
      </c>
      <c r="H378" s="24" t="s">
        <v>924</v>
      </c>
      <c r="I378" s="24" t="s">
        <v>989</v>
      </c>
      <c r="J378" s="24" t="s">
        <v>989</v>
      </c>
      <c r="K378" s="24" t="s">
        <v>989</v>
      </c>
      <c r="L378" s="24" t="s">
        <v>924</v>
      </c>
      <c r="M378" s="24"/>
      <c r="N378" s="149"/>
      <c r="O378" s="149"/>
      <c r="P378" s="149"/>
      <c r="Q378" s="149"/>
      <c r="R378" s="149"/>
      <c r="S378" s="149"/>
      <c r="T378" s="149"/>
      <c r="U378" s="149"/>
      <c r="V378" s="149"/>
      <c r="W378" s="149"/>
      <c r="X378" s="149"/>
      <c r="Y378" s="149"/>
      <c r="Z378" s="149"/>
      <c r="AA378" s="24" t="s">
        <v>1501</v>
      </c>
    </row>
    <row r="379" spans="1:27">
      <c r="A379" s="88" t="s">
        <v>1733</v>
      </c>
      <c r="B379" s="88" t="s">
        <v>1734</v>
      </c>
      <c r="C379" s="410" t="s">
        <v>1735</v>
      </c>
      <c r="D379" s="149"/>
      <c r="E379" s="88" t="s">
        <v>989</v>
      </c>
      <c r="F379" s="24" t="s">
        <v>989</v>
      </c>
      <c r="G379" s="24" t="s">
        <v>924</v>
      </c>
      <c r="H379" s="24" t="s">
        <v>924</v>
      </c>
      <c r="I379" s="24" t="s">
        <v>989</v>
      </c>
      <c r="J379" s="24" t="s">
        <v>989</v>
      </c>
      <c r="K379" s="24" t="s">
        <v>989</v>
      </c>
      <c r="L379" s="24" t="s">
        <v>924</v>
      </c>
      <c r="M379" s="24"/>
      <c r="N379" s="149"/>
      <c r="O379" s="149"/>
      <c r="P379" s="149"/>
      <c r="Q379" s="149"/>
      <c r="R379" s="149"/>
      <c r="S379" s="149"/>
      <c r="T379" s="149"/>
      <c r="U379" s="149"/>
      <c r="V379" s="149"/>
      <c r="W379" s="149"/>
      <c r="X379" s="149"/>
      <c r="Y379" s="149"/>
      <c r="Z379" s="149"/>
      <c r="AA379" s="24" t="s">
        <v>1501</v>
      </c>
    </row>
    <row r="380" spans="1:27">
      <c r="A380" s="88" t="s">
        <v>1736</v>
      </c>
      <c r="B380" s="88" t="s">
        <v>1737</v>
      </c>
      <c r="C380" s="410" t="s">
        <v>1738</v>
      </c>
      <c r="D380" s="149"/>
      <c r="E380" s="88" t="s">
        <v>989</v>
      </c>
      <c r="F380" s="24" t="s">
        <v>989</v>
      </c>
      <c r="G380" s="24" t="s">
        <v>924</v>
      </c>
      <c r="H380" s="24" t="s">
        <v>924</v>
      </c>
      <c r="I380" s="24" t="s">
        <v>989</v>
      </c>
      <c r="J380" s="24" t="s">
        <v>989</v>
      </c>
      <c r="K380" s="24" t="s">
        <v>989</v>
      </c>
      <c r="L380" s="24" t="s">
        <v>924</v>
      </c>
      <c r="M380" s="24"/>
      <c r="N380" s="149"/>
      <c r="O380" s="149"/>
      <c r="P380" s="149"/>
      <c r="Q380" s="149"/>
      <c r="R380" s="149"/>
      <c r="S380" s="149"/>
      <c r="T380" s="149"/>
      <c r="U380" s="149"/>
      <c r="V380" s="149"/>
      <c r="W380" s="149"/>
      <c r="X380" s="149"/>
      <c r="Y380" s="149"/>
      <c r="Z380" s="149"/>
      <c r="AA380" s="24" t="s">
        <v>1501</v>
      </c>
    </row>
    <row r="381" spans="1:27">
      <c r="A381" s="88" t="s">
        <v>1739</v>
      </c>
      <c r="B381" s="88" t="s">
        <v>1740</v>
      </c>
      <c r="C381" s="410" t="s">
        <v>1741</v>
      </c>
      <c r="D381" s="149"/>
      <c r="E381" s="88" t="s">
        <v>989</v>
      </c>
      <c r="F381" s="24" t="s">
        <v>989</v>
      </c>
      <c r="G381" s="24" t="s">
        <v>924</v>
      </c>
      <c r="H381" s="24" t="s">
        <v>924</v>
      </c>
      <c r="I381" s="24" t="s">
        <v>989</v>
      </c>
      <c r="J381" s="24" t="s">
        <v>989</v>
      </c>
      <c r="K381" s="24" t="s">
        <v>989</v>
      </c>
      <c r="L381" s="24" t="s">
        <v>924</v>
      </c>
      <c r="M381" s="24"/>
      <c r="N381" s="149"/>
      <c r="O381" s="149"/>
      <c r="P381" s="149"/>
      <c r="Q381" s="149"/>
      <c r="R381" s="149"/>
      <c r="S381" s="149"/>
      <c r="T381" s="149"/>
      <c r="U381" s="149"/>
      <c r="V381" s="149"/>
      <c r="W381" s="149"/>
      <c r="X381" s="149"/>
      <c r="Y381" s="149"/>
      <c r="Z381" s="149"/>
      <c r="AA381" s="24" t="s">
        <v>1501</v>
      </c>
    </row>
    <row r="382" spans="1:27">
      <c r="A382" s="88" t="s">
        <v>1742</v>
      </c>
      <c r="B382" s="88" t="s">
        <v>1743</v>
      </c>
      <c r="C382" s="410" t="s">
        <v>1744</v>
      </c>
      <c r="D382" s="149"/>
      <c r="E382" s="88" t="s">
        <v>989</v>
      </c>
      <c r="F382" s="24" t="s">
        <v>989</v>
      </c>
      <c r="G382" s="24" t="s">
        <v>924</v>
      </c>
      <c r="H382" s="24" t="s">
        <v>924</v>
      </c>
      <c r="I382" s="24" t="s">
        <v>989</v>
      </c>
      <c r="J382" s="24" t="s">
        <v>989</v>
      </c>
      <c r="K382" s="24" t="s">
        <v>989</v>
      </c>
      <c r="L382" s="24" t="s">
        <v>924</v>
      </c>
      <c r="M382" s="24"/>
      <c r="N382" s="149"/>
      <c r="O382" s="149"/>
      <c r="P382" s="149"/>
      <c r="Q382" s="149"/>
      <c r="R382" s="149"/>
      <c r="S382" s="149"/>
      <c r="T382" s="149"/>
      <c r="U382" s="149"/>
      <c r="V382" s="149"/>
      <c r="W382" s="149"/>
      <c r="X382" s="149"/>
      <c r="Y382" s="149"/>
      <c r="Z382" s="149"/>
      <c r="AA382" s="24" t="s">
        <v>1501</v>
      </c>
    </row>
  </sheetData>
  <sheetProtection formatCells="0" formatColumns="0" formatRows="0"/>
  <autoFilter ref="A6:AA6" xr:uid="{6AF764A0-03A6-4301-B313-5C7C4AF4BDE6}">
    <sortState xmlns:xlrd2="http://schemas.microsoft.com/office/spreadsheetml/2017/richdata2" ref="A8:AA380">
      <sortCondition ref="AA6"/>
    </sortState>
  </autoFilter>
  <mergeCells count="10">
    <mergeCell ref="A2:H2"/>
    <mergeCell ref="A3:H3"/>
    <mergeCell ref="A4:H4"/>
    <mergeCell ref="A5:A6"/>
    <mergeCell ref="C5:C6"/>
    <mergeCell ref="D5:D6"/>
    <mergeCell ref="E5:E6"/>
    <mergeCell ref="F5:F6"/>
    <mergeCell ref="G5:N5"/>
    <mergeCell ref="B5:B6"/>
  </mergeCells>
  <phoneticPr fontId="45" type="noConversion"/>
  <conditionalFormatting sqref="A5:C5 A7 N143:N145">
    <cfRule type="cellIs" dxfId="107" priority="66" stopIfTrue="1" operator="equal">
      <formula>"tbd"</formula>
    </cfRule>
  </conditionalFormatting>
  <conditionalFormatting sqref="C7">
    <cfRule type="cellIs" dxfId="106" priority="53" stopIfTrue="1" operator="equal">
      <formula>"tbd"</formula>
    </cfRule>
  </conditionalFormatting>
  <conditionalFormatting sqref="C102:C156">
    <cfRule type="cellIs" dxfId="105" priority="33" stopIfTrue="1" operator="equal">
      <formula>"tbd"</formula>
    </cfRule>
  </conditionalFormatting>
  <conditionalFormatting sqref="C283">
    <cfRule type="cellIs" dxfId="104" priority="11" stopIfTrue="1" operator="equal">
      <formula>"tbd"</formula>
    </cfRule>
  </conditionalFormatting>
  <conditionalFormatting sqref="F209:L215">
    <cfRule type="cellIs" dxfId="103" priority="10" stopIfTrue="1" operator="equal">
      <formula>"tbd"</formula>
    </cfRule>
  </conditionalFormatting>
  <conditionalFormatting sqref="F270:M382">
    <cfRule type="cellIs" dxfId="102" priority="12" stopIfTrue="1" operator="equal">
      <formula>"tbd"</formula>
    </cfRule>
  </conditionalFormatting>
  <conditionalFormatting sqref="F7:N105 A8:B143 C90:C95 F143:M176 A177:C208 F185:N208 A254:B269 F254:N269">
    <cfRule type="cellIs" dxfId="101" priority="32" stopIfTrue="1" operator="equal">
      <formula>"tbd"</formula>
    </cfRule>
  </conditionalFormatting>
  <conditionalFormatting sqref="G5">
    <cfRule type="cellIs" dxfId="100" priority="46" stopIfTrue="1" operator="equal">
      <formula>"tbd"</formula>
    </cfRule>
  </conditionalFormatting>
  <conditionalFormatting sqref="H90:L90">
    <cfRule type="cellIs" dxfId="99" priority="26" stopIfTrue="1" operator="equal">
      <formula>"tbd"</formula>
    </cfRule>
  </conditionalFormatting>
  <conditionalFormatting sqref="H239:L247">
    <cfRule type="cellIs" dxfId="98" priority="9" stopIfTrue="1" operator="equal">
      <formula>"tbd"</formula>
    </cfRule>
  </conditionalFormatting>
  <conditionalFormatting sqref="M59:M89 F60:L89 F107:N115 F117:N122 F124:N141 F219:M222 F224:M224 F226:M226 F230:M233">
    <cfRule type="cellIs" dxfId="97" priority="44" stopIfTrue="1" operator="equal">
      <formula>"tbd"</formula>
    </cfRule>
  </conditionalFormatting>
  <conditionalFormatting sqref="M209:M218">
    <cfRule type="cellIs" dxfId="96" priority="37" stopIfTrue="1" operator="equal">
      <formula>"tbd"</formula>
    </cfRule>
  </conditionalFormatting>
  <conditionalFormatting sqref="M223">
    <cfRule type="cellIs" dxfId="95" priority="36" stopIfTrue="1" operator="equal">
      <formula>"tbd"</formula>
    </cfRule>
  </conditionalFormatting>
  <conditionalFormatting sqref="M225">
    <cfRule type="cellIs" dxfId="94" priority="35" stopIfTrue="1" operator="equal">
      <formula>"tbd"</formula>
    </cfRule>
  </conditionalFormatting>
  <conditionalFormatting sqref="M227:M229">
    <cfRule type="cellIs" dxfId="93" priority="34" stopIfTrue="1" operator="equal">
      <formula>"tbd"</formula>
    </cfRule>
  </conditionalFormatting>
  <conditionalFormatting sqref="M106:N106">
    <cfRule type="cellIs" dxfId="92" priority="41" stopIfTrue="1" operator="equal">
      <formula>"tbd"</formula>
    </cfRule>
  </conditionalFormatting>
  <conditionalFormatting sqref="M116:N116">
    <cfRule type="cellIs" dxfId="91" priority="40" stopIfTrue="1" operator="equal">
      <formula>"tbd"</formula>
    </cfRule>
  </conditionalFormatting>
  <conditionalFormatting sqref="M123:N123">
    <cfRule type="cellIs" dxfId="90" priority="39" stopIfTrue="1" operator="equal">
      <formula>"tbd"</formula>
    </cfRule>
  </conditionalFormatting>
  <conditionalFormatting sqref="M142:N142">
    <cfRule type="cellIs" dxfId="89" priority="38" stopIfTrue="1" operator="equal">
      <formula>"tbd"</formula>
    </cfRule>
  </conditionalFormatting>
  <conditionalFormatting sqref="M177:N184">
    <cfRule type="cellIs" dxfId="88" priority="43" stopIfTrue="1" operator="equal">
      <formula>"tbd"</formula>
    </cfRule>
  </conditionalFormatting>
  <dataValidations count="1">
    <dataValidation type="list" allowBlank="1" showInputMessage="1" showErrorMessage="1" sqref="G2:J4 L2:M4 M234:M269 M90:M95 M177:M208 M283:M300 L383:L1048576 G383:J1048576 M303:M1048576" xr:uid="{581AF45A-ABD8-4559-9240-59898E6BD676}">
      <formula1>#REF!</formula1>
    </dataValidation>
  </dataValidations>
  <printOptions horizontalCentered="1"/>
  <pageMargins left="0.70763888888888904" right="0.70763888888888904" top="0.74791666666666701" bottom="0.74791666666666701" header="0.31388888888888899" footer="0.31388888888888899"/>
  <pageSetup paperSize="9" scale="55" orientation="landscape" horizontalDpi="300" verticalDpi="3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99791-02DF-414C-835C-C8232ADDAEA6}">
  <sheetPr>
    <tabColor rgb="FFFFFF00"/>
  </sheetPr>
  <dimension ref="A2:CW382"/>
  <sheetViews>
    <sheetView topLeftCell="N1" zoomScale="70" zoomScaleNormal="70" workbookViewId="0">
      <pane ySplit="6" topLeftCell="A296" activePane="bottomLeft" state="frozen"/>
      <selection pane="bottomLeft" activeCell="V299" sqref="V299"/>
    </sheetView>
  </sheetViews>
  <sheetFormatPr defaultColWidth="9" defaultRowHeight="15.75"/>
  <cols>
    <col min="1" max="1" width="8.125" style="384" customWidth="1"/>
    <col min="2" max="5" width="2" style="384" customWidth="1"/>
    <col min="6" max="6" width="17.25" style="383" customWidth="1"/>
    <col min="7" max="7" width="13.25" style="384" customWidth="1"/>
    <col min="8" max="10" width="19.625" style="384" customWidth="1"/>
    <col min="11" max="11" width="31.75" style="384" customWidth="1"/>
    <col min="12" max="12" width="44.375" style="384" customWidth="1"/>
    <col min="13" max="13" width="43.375" style="384" customWidth="1"/>
    <col min="14" max="14" width="58.75" style="384" customWidth="1"/>
    <col min="15" max="15" width="32.625" style="384" customWidth="1"/>
    <col min="16" max="16" width="34.875" style="384" customWidth="1"/>
    <col min="17" max="17" width="15" style="391" customWidth="1"/>
    <col min="18" max="18" width="25.75" style="384" customWidth="1"/>
    <col min="19" max="19" width="24.125" style="384" customWidth="1"/>
    <col min="20" max="20" width="44.5" style="384" customWidth="1"/>
    <col min="21" max="27" width="26" style="384" customWidth="1"/>
    <col min="28" max="28" width="28.375" style="384" customWidth="1"/>
    <col min="29" max="29" width="15.5" style="384" customWidth="1"/>
    <col min="30" max="30" width="26" style="384" customWidth="1"/>
    <col min="31" max="31" width="37.625" style="384" customWidth="1"/>
    <col min="32" max="32" width="26" style="384" customWidth="1"/>
    <col min="33" max="52" width="0.5" style="384" customWidth="1"/>
    <col min="53" max="53" width="26" style="541" customWidth="1"/>
    <col min="54" max="54" width="17.125" style="541" customWidth="1"/>
    <col min="55" max="55" width="12.375" style="541" customWidth="1"/>
    <col min="56" max="56" width="11.125" style="541" customWidth="1"/>
    <col min="57" max="57" width="6.625" style="541" customWidth="1"/>
    <col min="58" max="58" width="14.375" style="541" customWidth="1"/>
    <col min="59" max="16384" width="9" style="384"/>
  </cols>
  <sheetData>
    <row r="2" spans="1:58">
      <c r="A2" s="798" t="s">
        <v>1745</v>
      </c>
      <c r="B2" s="798"/>
      <c r="C2" s="798"/>
      <c r="D2" s="798"/>
      <c r="E2" s="798"/>
      <c r="F2" s="798"/>
      <c r="G2" s="798"/>
      <c r="H2" s="798"/>
      <c r="I2" s="798"/>
      <c r="J2" s="798"/>
      <c r="K2" s="798"/>
      <c r="L2" s="798"/>
      <c r="M2" s="798"/>
      <c r="N2" s="798"/>
      <c r="O2" s="798"/>
      <c r="P2" s="798"/>
      <c r="Q2" s="798"/>
      <c r="R2" s="798"/>
      <c r="S2" s="798"/>
      <c r="T2" s="798"/>
      <c r="U2" s="798"/>
      <c r="V2" s="798"/>
      <c r="W2" s="798"/>
      <c r="X2" s="798"/>
      <c r="Y2" s="798"/>
      <c r="Z2" s="798"/>
      <c r="AA2" s="798"/>
      <c r="AB2" s="798"/>
      <c r="AC2" s="798"/>
      <c r="AD2" s="798"/>
      <c r="AE2" s="798"/>
      <c r="BA2" s="384"/>
      <c r="BB2" s="384"/>
      <c r="BC2" s="384"/>
      <c r="BD2" s="384"/>
      <c r="BE2" s="384"/>
      <c r="BF2" s="384"/>
    </row>
    <row r="3" spans="1:58">
      <c r="A3" s="797"/>
      <c r="B3" s="797"/>
      <c r="C3" s="797"/>
      <c r="D3" s="797"/>
      <c r="E3" s="797"/>
      <c r="F3" s="797"/>
      <c r="G3" s="797"/>
      <c r="H3" s="797"/>
      <c r="I3" s="797"/>
      <c r="J3" s="797"/>
      <c r="K3" s="797"/>
      <c r="L3" s="797"/>
      <c r="M3" s="797"/>
      <c r="N3" s="797"/>
      <c r="O3" s="797"/>
      <c r="P3" s="797"/>
      <c r="Q3" s="797"/>
      <c r="R3" s="797"/>
      <c r="S3" s="797"/>
      <c r="T3" s="797"/>
      <c r="U3" s="797"/>
      <c r="V3" s="797"/>
      <c r="W3" s="797"/>
      <c r="X3" s="797"/>
      <c r="Y3" s="797"/>
      <c r="Z3" s="797"/>
      <c r="AA3" s="797"/>
      <c r="AB3" s="797"/>
      <c r="AC3" s="797"/>
      <c r="AD3" s="797"/>
      <c r="AE3" s="797"/>
      <c r="BA3" s="384"/>
      <c r="BB3" s="384"/>
      <c r="BC3" s="384"/>
      <c r="BD3" s="384"/>
      <c r="BE3" s="384"/>
      <c r="BF3" s="384"/>
    </row>
    <row r="4" spans="1:58">
      <c r="A4" s="361"/>
      <c r="B4" s="361"/>
      <c r="C4" s="361"/>
      <c r="D4" s="361"/>
      <c r="E4" s="361"/>
      <c r="F4" s="361"/>
      <c r="G4" s="361"/>
      <c r="H4" s="361"/>
      <c r="I4" s="361"/>
      <c r="J4" s="361"/>
      <c r="K4" s="361"/>
      <c r="L4" s="361"/>
      <c r="M4" s="361"/>
      <c r="N4" s="361"/>
      <c r="O4" s="361"/>
      <c r="P4" s="361"/>
      <c r="Q4" s="385"/>
      <c r="R4" s="361"/>
      <c r="S4" s="361"/>
      <c r="T4" s="361"/>
      <c r="U4" s="361"/>
      <c r="V4" s="361"/>
      <c r="W4" s="361"/>
      <c r="X4" s="361"/>
      <c r="Y4" s="361"/>
      <c r="Z4" s="361"/>
      <c r="AA4" s="361"/>
      <c r="AB4" s="361"/>
      <c r="AC4" s="361"/>
      <c r="AD4" s="361"/>
      <c r="AE4" s="361"/>
      <c r="BA4" s="384"/>
      <c r="BB4" s="384"/>
      <c r="BC4" s="384"/>
      <c r="BD4" s="384"/>
      <c r="BE4" s="384"/>
      <c r="BF4" s="384"/>
    </row>
    <row r="5" spans="1:58" ht="45">
      <c r="A5" s="905" t="s">
        <v>1746</v>
      </c>
      <c r="B5" s="905" t="s">
        <v>1747</v>
      </c>
      <c r="C5" s="905"/>
      <c r="D5" s="905"/>
      <c r="E5" s="905"/>
      <c r="F5" s="905" t="s">
        <v>607</v>
      </c>
      <c r="G5" s="905" t="s">
        <v>608</v>
      </c>
      <c r="H5" s="905" t="s">
        <v>609</v>
      </c>
      <c r="I5" s="905" t="s">
        <v>1748</v>
      </c>
      <c r="J5" s="905" t="s">
        <v>1749</v>
      </c>
      <c r="K5" s="905" t="s">
        <v>1750</v>
      </c>
      <c r="L5" s="905" t="s">
        <v>1751</v>
      </c>
      <c r="M5" s="905" t="s">
        <v>1752</v>
      </c>
      <c r="N5" s="905" t="s">
        <v>1753</v>
      </c>
      <c r="O5" s="905" t="s">
        <v>1754</v>
      </c>
      <c r="P5" s="905" t="s">
        <v>1755</v>
      </c>
      <c r="Q5" s="906" t="s">
        <v>1756</v>
      </c>
      <c r="R5" s="905" t="s">
        <v>1757</v>
      </c>
      <c r="S5" s="905" t="s">
        <v>1758</v>
      </c>
      <c r="T5" s="440" t="s">
        <v>1759</v>
      </c>
      <c r="U5" s="440" t="s">
        <v>1760</v>
      </c>
      <c r="V5" s="440" t="s">
        <v>1761</v>
      </c>
      <c r="W5" s="440" t="s">
        <v>1762</v>
      </c>
      <c r="X5" s="440" t="s">
        <v>1763</v>
      </c>
      <c r="Y5" s="440" t="s">
        <v>1764</v>
      </c>
      <c r="Z5" s="440" t="s">
        <v>1765</v>
      </c>
      <c r="AA5" s="440" t="s">
        <v>1766</v>
      </c>
      <c r="AB5" s="440" t="s">
        <v>1767</v>
      </c>
      <c r="AC5" s="905" t="s">
        <v>1768</v>
      </c>
      <c r="AD5" s="905" t="s">
        <v>1769</v>
      </c>
      <c r="AE5" s="905" t="s">
        <v>6</v>
      </c>
      <c r="AF5" s="905" t="s">
        <v>7</v>
      </c>
      <c r="BA5" s="904" t="s">
        <v>1770</v>
      </c>
      <c r="BB5" s="904"/>
      <c r="BC5" s="904"/>
      <c r="BD5" s="904"/>
      <c r="BE5" s="904"/>
      <c r="BF5" s="904"/>
    </row>
    <row r="6" spans="1:58" ht="135">
      <c r="A6" s="905"/>
      <c r="B6" s="441" t="s">
        <v>15</v>
      </c>
      <c r="C6" s="441" t="s">
        <v>15</v>
      </c>
      <c r="D6" s="441" t="s">
        <v>15</v>
      </c>
      <c r="E6" s="441" t="s">
        <v>57</v>
      </c>
      <c r="F6" s="905"/>
      <c r="G6" s="905"/>
      <c r="H6" s="905"/>
      <c r="I6" s="905"/>
      <c r="J6" s="905"/>
      <c r="K6" s="905"/>
      <c r="L6" s="905"/>
      <c r="M6" s="905"/>
      <c r="N6" s="905"/>
      <c r="O6" s="905"/>
      <c r="P6" s="905"/>
      <c r="Q6" s="906"/>
      <c r="R6" s="905"/>
      <c r="S6" s="905"/>
      <c r="T6" s="440" t="s">
        <v>1771</v>
      </c>
      <c r="U6" s="440" t="s">
        <v>1772</v>
      </c>
      <c r="V6" s="440" t="s">
        <v>1773</v>
      </c>
      <c r="W6" s="440" t="s">
        <v>1774</v>
      </c>
      <c r="X6" s="440" t="s">
        <v>1775</v>
      </c>
      <c r="Y6" s="440" t="s">
        <v>1776</v>
      </c>
      <c r="Z6" s="440" t="s">
        <v>1777</v>
      </c>
      <c r="AA6" s="440" t="s">
        <v>1778</v>
      </c>
      <c r="AB6" s="440" t="s">
        <v>1779</v>
      </c>
      <c r="AC6" s="905"/>
      <c r="AD6" s="905"/>
      <c r="AE6" s="905"/>
      <c r="AF6" s="905"/>
      <c r="BA6" s="542" t="s">
        <v>1780</v>
      </c>
      <c r="BB6" s="543" t="s">
        <v>1781</v>
      </c>
      <c r="BC6" s="543" t="s">
        <v>1782</v>
      </c>
      <c r="BD6" s="543" t="s">
        <v>1783</v>
      </c>
      <c r="BE6" s="542" t="s">
        <v>1784</v>
      </c>
      <c r="BF6" s="542" t="s">
        <v>1785</v>
      </c>
    </row>
    <row r="7" spans="1:58" ht="150">
      <c r="A7" s="356" t="s">
        <v>1786</v>
      </c>
      <c r="B7" s="356"/>
      <c r="C7" s="356"/>
      <c r="D7" s="356"/>
      <c r="E7" s="356" t="s">
        <v>145</v>
      </c>
      <c r="F7" s="442" t="s">
        <v>613</v>
      </c>
      <c r="G7" s="443" t="s">
        <v>614</v>
      </c>
      <c r="H7" s="442" t="s">
        <v>615</v>
      </c>
      <c r="I7" s="442" t="s">
        <v>1787</v>
      </c>
      <c r="J7" s="442" t="s">
        <v>1788</v>
      </c>
      <c r="K7" s="442" t="s">
        <v>1789</v>
      </c>
      <c r="L7" s="442" t="s">
        <v>1790</v>
      </c>
      <c r="M7" s="442" t="s">
        <v>1791</v>
      </c>
      <c r="N7" s="442" t="s">
        <v>1792</v>
      </c>
      <c r="O7" s="442" t="s">
        <v>1793</v>
      </c>
      <c r="P7" s="442" t="s">
        <v>1794</v>
      </c>
      <c r="Q7" s="356" t="s">
        <v>1795</v>
      </c>
      <c r="R7" s="442" t="s">
        <v>1796</v>
      </c>
      <c r="S7" s="442" t="s">
        <v>1797</v>
      </c>
      <c r="T7" s="442" t="s">
        <v>1798</v>
      </c>
      <c r="U7" s="442" t="s">
        <v>1799</v>
      </c>
      <c r="V7" s="442" t="s">
        <v>1798</v>
      </c>
      <c r="W7" s="442" t="s">
        <v>1800</v>
      </c>
      <c r="X7" s="442" t="s">
        <v>1801</v>
      </c>
      <c r="Y7" s="442" t="s">
        <v>1802</v>
      </c>
      <c r="Z7" s="442" t="s">
        <v>1802</v>
      </c>
      <c r="AA7" s="442" t="s">
        <v>1800</v>
      </c>
      <c r="AB7" s="442" t="s">
        <v>1800</v>
      </c>
      <c r="AC7" s="442" t="s">
        <v>1803</v>
      </c>
      <c r="AD7" s="442" t="s">
        <v>1804</v>
      </c>
      <c r="AE7" s="442"/>
      <c r="AF7" s="386"/>
      <c r="BA7" s="544" t="s">
        <v>616</v>
      </c>
      <c r="BB7" s="545" t="s">
        <v>1805</v>
      </c>
      <c r="BC7" s="545" t="s">
        <v>33</v>
      </c>
      <c r="BD7" s="545" t="s">
        <v>1806</v>
      </c>
      <c r="BE7" s="356" t="s">
        <v>145</v>
      </c>
      <c r="BF7" s="421" t="s">
        <v>1807</v>
      </c>
    </row>
    <row r="8" spans="1:58" ht="150">
      <c r="A8" s="356" t="s">
        <v>1808</v>
      </c>
      <c r="B8" s="356"/>
      <c r="C8" s="356"/>
      <c r="D8" s="356"/>
      <c r="E8" s="356" t="s">
        <v>145</v>
      </c>
      <c r="F8" s="442" t="s">
        <v>617</v>
      </c>
      <c r="G8" s="443" t="s">
        <v>618</v>
      </c>
      <c r="H8" s="442" t="s">
        <v>619</v>
      </c>
      <c r="I8" s="442" t="s">
        <v>1809</v>
      </c>
      <c r="J8" s="442" t="s">
        <v>1810</v>
      </c>
      <c r="K8" s="442" t="s">
        <v>1789</v>
      </c>
      <c r="L8" s="442" t="s">
        <v>1790</v>
      </c>
      <c r="M8" s="442" t="s">
        <v>1791</v>
      </c>
      <c r="N8" s="442" t="s">
        <v>1792</v>
      </c>
      <c r="O8" s="442" t="s">
        <v>1793</v>
      </c>
      <c r="P8" s="442" t="s">
        <v>1794</v>
      </c>
      <c r="Q8" s="356" t="s">
        <v>1795</v>
      </c>
      <c r="R8" s="442" t="s">
        <v>1796</v>
      </c>
      <c r="S8" s="442" t="s">
        <v>1797</v>
      </c>
      <c r="T8" s="442" t="s">
        <v>1811</v>
      </c>
      <c r="U8" s="442" t="s">
        <v>1812</v>
      </c>
      <c r="V8" s="442" t="s">
        <v>1811</v>
      </c>
      <c r="W8" s="442" t="s">
        <v>1813</v>
      </c>
      <c r="X8" s="442" t="s">
        <v>1812</v>
      </c>
      <c r="Y8" s="442" t="s">
        <v>1802</v>
      </c>
      <c r="Z8" s="442" t="s">
        <v>1802</v>
      </c>
      <c r="AA8" s="442" t="s">
        <v>1813</v>
      </c>
      <c r="AB8" s="442" t="s">
        <v>1813</v>
      </c>
      <c r="AC8" s="442" t="s">
        <v>1803</v>
      </c>
      <c r="AD8" s="442" t="s">
        <v>1804</v>
      </c>
      <c r="AE8" s="442"/>
      <c r="AF8" s="386"/>
      <c r="BA8" s="544" t="s">
        <v>616</v>
      </c>
      <c r="BB8" s="545" t="s">
        <v>1805</v>
      </c>
      <c r="BC8" s="545" t="s">
        <v>33</v>
      </c>
      <c r="BD8" s="545" t="s">
        <v>1806</v>
      </c>
      <c r="BE8" s="356" t="s">
        <v>145</v>
      </c>
      <c r="BF8" s="421" t="s">
        <v>1807</v>
      </c>
    </row>
    <row r="9" spans="1:58" ht="150">
      <c r="A9" s="356" t="s">
        <v>38</v>
      </c>
      <c r="B9" s="356"/>
      <c r="C9" s="356"/>
      <c r="D9" s="356"/>
      <c r="E9" s="356" t="s">
        <v>145</v>
      </c>
      <c r="F9" s="442" t="s">
        <v>620</v>
      </c>
      <c r="G9" s="443" t="s">
        <v>621</v>
      </c>
      <c r="H9" s="442" t="s">
        <v>622</v>
      </c>
      <c r="I9" s="442" t="s">
        <v>1814</v>
      </c>
      <c r="J9" s="442" t="s">
        <v>1815</v>
      </c>
      <c r="K9" s="442" t="s">
        <v>1816</v>
      </c>
      <c r="L9" s="442" t="s">
        <v>1817</v>
      </c>
      <c r="M9" s="442" t="s">
        <v>1818</v>
      </c>
      <c r="N9" s="442" t="s">
        <v>1819</v>
      </c>
      <c r="O9" s="442" t="s">
        <v>1820</v>
      </c>
      <c r="P9" s="442" t="s">
        <v>1821</v>
      </c>
      <c r="Q9" s="356" t="s">
        <v>1822</v>
      </c>
      <c r="R9" s="442" t="s">
        <v>1823</v>
      </c>
      <c r="S9" s="442" t="s">
        <v>1824</v>
      </c>
      <c r="T9" s="442" t="s">
        <v>1825</v>
      </c>
      <c r="U9" s="442" t="s">
        <v>1812</v>
      </c>
      <c r="V9" s="442" t="s">
        <v>1825</v>
      </c>
      <c r="W9" s="442" t="s">
        <v>1826</v>
      </c>
      <c r="X9" s="442" t="s">
        <v>1812</v>
      </c>
      <c r="Y9" s="442" t="s">
        <v>1827</v>
      </c>
      <c r="Z9" s="442" t="s">
        <v>1827</v>
      </c>
      <c r="AA9" s="442" t="s">
        <v>1826</v>
      </c>
      <c r="AB9" s="442" t="s">
        <v>1826</v>
      </c>
      <c r="AC9" s="442" t="s">
        <v>1803</v>
      </c>
      <c r="AD9" s="442" t="s">
        <v>1804</v>
      </c>
      <c r="AE9" s="442" t="s">
        <v>1828</v>
      </c>
      <c r="AF9" s="386"/>
      <c r="BA9" s="544" t="s">
        <v>616</v>
      </c>
      <c r="BB9" s="545" t="s">
        <v>1805</v>
      </c>
      <c r="BC9" s="545" t="s">
        <v>33</v>
      </c>
      <c r="BD9" s="545" t="s">
        <v>1806</v>
      </c>
      <c r="BE9" s="356" t="s">
        <v>145</v>
      </c>
      <c r="BF9" s="421" t="s">
        <v>1807</v>
      </c>
    </row>
    <row r="10" spans="1:58" ht="150">
      <c r="A10" s="356" t="s">
        <v>40</v>
      </c>
      <c r="B10" s="356"/>
      <c r="C10" s="356"/>
      <c r="D10" s="356"/>
      <c r="E10" s="356" t="s">
        <v>145</v>
      </c>
      <c r="F10" s="442" t="s">
        <v>623</v>
      </c>
      <c r="G10" s="442" t="s">
        <v>624</v>
      </c>
      <c r="H10" s="442" t="s">
        <v>625</v>
      </c>
      <c r="I10" s="442" t="s">
        <v>1829</v>
      </c>
      <c r="J10" s="442" t="s">
        <v>1830</v>
      </c>
      <c r="K10" s="442" t="s">
        <v>1816</v>
      </c>
      <c r="L10" s="442" t="s">
        <v>1817</v>
      </c>
      <c r="M10" s="442" t="s">
        <v>1818</v>
      </c>
      <c r="N10" s="442" t="s">
        <v>1819</v>
      </c>
      <c r="O10" s="442" t="s">
        <v>1820</v>
      </c>
      <c r="P10" s="442" t="s">
        <v>1821</v>
      </c>
      <c r="Q10" s="356" t="s">
        <v>1822</v>
      </c>
      <c r="R10" s="442" t="s">
        <v>1823</v>
      </c>
      <c r="S10" s="442" t="s">
        <v>1824</v>
      </c>
      <c r="T10" s="442" t="s">
        <v>1831</v>
      </c>
      <c r="U10" s="442" t="s">
        <v>1812</v>
      </c>
      <c r="V10" s="442" t="s">
        <v>1831</v>
      </c>
      <c r="W10" s="442" t="s">
        <v>1832</v>
      </c>
      <c r="X10" s="442" t="s">
        <v>1812</v>
      </c>
      <c r="Y10" s="442" t="s">
        <v>1827</v>
      </c>
      <c r="Z10" s="442" t="s">
        <v>1827</v>
      </c>
      <c r="AA10" s="442" t="s">
        <v>1832</v>
      </c>
      <c r="AB10" s="442" t="s">
        <v>1832</v>
      </c>
      <c r="AC10" s="442" t="s">
        <v>1803</v>
      </c>
      <c r="AD10" s="442" t="s">
        <v>1804</v>
      </c>
      <c r="AE10" s="442" t="s">
        <v>1828</v>
      </c>
      <c r="AF10" s="386"/>
      <c r="BA10" s="544" t="s">
        <v>616</v>
      </c>
      <c r="BB10" s="545" t="s">
        <v>1805</v>
      </c>
      <c r="BC10" s="545" t="s">
        <v>33</v>
      </c>
      <c r="BD10" s="545" t="s">
        <v>1806</v>
      </c>
      <c r="BE10" s="356" t="s">
        <v>145</v>
      </c>
      <c r="BF10" s="421" t="s">
        <v>1807</v>
      </c>
    </row>
    <row r="11" spans="1:58" ht="150">
      <c r="A11" s="356" t="s">
        <v>42</v>
      </c>
      <c r="B11" s="356"/>
      <c r="C11" s="356"/>
      <c r="D11" s="356"/>
      <c r="E11" s="356" t="s">
        <v>145</v>
      </c>
      <c r="F11" s="442" t="s">
        <v>626</v>
      </c>
      <c r="G11" s="443" t="s">
        <v>627</v>
      </c>
      <c r="H11" s="442" t="s">
        <v>622</v>
      </c>
      <c r="I11" s="442" t="s">
        <v>1814</v>
      </c>
      <c r="J11" s="442" t="s">
        <v>1815</v>
      </c>
      <c r="K11" s="442" t="s">
        <v>1816</v>
      </c>
      <c r="L11" s="442" t="s">
        <v>1817</v>
      </c>
      <c r="M11" s="442" t="s">
        <v>1818</v>
      </c>
      <c r="N11" s="442" t="s">
        <v>1819</v>
      </c>
      <c r="O11" s="442" t="s">
        <v>1820</v>
      </c>
      <c r="P11" s="442" t="s">
        <v>1821</v>
      </c>
      <c r="Q11" s="356" t="s">
        <v>1822</v>
      </c>
      <c r="R11" s="442" t="s">
        <v>1823</v>
      </c>
      <c r="S11" s="442" t="s">
        <v>1824</v>
      </c>
      <c r="T11" s="442" t="s">
        <v>1825</v>
      </c>
      <c r="U11" s="442" t="s">
        <v>1812</v>
      </c>
      <c r="V11" s="442" t="s">
        <v>1825</v>
      </c>
      <c r="W11" s="442" t="s">
        <v>1826</v>
      </c>
      <c r="X11" s="442" t="s">
        <v>1812</v>
      </c>
      <c r="Y11" s="442" t="s">
        <v>1827</v>
      </c>
      <c r="Z11" s="442" t="s">
        <v>1827</v>
      </c>
      <c r="AA11" s="442" t="s">
        <v>1826</v>
      </c>
      <c r="AB11" s="442" t="s">
        <v>1826</v>
      </c>
      <c r="AC11" s="442" t="s">
        <v>1803</v>
      </c>
      <c r="AD11" s="442" t="s">
        <v>1804</v>
      </c>
      <c r="AE11" s="442" t="s">
        <v>1833</v>
      </c>
      <c r="AF11" s="386"/>
      <c r="BA11" s="544" t="s">
        <v>616</v>
      </c>
      <c r="BB11" s="545" t="s">
        <v>1805</v>
      </c>
      <c r="BC11" s="545" t="s">
        <v>33</v>
      </c>
      <c r="BD11" s="545" t="s">
        <v>1806</v>
      </c>
      <c r="BE11" s="356" t="s">
        <v>145</v>
      </c>
      <c r="BF11" s="421" t="s">
        <v>1807</v>
      </c>
    </row>
    <row r="12" spans="1:58" ht="150">
      <c r="A12" s="356" t="s">
        <v>44</v>
      </c>
      <c r="B12" s="356"/>
      <c r="C12" s="356"/>
      <c r="D12" s="356"/>
      <c r="E12" s="356" t="s">
        <v>145</v>
      </c>
      <c r="F12" s="442" t="s">
        <v>628</v>
      </c>
      <c r="G12" s="443" t="s">
        <v>629</v>
      </c>
      <c r="H12" s="442" t="s">
        <v>625</v>
      </c>
      <c r="I12" s="442" t="s">
        <v>1834</v>
      </c>
      <c r="J12" s="442" t="s">
        <v>1835</v>
      </c>
      <c r="K12" s="442" t="s">
        <v>1816</v>
      </c>
      <c r="L12" s="442" t="s">
        <v>1817</v>
      </c>
      <c r="M12" s="442" t="s">
        <v>1818</v>
      </c>
      <c r="N12" s="442" t="s">
        <v>1819</v>
      </c>
      <c r="O12" s="442" t="s">
        <v>1820</v>
      </c>
      <c r="P12" s="442" t="s">
        <v>1821</v>
      </c>
      <c r="Q12" s="356" t="s">
        <v>1822</v>
      </c>
      <c r="R12" s="442" t="s">
        <v>1823</v>
      </c>
      <c r="S12" s="442" t="s">
        <v>1824</v>
      </c>
      <c r="T12" s="442" t="s">
        <v>1831</v>
      </c>
      <c r="U12" s="442" t="s">
        <v>1812</v>
      </c>
      <c r="V12" s="442" t="s">
        <v>1831</v>
      </c>
      <c r="W12" s="442" t="s">
        <v>1832</v>
      </c>
      <c r="X12" s="442" t="s">
        <v>1812</v>
      </c>
      <c r="Y12" s="442" t="s">
        <v>1827</v>
      </c>
      <c r="Z12" s="442" t="s">
        <v>1827</v>
      </c>
      <c r="AA12" s="442" t="s">
        <v>1832</v>
      </c>
      <c r="AB12" s="442" t="s">
        <v>1832</v>
      </c>
      <c r="AC12" s="442" t="s">
        <v>1803</v>
      </c>
      <c r="AD12" s="442" t="s">
        <v>1804</v>
      </c>
      <c r="AE12" s="442" t="s">
        <v>1833</v>
      </c>
      <c r="AF12" s="386"/>
      <c r="BA12" s="544" t="s">
        <v>616</v>
      </c>
      <c r="BB12" s="545" t="s">
        <v>1805</v>
      </c>
      <c r="BC12" s="545" t="s">
        <v>33</v>
      </c>
      <c r="BD12" s="545" t="s">
        <v>1806</v>
      </c>
      <c r="BE12" s="356" t="s">
        <v>145</v>
      </c>
      <c r="BF12" s="421" t="s">
        <v>1807</v>
      </c>
    </row>
    <row r="13" spans="1:58" ht="150">
      <c r="A13" s="356" t="s">
        <v>46</v>
      </c>
      <c r="B13" s="356"/>
      <c r="C13" s="356"/>
      <c r="D13" s="356"/>
      <c r="E13" s="356" t="s">
        <v>145</v>
      </c>
      <c r="F13" s="442" t="s">
        <v>630</v>
      </c>
      <c r="G13" s="443" t="s">
        <v>631</v>
      </c>
      <c r="H13" s="442" t="s">
        <v>632</v>
      </c>
      <c r="I13" s="442" t="s">
        <v>1836</v>
      </c>
      <c r="J13" s="442" t="s">
        <v>1837</v>
      </c>
      <c r="K13" s="442" t="s">
        <v>1838</v>
      </c>
      <c r="L13" s="442" t="s">
        <v>1839</v>
      </c>
      <c r="M13" s="442" t="s">
        <v>1840</v>
      </c>
      <c r="N13" s="442" t="s">
        <v>1792</v>
      </c>
      <c r="O13" s="444" t="s">
        <v>1841</v>
      </c>
      <c r="P13" s="442" t="s">
        <v>1794</v>
      </c>
      <c r="Q13" s="356" t="s">
        <v>1842</v>
      </c>
      <c r="R13" s="442" t="s">
        <v>1843</v>
      </c>
      <c r="S13" s="442" t="s">
        <v>1844</v>
      </c>
      <c r="T13" s="442" t="s">
        <v>1845</v>
      </c>
      <c r="U13" s="442" t="s">
        <v>1812</v>
      </c>
      <c r="V13" s="442" t="s">
        <v>1845</v>
      </c>
      <c r="W13" s="442" t="s">
        <v>1846</v>
      </c>
      <c r="X13" s="442" t="s">
        <v>1812</v>
      </c>
      <c r="Y13" s="442" t="s">
        <v>1827</v>
      </c>
      <c r="Z13" s="442" t="s">
        <v>1827</v>
      </c>
      <c r="AA13" s="442" t="s">
        <v>1846</v>
      </c>
      <c r="AB13" s="442" t="s">
        <v>1846</v>
      </c>
      <c r="AC13" s="442" t="s">
        <v>1803</v>
      </c>
      <c r="AD13" s="442" t="s">
        <v>1804</v>
      </c>
      <c r="AE13" s="442"/>
      <c r="AF13" s="386"/>
      <c r="BA13" s="544" t="s">
        <v>616</v>
      </c>
      <c r="BB13" s="545" t="s">
        <v>1805</v>
      </c>
      <c r="BC13" s="545" t="s">
        <v>33</v>
      </c>
      <c r="BD13" s="545" t="s">
        <v>1806</v>
      </c>
      <c r="BE13" s="356" t="s">
        <v>145</v>
      </c>
      <c r="BF13" s="421" t="s">
        <v>1807</v>
      </c>
    </row>
    <row r="14" spans="1:58" ht="150">
      <c r="A14" s="356" t="s">
        <v>1847</v>
      </c>
      <c r="B14" s="356"/>
      <c r="C14" s="356"/>
      <c r="D14" s="356"/>
      <c r="E14" s="356" t="s">
        <v>145</v>
      </c>
      <c r="F14" s="442" t="s">
        <v>633</v>
      </c>
      <c r="G14" s="443" t="s">
        <v>634</v>
      </c>
      <c r="H14" s="442" t="s">
        <v>635</v>
      </c>
      <c r="I14" s="442" t="s">
        <v>1848</v>
      </c>
      <c r="J14" s="442" t="s">
        <v>1849</v>
      </c>
      <c r="K14" s="442" t="s">
        <v>1838</v>
      </c>
      <c r="L14" s="442" t="s">
        <v>1839</v>
      </c>
      <c r="M14" s="442" t="s">
        <v>1840</v>
      </c>
      <c r="N14" s="442" t="s">
        <v>1792</v>
      </c>
      <c r="O14" s="442" t="s">
        <v>1793</v>
      </c>
      <c r="P14" s="442" t="s">
        <v>1794</v>
      </c>
      <c r="Q14" s="356" t="s">
        <v>1842</v>
      </c>
      <c r="R14" s="442" t="s">
        <v>1843</v>
      </c>
      <c r="S14" s="442" t="s">
        <v>1844</v>
      </c>
      <c r="T14" s="442" t="s">
        <v>1845</v>
      </c>
      <c r="U14" s="442" t="s">
        <v>1812</v>
      </c>
      <c r="V14" s="442" t="s">
        <v>1845</v>
      </c>
      <c r="W14" s="442" t="s">
        <v>1846</v>
      </c>
      <c r="X14" s="442" t="s">
        <v>1812</v>
      </c>
      <c r="Y14" s="442" t="s">
        <v>1827</v>
      </c>
      <c r="Z14" s="442" t="s">
        <v>1827</v>
      </c>
      <c r="AA14" s="442" t="s">
        <v>1846</v>
      </c>
      <c r="AB14" s="442" t="s">
        <v>1846</v>
      </c>
      <c r="AC14" s="442" t="s">
        <v>1803</v>
      </c>
      <c r="AD14" s="442" t="s">
        <v>1804</v>
      </c>
      <c r="AE14" s="442"/>
      <c r="AF14" s="386"/>
      <c r="BA14" s="544" t="s">
        <v>616</v>
      </c>
      <c r="BB14" s="545" t="s">
        <v>1805</v>
      </c>
      <c r="BC14" s="545" t="s">
        <v>33</v>
      </c>
      <c r="BD14" s="545" t="s">
        <v>1806</v>
      </c>
      <c r="BE14" s="356" t="s">
        <v>145</v>
      </c>
      <c r="BF14" s="421" t="s">
        <v>1807</v>
      </c>
    </row>
    <row r="15" spans="1:58" ht="150">
      <c r="A15" s="356" t="s">
        <v>1850</v>
      </c>
      <c r="B15" s="356"/>
      <c r="C15" s="356"/>
      <c r="D15" s="356"/>
      <c r="E15" s="356" t="s">
        <v>24</v>
      </c>
      <c r="F15" s="442" t="s">
        <v>636</v>
      </c>
      <c r="G15" s="443" t="s">
        <v>637</v>
      </c>
      <c r="H15" s="442" t="s">
        <v>638</v>
      </c>
      <c r="I15" s="442" t="s">
        <v>1851</v>
      </c>
      <c r="J15" s="442" t="s">
        <v>1852</v>
      </c>
      <c r="K15" s="442" t="s">
        <v>1853</v>
      </c>
      <c r="L15" s="445" t="s">
        <v>1854</v>
      </c>
      <c r="M15" s="442" t="s">
        <v>1855</v>
      </c>
      <c r="N15" s="442" t="s">
        <v>1856</v>
      </c>
      <c r="O15" s="445" t="s">
        <v>1857</v>
      </c>
      <c r="P15" s="442" t="s">
        <v>1858</v>
      </c>
      <c r="Q15" s="356" t="s">
        <v>1842</v>
      </c>
      <c r="R15" s="442" t="s">
        <v>1843</v>
      </c>
      <c r="S15" s="442" t="s">
        <v>1844</v>
      </c>
      <c r="T15" s="442" t="s">
        <v>1859</v>
      </c>
      <c r="U15" s="442" t="s">
        <v>1812</v>
      </c>
      <c r="V15" s="442" t="s">
        <v>1859</v>
      </c>
      <c r="W15" s="442" t="s">
        <v>1860</v>
      </c>
      <c r="X15" s="442" t="s">
        <v>1812</v>
      </c>
      <c r="Y15" s="442" t="s">
        <v>1827</v>
      </c>
      <c r="Z15" s="442" t="s">
        <v>1827</v>
      </c>
      <c r="AA15" s="442" t="s">
        <v>1860</v>
      </c>
      <c r="AB15" s="442" t="s">
        <v>1860</v>
      </c>
      <c r="AC15" s="442" t="s">
        <v>1803</v>
      </c>
      <c r="AD15" s="442" t="s">
        <v>1804</v>
      </c>
      <c r="AE15" s="442"/>
      <c r="AF15" s="386"/>
      <c r="BA15" s="544" t="s">
        <v>616</v>
      </c>
      <c r="BB15" s="545" t="s">
        <v>1805</v>
      </c>
      <c r="BC15" s="545" t="s">
        <v>33</v>
      </c>
      <c r="BD15" s="545" t="s">
        <v>1806</v>
      </c>
      <c r="BE15" s="356" t="s">
        <v>145</v>
      </c>
      <c r="BF15" s="421" t="s">
        <v>1807</v>
      </c>
    </row>
    <row r="16" spans="1:58" ht="150">
      <c r="A16" s="356" t="s">
        <v>1861</v>
      </c>
      <c r="B16" s="356"/>
      <c r="C16" s="356"/>
      <c r="D16" s="356"/>
      <c r="E16" s="356" t="s">
        <v>24</v>
      </c>
      <c r="F16" s="442" t="s">
        <v>639</v>
      </c>
      <c r="G16" s="443" t="s">
        <v>640</v>
      </c>
      <c r="H16" s="442" t="s">
        <v>641</v>
      </c>
      <c r="I16" s="442" t="s">
        <v>1862</v>
      </c>
      <c r="J16" s="442" t="s">
        <v>1863</v>
      </c>
      <c r="K16" s="442" t="s">
        <v>1864</v>
      </c>
      <c r="L16" s="445" t="s">
        <v>1865</v>
      </c>
      <c r="M16" s="442" t="s">
        <v>1866</v>
      </c>
      <c r="N16" s="442" t="s">
        <v>1867</v>
      </c>
      <c r="O16" s="445" t="s">
        <v>1868</v>
      </c>
      <c r="P16" s="442" t="s">
        <v>1858</v>
      </c>
      <c r="Q16" s="356" t="s">
        <v>1842</v>
      </c>
      <c r="R16" s="442" t="s">
        <v>1843</v>
      </c>
      <c r="S16" s="442" t="s">
        <v>1844</v>
      </c>
      <c r="T16" s="442" t="s">
        <v>1869</v>
      </c>
      <c r="U16" s="442" t="s">
        <v>1812</v>
      </c>
      <c r="V16" s="442" t="s">
        <v>1869</v>
      </c>
      <c r="W16" s="442" t="s">
        <v>1870</v>
      </c>
      <c r="X16" s="442" t="s">
        <v>1812</v>
      </c>
      <c r="Y16" s="442" t="s">
        <v>1827</v>
      </c>
      <c r="Z16" s="442" t="s">
        <v>1827</v>
      </c>
      <c r="AA16" s="442" t="s">
        <v>1870</v>
      </c>
      <c r="AB16" s="442" t="s">
        <v>1870</v>
      </c>
      <c r="AC16" s="442" t="s">
        <v>1803</v>
      </c>
      <c r="AD16" s="442" t="s">
        <v>1804</v>
      </c>
      <c r="AE16" s="442"/>
      <c r="AF16" s="386"/>
      <c r="BA16" s="544" t="s">
        <v>616</v>
      </c>
      <c r="BB16" s="545" t="s">
        <v>1805</v>
      </c>
      <c r="BC16" s="545" t="s">
        <v>33</v>
      </c>
      <c r="BD16" s="545" t="s">
        <v>1806</v>
      </c>
      <c r="BE16" s="356" t="s">
        <v>145</v>
      </c>
      <c r="BF16" s="421" t="s">
        <v>1807</v>
      </c>
    </row>
    <row r="17" spans="1:58" ht="150">
      <c r="A17" s="356" t="s">
        <v>1871</v>
      </c>
      <c r="B17" s="356"/>
      <c r="C17" s="356"/>
      <c r="D17" s="356"/>
      <c r="E17" s="356" t="s">
        <v>24</v>
      </c>
      <c r="F17" s="442" t="s">
        <v>642</v>
      </c>
      <c r="G17" s="443" t="s">
        <v>643</v>
      </c>
      <c r="H17" s="442" t="s">
        <v>644</v>
      </c>
      <c r="I17" s="442" t="s">
        <v>1872</v>
      </c>
      <c r="J17" s="442" t="s">
        <v>1873</v>
      </c>
      <c r="K17" s="442" t="s">
        <v>1874</v>
      </c>
      <c r="L17" s="445" t="s">
        <v>1875</v>
      </c>
      <c r="M17" s="442" t="s">
        <v>1876</v>
      </c>
      <c r="N17" s="442" t="s">
        <v>1877</v>
      </c>
      <c r="O17" s="445" t="s">
        <v>1878</v>
      </c>
      <c r="P17" s="442" t="s">
        <v>1858</v>
      </c>
      <c r="Q17" s="356" t="s">
        <v>1842</v>
      </c>
      <c r="R17" s="442" t="s">
        <v>1843</v>
      </c>
      <c r="S17" s="442" t="s">
        <v>1844</v>
      </c>
      <c r="T17" s="442" t="s">
        <v>1879</v>
      </c>
      <c r="U17" s="442" t="s">
        <v>1812</v>
      </c>
      <c r="V17" s="442" t="s">
        <v>1879</v>
      </c>
      <c r="W17" s="442" t="s">
        <v>1880</v>
      </c>
      <c r="X17" s="442" t="s">
        <v>1812</v>
      </c>
      <c r="Y17" s="442" t="s">
        <v>1827</v>
      </c>
      <c r="Z17" s="442" t="s">
        <v>1827</v>
      </c>
      <c r="AA17" s="442" t="s">
        <v>1880</v>
      </c>
      <c r="AB17" s="442" t="s">
        <v>1880</v>
      </c>
      <c r="AC17" s="442" t="s">
        <v>1803</v>
      </c>
      <c r="AD17" s="442" t="s">
        <v>1804</v>
      </c>
      <c r="AE17" s="442"/>
      <c r="AF17" s="386"/>
      <c r="BA17" s="544" t="s">
        <v>616</v>
      </c>
      <c r="BB17" s="545" t="s">
        <v>1805</v>
      </c>
      <c r="BC17" s="545" t="s">
        <v>33</v>
      </c>
      <c r="BD17" s="545" t="s">
        <v>1806</v>
      </c>
      <c r="BE17" s="356" t="s">
        <v>145</v>
      </c>
      <c r="BF17" s="421" t="s">
        <v>1807</v>
      </c>
    </row>
    <row r="18" spans="1:58" ht="150">
      <c r="A18" s="356" t="s">
        <v>1881</v>
      </c>
      <c r="B18" s="356"/>
      <c r="C18" s="356"/>
      <c r="D18" s="356"/>
      <c r="E18" s="356" t="s">
        <v>24</v>
      </c>
      <c r="F18" s="442" t="s">
        <v>645</v>
      </c>
      <c r="G18" s="443" t="s">
        <v>646</v>
      </c>
      <c r="H18" s="442" t="s">
        <v>647</v>
      </c>
      <c r="I18" s="442" t="s">
        <v>1882</v>
      </c>
      <c r="J18" s="442" t="s">
        <v>1883</v>
      </c>
      <c r="K18" s="442" t="s">
        <v>1884</v>
      </c>
      <c r="L18" s="445" t="s">
        <v>1885</v>
      </c>
      <c r="M18" s="442" t="s">
        <v>1886</v>
      </c>
      <c r="N18" s="442" t="s">
        <v>1887</v>
      </c>
      <c r="O18" s="445" t="s">
        <v>1888</v>
      </c>
      <c r="P18" s="442" t="s">
        <v>1858</v>
      </c>
      <c r="Q18" s="356" t="s">
        <v>1842</v>
      </c>
      <c r="R18" s="442" t="s">
        <v>1843</v>
      </c>
      <c r="S18" s="442" t="s">
        <v>1844</v>
      </c>
      <c r="T18" s="442" t="s">
        <v>1889</v>
      </c>
      <c r="U18" s="442" t="s">
        <v>1812</v>
      </c>
      <c r="V18" s="442" t="s">
        <v>1889</v>
      </c>
      <c r="W18" s="442" t="s">
        <v>1890</v>
      </c>
      <c r="X18" s="442" t="s">
        <v>1812</v>
      </c>
      <c r="Y18" s="442" t="s">
        <v>1827</v>
      </c>
      <c r="Z18" s="442" t="s">
        <v>1827</v>
      </c>
      <c r="AA18" s="442" t="s">
        <v>1890</v>
      </c>
      <c r="AB18" s="442" t="s">
        <v>1890</v>
      </c>
      <c r="AC18" s="442" t="s">
        <v>1803</v>
      </c>
      <c r="AD18" s="442" t="s">
        <v>1804</v>
      </c>
      <c r="AE18" s="442"/>
      <c r="AF18" s="386"/>
      <c r="BA18" s="544" t="s">
        <v>616</v>
      </c>
      <c r="BB18" s="545" t="s">
        <v>1805</v>
      </c>
      <c r="BC18" s="545" t="s">
        <v>33</v>
      </c>
      <c r="BD18" s="545" t="s">
        <v>1806</v>
      </c>
      <c r="BE18" s="356" t="s">
        <v>145</v>
      </c>
      <c r="BF18" s="421" t="s">
        <v>1807</v>
      </c>
    </row>
    <row r="19" spans="1:58" ht="150">
      <c r="A19" s="356" t="s">
        <v>1891</v>
      </c>
      <c r="B19" s="356"/>
      <c r="C19" s="356"/>
      <c r="D19" s="356"/>
      <c r="E19" s="356" t="s">
        <v>24</v>
      </c>
      <c r="F19" s="442" t="s">
        <v>648</v>
      </c>
      <c r="G19" s="443" t="s">
        <v>649</v>
      </c>
      <c r="H19" s="442" t="s">
        <v>1892</v>
      </c>
      <c r="I19" s="442" t="s">
        <v>1893</v>
      </c>
      <c r="J19" s="442" t="s">
        <v>1894</v>
      </c>
      <c r="K19" s="442" t="s">
        <v>1895</v>
      </c>
      <c r="L19" s="445" t="s">
        <v>1896</v>
      </c>
      <c r="M19" s="442" t="s">
        <v>1897</v>
      </c>
      <c r="N19" s="442" t="s">
        <v>1898</v>
      </c>
      <c r="O19" s="445" t="s">
        <v>1899</v>
      </c>
      <c r="P19" s="442" t="s">
        <v>1858</v>
      </c>
      <c r="Q19" s="356" t="s">
        <v>1842</v>
      </c>
      <c r="R19" s="442" t="s">
        <v>1843</v>
      </c>
      <c r="S19" s="442" t="s">
        <v>1844</v>
      </c>
      <c r="T19" s="442" t="s">
        <v>1900</v>
      </c>
      <c r="U19" s="442" t="s">
        <v>1812</v>
      </c>
      <c r="V19" s="442" t="s">
        <v>1900</v>
      </c>
      <c r="W19" s="442" t="s">
        <v>1901</v>
      </c>
      <c r="X19" s="442" t="s">
        <v>1812</v>
      </c>
      <c r="Y19" s="442" t="s">
        <v>1827</v>
      </c>
      <c r="Z19" s="442" t="s">
        <v>1827</v>
      </c>
      <c r="AA19" s="442" t="s">
        <v>1901</v>
      </c>
      <c r="AB19" s="442" t="s">
        <v>1901</v>
      </c>
      <c r="AC19" s="442" t="s">
        <v>1803</v>
      </c>
      <c r="AD19" s="442" t="s">
        <v>1804</v>
      </c>
      <c r="AE19" s="442"/>
      <c r="AF19" s="386"/>
      <c r="BA19" s="544" t="s">
        <v>616</v>
      </c>
      <c r="BB19" s="545" t="s">
        <v>1805</v>
      </c>
      <c r="BC19" s="545" t="s">
        <v>33</v>
      </c>
      <c r="BD19" s="545" t="s">
        <v>1806</v>
      </c>
      <c r="BE19" s="356" t="s">
        <v>145</v>
      </c>
      <c r="BF19" s="421" t="s">
        <v>1807</v>
      </c>
    </row>
    <row r="20" spans="1:58" ht="150">
      <c r="A20" s="356" t="s">
        <v>1902</v>
      </c>
      <c r="B20" s="356"/>
      <c r="C20" s="356"/>
      <c r="D20" s="356"/>
      <c r="E20" s="356" t="s">
        <v>24</v>
      </c>
      <c r="F20" s="442" t="s">
        <v>651</v>
      </c>
      <c r="G20" s="443" t="s">
        <v>652</v>
      </c>
      <c r="H20" s="442" t="s">
        <v>1903</v>
      </c>
      <c r="I20" s="442" t="s">
        <v>1904</v>
      </c>
      <c r="J20" s="442" t="s">
        <v>1905</v>
      </c>
      <c r="K20" s="442" t="s">
        <v>1906</v>
      </c>
      <c r="L20" s="445" t="s">
        <v>1907</v>
      </c>
      <c r="M20" s="442" t="s">
        <v>1908</v>
      </c>
      <c r="N20" s="442" t="s">
        <v>1909</v>
      </c>
      <c r="O20" s="445" t="s">
        <v>1910</v>
      </c>
      <c r="P20" s="442" t="s">
        <v>1858</v>
      </c>
      <c r="Q20" s="356" t="s">
        <v>1842</v>
      </c>
      <c r="R20" s="442" t="s">
        <v>1843</v>
      </c>
      <c r="S20" s="442" t="s">
        <v>1844</v>
      </c>
      <c r="T20" s="442" t="s">
        <v>1911</v>
      </c>
      <c r="U20" s="442" t="s">
        <v>1812</v>
      </c>
      <c r="V20" s="442" t="s">
        <v>1911</v>
      </c>
      <c r="W20" s="442" t="s">
        <v>1912</v>
      </c>
      <c r="X20" s="442" t="s">
        <v>1812</v>
      </c>
      <c r="Y20" s="442" t="s">
        <v>1827</v>
      </c>
      <c r="Z20" s="442" t="s">
        <v>1827</v>
      </c>
      <c r="AA20" s="442" t="s">
        <v>1912</v>
      </c>
      <c r="AB20" s="442" t="s">
        <v>1912</v>
      </c>
      <c r="AC20" s="442" t="s">
        <v>1803</v>
      </c>
      <c r="AD20" s="442" t="s">
        <v>1804</v>
      </c>
      <c r="AE20" s="442"/>
      <c r="AF20" s="386"/>
      <c r="BA20" s="544" t="s">
        <v>616</v>
      </c>
      <c r="BB20" s="545" t="s">
        <v>1805</v>
      </c>
      <c r="BC20" s="545" t="s">
        <v>33</v>
      </c>
      <c r="BD20" s="545" t="s">
        <v>1806</v>
      </c>
      <c r="BE20" s="356" t="s">
        <v>145</v>
      </c>
      <c r="BF20" s="421" t="s">
        <v>1807</v>
      </c>
    </row>
    <row r="21" spans="1:58" ht="150">
      <c r="A21" s="356" t="s">
        <v>103</v>
      </c>
      <c r="B21" s="356"/>
      <c r="C21" s="356"/>
      <c r="D21" s="356"/>
      <c r="E21" s="356" t="s">
        <v>24</v>
      </c>
      <c r="F21" s="442" t="s">
        <v>654</v>
      </c>
      <c r="G21" s="443" t="s">
        <v>655</v>
      </c>
      <c r="H21" s="442" t="s">
        <v>1913</v>
      </c>
      <c r="I21" s="442" t="s">
        <v>1914</v>
      </c>
      <c r="J21" s="442" t="s">
        <v>1915</v>
      </c>
      <c r="K21" s="442" t="s">
        <v>1916</v>
      </c>
      <c r="L21" s="445" t="s">
        <v>1917</v>
      </c>
      <c r="M21" s="442" t="s">
        <v>1918</v>
      </c>
      <c r="N21" s="442" t="s">
        <v>1919</v>
      </c>
      <c r="O21" s="445" t="s">
        <v>1920</v>
      </c>
      <c r="P21" s="442" t="s">
        <v>1858</v>
      </c>
      <c r="Q21" s="356" t="s">
        <v>1842</v>
      </c>
      <c r="R21" s="442" t="s">
        <v>1843</v>
      </c>
      <c r="S21" s="442" t="s">
        <v>1844</v>
      </c>
      <c r="T21" s="442" t="s">
        <v>1921</v>
      </c>
      <c r="U21" s="442" t="s">
        <v>1812</v>
      </c>
      <c r="V21" s="442" t="s">
        <v>1921</v>
      </c>
      <c r="W21" s="442" t="s">
        <v>1922</v>
      </c>
      <c r="X21" s="442" t="s">
        <v>1812</v>
      </c>
      <c r="Y21" s="442" t="s">
        <v>1827</v>
      </c>
      <c r="Z21" s="442" t="s">
        <v>1827</v>
      </c>
      <c r="AA21" s="442" t="s">
        <v>1922</v>
      </c>
      <c r="AB21" s="442" t="s">
        <v>1922</v>
      </c>
      <c r="AC21" s="442" t="s">
        <v>1803</v>
      </c>
      <c r="AD21" s="442" t="s">
        <v>1804</v>
      </c>
      <c r="AE21" s="442"/>
      <c r="AF21" s="386"/>
      <c r="BA21" s="544" t="s">
        <v>616</v>
      </c>
      <c r="BB21" s="545" t="s">
        <v>1805</v>
      </c>
      <c r="BC21" s="545" t="s">
        <v>33</v>
      </c>
      <c r="BD21" s="545" t="s">
        <v>1806</v>
      </c>
      <c r="BE21" s="356" t="s">
        <v>145</v>
      </c>
      <c r="BF21" s="421" t="s">
        <v>1807</v>
      </c>
    </row>
    <row r="22" spans="1:58" ht="150">
      <c r="A22" s="356" t="s">
        <v>1923</v>
      </c>
      <c r="B22" s="356"/>
      <c r="C22" s="356"/>
      <c r="D22" s="356"/>
      <c r="E22" s="356" t="s">
        <v>24</v>
      </c>
      <c r="F22" s="442" t="s">
        <v>657</v>
      </c>
      <c r="G22" s="443" t="s">
        <v>658</v>
      </c>
      <c r="H22" s="442" t="s">
        <v>1924</v>
      </c>
      <c r="I22" s="442" t="s">
        <v>1925</v>
      </c>
      <c r="J22" s="442" t="s">
        <v>1926</v>
      </c>
      <c r="K22" s="442" t="s">
        <v>1927</v>
      </c>
      <c r="L22" s="445" t="s">
        <v>1928</v>
      </c>
      <c r="M22" s="442" t="s">
        <v>1929</v>
      </c>
      <c r="N22" s="442" t="s">
        <v>1930</v>
      </c>
      <c r="O22" s="445" t="s">
        <v>1931</v>
      </c>
      <c r="P22" s="442" t="s">
        <v>1858</v>
      </c>
      <c r="Q22" s="356" t="s">
        <v>1842</v>
      </c>
      <c r="R22" s="442" t="s">
        <v>1843</v>
      </c>
      <c r="S22" s="442" t="s">
        <v>1844</v>
      </c>
      <c r="T22" s="442" t="s">
        <v>1932</v>
      </c>
      <c r="U22" s="442" t="s">
        <v>1812</v>
      </c>
      <c r="V22" s="442" t="s">
        <v>1932</v>
      </c>
      <c r="W22" s="442" t="s">
        <v>1933</v>
      </c>
      <c r="X22" s="442" t="s">
        <v>1812</v>
      </c>
      <c r="Y22" s="442" t="s">
        <v>1827</v>
      </c>
      <c r="Z22" s="442" t="s">
        <v>1827</v>
      </c>
      <c r="AA22" s="442" t="s">
        <v>1933</v>
      </c>
      <c r="AB22" s="442" t="s">
        <v>1933</v>
      </c>
      <c r="AC22" s="442" t="s">
        <v>1803</v>
      </c>
      <c r="AD22" s="442" t="s">
        <v>1804</v>
      </c>
      <c r="AE22" s="442"/>
      <c r="AF22" s="386"/>
      <c r="BA22" s="544" t="s">
        <v>616</v>
      </c>
      <c r="BB22" s="545" t="s">
        <v>1805</v>
      </c>
      <c r="BC22" s="545" t="s">
        <v>33</v>
      </c>
      <c r="BD22" s="545" t="s">
        <v>1806</v>
      </c>
      <c r="BE22" s="356" t="s">
        <v>145</v>
      </c>
      <c r="BF22" s="421" t="s">
        <v>1807</v>
      </c>
    </row>
    <row r="23" spans="1:58" ht="150">
      <c r="A23" s="356" t="s">
        <v>1934</v>
      </c>
      <c r="B23" s="356"/>
      <c r="C23" s="356"/>
      <c r="D23" s="356"/>
      <c r="E23" s="356" t="s">
        <v>24</v>
      </c>
      <c r="F23" s="442" t="s">
        <v>660</v>
      </c>
      <c r="G23" s="442" t="s">
        <v>661</v>
      </c>
      <c r="H23" s="442" t="s">
        <v>1935</v>
      </c>
      <c r="I23" s="442" t="s">
        <v>1936</v>
      </c>
      <c r="J23" s="442" t="s">
        <v>1937</v>
      </c>
      <c r="K23" s="442" t="s">
        <v>1938</v>
      </c>
      <c r="L23" s="445" t="s">
        <v>1939</v>
      </c>
      <c r="M23" s="442" t="s">
        <v>1940</v>
      </c>
      <c r="N23" s="442" t="s">
        <v>1941</v>
      </c>
      <c r="O23" s="445" t="s">
        <v>1942</v>
      </c>
      <c r="P23" s="442" t="s">
        <v>1858</v>
      </c>
      <c r="Q23" s="356" t="s">
        <v>1795</v>
      </c>
      <c r="R23" s="442" t="s">
        <v>1843</v>
      </c>
      <c r="S23" s="442" t="s">
        <v>1844</v>
      </c>
      <c r="T23" s="442" t="s">
        <v>1943</v>
      </c>
      <c r="U23" s="442" t="s">
        <v>1812</v>
      </c>
      <c r="V23" s="442" t="s">
        <v>1943</v>
      </c>
      <c r="W23" s="442" t="s">
        <v>1944</v>
      </c>
      <c r="X23" s="442" t="s">
        <v>1812</v>
      </c>
      <c r="Y23" s="442" t="s">
        <v>1827</v>
      </c>
      <c r="Z23" s="442" t="s">
        <v>1827</v>
      </c>
      <c r="AA23" s="442" t="s">
        <v>1944</v>
      </c>
      <c r="AB23" s="442" t="s">
        <v>1944</v>
      </c>
      <c r="AC23" s="442" t="s">
        <v>1803</v>
      </c>
      <c r="AD23" s="442" t="s">
        <v>1804</v>
      </c>
      <c r="AE23" s="442"/>
      <c r="AF23" s="386"/>
      <c r="BA23" s="544" t="s">
        <v>616</v>
      </c>
      <c r="BB23" s="545" t="s">
        <v>1805</v>
      </c>
      <c r="BC23" s="545" t="s">
        <v>33</v>
      </c>
      <c r="BD23" s="545" t="s">
        <v>1806</v>
      </c>
      <c r="BE23" s="356" t="s">
        <v>145</v>
      </c>
      <c r="BF23" s="421" t="s">
        <v>1807</v>
      </c>
    </row>
    <row r="24" spans="1:58" ht="150">
      <c r="A24" s="356" t="s">
        <v>1945</v>
      </c>
      <c r="B24" s="356"/>
      <c r="C24" s="356"/>
      <c r="D24" s="356"/>
      <c r="E24" s="356" t="s">
        <v>24</v>
      </c>
      <c r="F24" s="442" t="s">
        <v>663</v>
      </c>
      <c r="G24" s="443" t="s">
        <v>664</v>
      </c>
      <c r="H24" s="442" t="s">
        <v>1946</v>
      </c>
      <c r="I24" s="442" t="s">
        <v>1947</v>
      </c>
      <c r="J24" s="442" t="s">
        <v>1948</v>
      </c>
      <c r="K24" s="442" t="s">
        <v>1949</v>
      </c>
      <c r="L24" s="445" t="s">
        <v>1950</v>
      </c>
      <c r="M24" s="442" t="s">
        <v>1951</v>
      </c>
      <c r="N24" s="442" t="s">
        <v>1952</v>
      </c>
      <c r="O24" s="445" t="s">
        <v>1953</v>
      </c>
      <c r="P24" s="442" t="s">
        <v>1858</v>
      </c>
      <c r="Q24" s="356" t="s">
        <v>1795</v>
      </c>
      <c r="R24" s="442" t="s">
        <v>1843</v>
      </c>
      <c r="S24" s="442" t="s">
        <v>1844</v>
      </c>
      <c r="T24" s="442" t="s">
        <v>1954</v>
      </c>
      <c r="U24" s="442" t="s">
        <v>1812</v>
      </c>
      <c r="V24" s="442" t="s">
        <v>1954</v>
      </c>
      <c r="W24" s="442" t="s">
        <v>1955</v>
      </c>
      <c r="X24" s="442" t="s">
        <v>1812</v>
      </c>
      <c r="Y24" s="442" t="s">
        <v>1827</v>
      </c>
      <c r="Z24" s="442" t="s">
        <v>1827</v>
      </c>
      <c r="AA24" s="442" t="s">
        <v>1955</v>
      </c>
      <c r="AB24" s="442" t="s">
        <v>1955</v>
      </c>
      <c r="AC24" s="442" t="s">
        <v>1803</v>
      </c>
      <c r="AD24" s="442" t="s">
        <v>1804</v>
      </c>
      <c r="AE24" s="442"/>
      <c r="AF24" s="386"/>
      <c r="BA24" s="544" t="s">
        <v>616</v>
      </c>
      <c r="BB24" s="545" t="s">
        <v>1805</v>
      </c>
      <c r="BC24" s="545" t="s">
        <v>33</v>
      </c>
      <c r="BD24" s="545" t="s">
        <v>1806</v>
      </c>
      <c r="BE24" s="356" t="s">
        <v>145</v>
      </c>
      <c r="BF24" s="421" t="s">
        <v>1807</v>
      </c>
    </row>
    <row r="25" spans="1:58" ht="150">
      <c r="A25" s="356" t="s">
        <v>1956</v>
      </c>
      <c r="B25" s="356"/>
      <c r="C25" s="356"/>
      <c r="D25" s="356"/>
      <c r="E25" s="356" t="s">
        <v>24</v>
      </c>
      <c r="F25" s="442" t="s">
        <v>666</v>
      </c>
      <c r="G25" s="443" t="s">
        <v>667</v>
      </c>
      <c r="H25" s="442" t="s">
        <v>1957</v>
      </c>
      <c r="I25" s="442" t="s">
        <v>1958</v>
      </c>
      <c r="J25" s="442" t="s">
        <v>1959</v>
      </c>
      <c r="K25" s="442" t="s">
        <v>1960</v>
      </c>
      <c r="L25" s="445" t="s">
        <v>1961</v>
      </c>
      <c r="M25" s="442" t="s">
        <v>1962</v>
      </c>
      <c r="N25" s="442" t="s">
        <v>1963</v>
      </c>
      <c r="O25" s="445" t="s">
        <v>1964</v>
      </c>
      <c r="P25" s="442" t="s">
        <v>1858</v>
      </c>
      <c r="Q25" s="356" t="s">
        <v>1795</v>
      </c>
      <c r="R25" s="442" t="s">
        <v>1843</v>
      </c>
      <c r="S25" s="442" t="s">
        <v>1844</v>
      </c>
      <c r="T25" s="442" t="s">
        <v>1965</v>
      </c>
      <c r="U25" s="442" t="s">
        <v>1812</v>
      </c>
      <c r="V25" s="442" t="s">
        <v>1965</v>
      </c>
      <c r="W25" s="442" t="s">
        <v>1966</v>
      </c>
      <c r="X25" s="442" t="s">
        <v>1812</v>
      </c>
      <c r="Y25" s="442" t="s">
        <v>1827</v>
      </c>
      <c r="Z25" s="442" t="s">
        <v>1827</v>
      </c>
      <c r="AA25" s="442" t="s">
        <v>1966</v>
      </c>
      <c r="AB25" s="442" t="s">
        <v>1966</v>
      </c>
      <c r="AC25" s="442" t="s">
        <v>1803</v>
      </c>
      <c r="AD25" s="442" t="s">
        <v>1804</v>
      </c>
      <c r="AE25" s="442"/>
      <c r="AF25" s="386"/>
      <c r="BA25" s="544" t="s">
        <v>616</v>
      </c>
      <c r="BB25" s="545" t="s">
        <v>1805</v>
      </c>
      <c r="BC25" s="545" t="s">
        <v>33</v>
      </c>
      <c r="BD25" s="545" t="s">
        <v>1806</v>
      </c>
      <c r="BE25" s="356" t="s">
        <v>145</v>
      </c>
      <c r="BF25" s="421" t="s">
        <v>1807</v>
      </c>
    </row>
    <row r="26" spans="1:58" ht="150">
      <c r="A26" s="356" t="s">
        <v>1967</v>
      </c>
      <c r="B26" s="356"/>
      <c r="C26" s="356"/>
      <c r="D26" s="356"/>
      <c r="E26" s="356" t="s">
        <v>24</v>
      </c>
      <c r="F26" s="442" t="s">
        <v>669</v>
      </c>
      <c r="G26" s="443" t="s">
        <v>670</v>
      </c>
      <c r="H26" s="442" t="s">
        <v>1968</v>
      </c>
      <c r="I26" s="442" t="s">
        <v>1969</v>
      </c>
      <c r="J26" s="442" t="s">
        <v>1970</v>
      </c>
      <c r="K26" s="442" t="s">
        <v>1971</v>
      </c>
      <c r="L26" s="445" t="s">
        <v>1972</v>
      </c>
      <c r="M26" s="442" t="s">
        <v>1973</v>
      </c>
      <c r="N26" s="442" t="s">
        <v>1974</v>
      </c>
      <c r="O26" s="445" t="s">
        <v>1975</v>
      </c>
      <c r="P26" s="442" t="s">
        <v>1858</v>
      </c>
      <c r="Q26" s="356" t="s">
        <v>1795</v>
      </c>
      <c r="R26" s="442" t="s">
        <v>1843</v>
      </c>
      <c r="S26" s="442" t="s">
        <v>1844</v>
      </c>
      <c r="T26" s="442" t="s">
        <v>1976</v>
      </c>
      <c r="U26" s="442" t="s">
        <v>1812</v>
      </c>
      <c r="V26" s="442" t="s">
        <v>1976</v>
      </c>
      <c r="W26" s="442" t="s">
        <v>1977</v>
      </c>
      <c r="X26" s="442" t="s">
        <v>1812</v>
      </c>
      <c r="Y26" s="442" t="s">
        <v>1827</v>
      </c>
      <c r="Z26" s="442" t="s">
        <v>1827</v>
      </c>
      <c r="AA26" s="442" t="s">
        <v>1977</v>
      </c>
      <c r="AB26" s="442" t="s">
        <v>1977</v>
      </c>
      <c r="AC26" s="442" t="s">
        <v>1803</v>
      </c>
      <c r="AD26" s="442" t="s">
        <v>1804</v>
      </c>
      <c r="AE26" s="442"/>
      <c r="AF26" s="386"/>
      <c r="BA26" s="544" t="s">
        <v>616</v>
      </c>
      <c r="BB26" s="545" t="s">
        <v>1805</v>
      </c>
      <c r="BC26" s="545" t="s">
        <v>33</v>
      </c>
      <c r="BD26" s="545" t="s">
        <v>1806</v>
      </c>
      <c r="BE26" s="356" t="s">
        <v>145</v>
      </c>
      <c r="BF26" s="421" t="s">
        <v>1807</v>
      </c>
    </row>
    <row r="27" spans="1:58" ht="150">
      <c r="A27" s="356" t="s">
        <v>1978</v>
      </c>
      <c r="B27" s="356"/>
      <c r="C27" s="356"/>
      <c r="D27" s="356"/>
      <c r="E27" s="356" t="s">
        <v>145</v>
      </c>
      <c r="F27" s="442" t="s">
        <v>672</v>
      </c>
      <c r="G27" s="443" t="s">
        <v>673</v>
      </c>
      <c r="H27" s="442" t="s">
        <v>674</v>
      </c>
      <c r="I27" s="442" t="s">
        <v>1979</v>
      </c>
      <c r="J27" s="442" t="s">
        <v>1980</v>
      </c>
      <c r="K27" s="442" t="s">
        <v>1981</v>
      </c>
      <c r="L27" s="442" t="s">
        <v>1982</v>
      </c>
      <c r="M27" s="442" t="s">
        <v>1983</v>
      </c>
      <c r="N27" s="442" t="s">
        <v>1792</v>
      </c>
      <c r="O27" s="442" t="s">
        <v>1793</v>
      </c>
      <c r="P27" s="442" t="s">
        <v>1794</v>
      </c>
      <c r="Q27" s="356" t="s">
        <v>1842</v>
      </c>
      <c r="R27" s="442" t="s">
        <v>1843</v>
      </c>
      <c r="S27" s="442" t="s">
        <v>1844</v>
      </c>
      <c r="T27" s="442" t="s">
        <v>1984</v>
      </c>
      <c r="U27" s="442" t="s">
        <v>1812</v>
      </c>
      <c r="V27" s="442" t="s">
        <v>1984</v>
      </c>
      <c r="W27" s="442" t="s">
        <v>1860</v>
      </c>
      <c r="X27" s="442" t="s">
        <v>1812</v>
      </c>
      <c r="Y27" s="442" t="s">
        <v>1827</v>
      </c>
      <c r="Z27" s="442" t="s">
        <v>1827</v>
      </c>
      <c r="AA27" s="442" t="s">
        <v>1860</v>
      </c>
      <c r="AB27" s="442" t="s">
        <v>1860</v>
      </c>
      <c r="AC27" s="442" t="s">
        <v>1803</v>
      </c>
      <c r="AD27" s="442" t="s">
        <v>1804</v>
      </c>
      <c r="AE27" s="442"/>
      <c r="AF27" s="386"/>
      <c r="BA27" s="544" t="s">
        <v>616</v>
      </c>
      <c r="BB27" s="545" t="s">
        <v>1805</v>
      </c>
      <c r="BC27" s="545" t="s">
        <v>33</v>
      </c>
      <c r="BD27" s="545" t="s">
        <v>1806</v>
      </c>
      <c r="BE27" s="356" t="s">
        <v>145</v>
      </c>
      <c r="BF27" s="421" t="s">
        <v>1807</v>
      </c>
    </row>
    <row r="28" spans="1:58" ht="150">
      <c r="A28" s="356" t="s">
        <v>1985</v>
      </c>
      <c r="B28" s="356"/>
      <c r="C28" s="356"/>
      <c r="D28" s="356"/>
      <c r="E28" s="356" t="s">
        <v>145</v>
      </c>
      <c r="F28" s="442" t="s">
        <v>675</v>
      </c>
      <c r="G28" s="443" t="s">
        <v>676</v>
      </c>
      <c r="H28" s="442" t="s">
        <v>677</v>
      </c>
      <c r="I28" s="442" t="s">
        <v>1986</v>
      </c>
      <c r="J28" s="442" t="s">
        <v>1987</v>
      </c>
      <c r="K28" s="442" t="s">
        <v>1981</v>
      </c>
      <c r="L28" s="442" t="s">
        <v>1982</v>
      </c>
      <c r="M28" s="442" t="s">
        <v>1983</v>
      </c>
      <c r="N28" s="442" t="s">
        <v>1792</v>
      </c>
      <c r="O28" s="442" t="s">
        <v>1793</v>
      </c>
      <c r="P28" s="442" t="s">
        <v>1794</v>
      </c>
      <c r="Q28" s="356" t="s">
        <v>1842</v>
      </c>
      <c r="R28" s="442" t="s">
        <v>1843</v>
      </c>
      <c r="S28" s="442" t="s">
        <v>1844</v>
      </c>
      <c r="T28" s="442" t="s">
        <v>1988</v>
      </c>
      <c r="U28" s="442" t="s">
        <v>1812</v>
      </c>
      <c r="V28" s="442" t="s">
        <v>1988</v>
      </c>
      <c r="W28" s="442" t="s">
        <v>1870</v>
      </c>
      <c r="X28" s="442" t="s">
        <v>1812</v>
      </c>
      <c r="Y28" s="442" t="s">
        <v>1827</v>
      </c>
      <c r="Z28" s="442" t="s">
        <v>1827</v>
      </c>
      <c r="AA28" s="442" t="s">
        <v>1870</v>
      </c>
      <c r="AB28" s="442" t="s">
        <v>1870</v>
      </c>
      <c r="AC28" s="442" t="s">
        <v>1803</v>
      </c>
      <c r="AD28" s="442" t="s">
        <v>1804</v>
      </c>
      <c r="AE28" s="442"/>
      <c r="AF28" s="386"/>
      <c r="BA28" s="544" t="s">
        <v>616</v>
      </c>
      <c r="BB28" s="545" t="s">
        <v>1805</v>
      </c>
      <c r="BC28" s="545" t="s">
        <v>33</v>
      </c>
      <c r="BD28" s="545" t="s">
        <v>1806</v>
      </c>
      <c r="BE28" s="356" t="s">
        <v>145</v>
      </c>
      <c r="BF28" s="421" t="s">
        <v>1807</v>
      </c>
    </row>
    <row r="29" spans="1:58" ht="150">
      <c r="A29" s="356" t="s">
        <v>1989</v>
      </c>
      <c r="B29" s="356"/>
      <c r="C29" s="356"/>
      <c r="D29" s="356"/>
      <c r="E29" s="356" t="s">
        <v>145</v>
      </c>
      <c r="F29" s="442" t="s">
        <v>678</v>
      </c>
      <c r="G29" s="443" t="s">
        <v>679</v>
      </c>
      <c r="H29" s="442" t="s">
        <v>680</v>
      </c>
      <c r="I29" s="442" t="s">
        <v>1990</v>
      </c>
      <c r="J29" s="442" t="s">
        <v>1991</v>
      </c>
      <c r="K29" s="442" t="s">
        <v>1981</v>
      </c>
      <c r="L29" s="442" t="s">
        <v>1982</v>
      </c>
      <c r="M29" s="442" t="s">
        <v>1983</v>
      </c>
      <c r="N29" s="442" t="s">
        <v>1792</v>
      </c>
      <c r="O29" s="442" t="s">
        <v>1793</v>
      </c>
      <c r="P29" s="442" t="s">
        <v>1794</v>
      </c>
      <c r="Q29" s="356" t="s">
        <v>1842</v>
      </c>
      <c r="R29" s="442" t="s">
        <v>1843</v>
      </c>
      <c r="S29" s="442" t="s">
        <v>1844</v>
      </c>
      <c r="T29" s="442" t="s">
        <v>1992</v>
      </c>
      <c r="U29" s="442" t="s">
        <v>1812</v>
      </c>
      <c r="V29" s="442" t="s">
        <v>1992</v>
      </c>
      <c r="W29" s="442" t="s">
        <v>1880</v>
      </c>
      <c r="X29" s="442" t="s">
        <v>1812</v>
      </c>
      <c r="Y29" s="442" t="s">
        <v>1827</v>
      </c>
      <c r="Z29" s="442" t="s">
        <v>1827</v>
      </c>
      <c r="AA29" s="442" t="s">
        <v>1880</v>
      </c>
      <c r="AB29" s="442" t="s">
        <v>1880</v>
      </c>
      <c r="AC29" s="442" t="s">
        <v>1803</v>
      </c>
      <c r="AD29" s="442" t="s">
        <v>1804</v>
      </c>
      <c r="AE29" s="442"/>
      <c r="AF29" s="386"/>
      <c r="BA29" s="544" t="s">
        <v>616</v>
      </c>
      <c r="BB29" s="545" t="s">
        <v>1805</v>
      </c>
      <c r="BC29" s="545" t="s">
        <v>33</v>
      </c>
      <c r="BD29" s="545" t="s">
        <v>1806</v>
      </c>
      <c r="BE29" s="356" t="s">
        <v>145</v>
      </c>
      <c r="BF29" s="421" t="s">
        <v>1807</v>
      </c>
    </row>
    <row r="30" spans="1:58" ht="150">
      <c r="A30" s="356" t="s">
        <v>1993</v>
      </c>
      <c r="B30" s="356"/>
      <c r="C30" s="356"/>
      <c r="D30" s="356"/>
      <c r="E30" s="356" t="s">
        <v>145</v>
      </c>
      <c r="F30" s="442" t="s">
        <v>681</v>
      </c>
      <c r="G30" s="443" t="s">
        <v>682</v>
      </c>
      <c r="H30" s="442" t="s">
        <v>683</v>
      </c>
      <c r="I30" s="442" t="s">
        <v>1994</v>
      </c>
      <c r="J30" s="442" t="s">
        <v>1995</v>
      </c>
      <c r="K30" s="442" t="s">
        <v>1981</v>
      </c>
      <c r="L30" s="442" t="s">
        <v>1982</v>
      </c>
      <c r="M30" s="442" t="s">
        <v>1983</v>
      </c>
      <c r="N30" s="442" t="s">
        <v>1792</v>
      </c>
      <c r="O30" s="442" t="s">
        <v>1793</v>
      </c>
      <c r="P30" s="442" t="s">
        <v>1794</v>
      </c>
      <c r="Q30" s="356" t="s">
        <v>1842</v>
      </c>
      <c r="R30" s="442" t="s">
        <v>1843</v>
      </c>
      <c r="S30" s="442" t="s">
        <v>1844</v>
      </c>
      <c r="T30" s="442" t="s">
        <v>1996</v>
      </c>
      <c r="U30" s="442" t="s">
        <v>1812</v>
      </c>
      <c r="V30" s="442" t="s">
        <v>1996</v>
      </c>
      <c r="W30" s="442" t="s">
        <v>1890</v>
      </c>
      <c r="X30" s="442" t="s">
        <v>1812</v>
      </c>
      <c r="Y30" s="442" t="s">
        <v>1827</v>
      </c>
      <c r="Z30" s="442" t="s">
        <v>1827</v>
      </c>
      <c r="AA30" s="442" t="s">
        <v>1890</v>
      </c>
      <c r="AB30" s="442" t="s">
        <v>1890</v>
      </c>
      <c r="AC30" s="442" t="s">
        <v>1803</v>
      </c>
      <c r="AD30" s="442" t="s">
        <v>1804</v>
      </c>
      <c r="AE30" s="442"/>
      <c r="AF30" s="386"/>
      <c r="BA30" s="544" t="s">
        <v>616</v>
      </c>
      <c r="BB30" s="545" t="s">
        <v>1805</v>
      </c>
      <c r="BC30" s="545" t="s">
        <v>33</v>
      </c>
      <c r="BD30" s="545" t="s">
        <v>1806</v>
      </c>
      <c r="BE30" s="356" t="s">
        <v>145</v>
      </c>
      <c r="BF30" s="421" t="s">
        <v>1807</v>
      </c>
    </row>
    <row r="31" spans="1:58" ht="150">
      <c r="A31" s="356" t="s">
        <v>1997</v>
      </c>
      <c r="B31" s="356"/>
      <c r="C31" s="356"/>
      <c r="D31" s="356"/>
      <c r="E31" s="356" t="s">
        <v>145</v>
      </c>
      <c r="F31" s="442" t="s">
        <v>684</v>
      </c>
      <c r="G31" s="443" t="s">
        <v>685</v>
      </c>
      <c r="H31" s="442" t="s">
        <v>686</v>
      </c>
      <c r="I31" s="442" t="s">
        <v>1998</v>
      </c>
      <c r="J31" s="442" t="s">
        <v>1999</v>
      </c>
      <c r="K31" s="442" t="s">
        <v>1981</v>
      </c>
      <c r="L31" s="442" t="s">
        <v>1982</v>
      </c>
      <c r="M31" s="442" t="s">
        <v>1983</v>
      </c>
      <c r="N31" s="442" t="s">
        <v>1792</v>
      </c>
      <c r="O31" s="442" t="s">
        <v>1793</v>
      </c>
      <c r="P31" s="442" t="s">
        <v>1794</v>
      </c>
      <c r="Q31" s="356" t="s">
        <v>1842</v>
      </c>
      <c r="R31" s="442" t="s">
        <v>1843</v>
      </c>
      <c r="S31" s="442" t="s">
        <v>1844</v>
      </c>
      <c r="T31" s="442" t="s">
        <v>2000</v>
      </c>
      <c r="U31" s="442" t="s">
        <v>1812</v>
      </c>
      <c r="V31" s="442" t="s">
        <v>2000</v>
      </c>
      <c r="W31" s="442" t="s">
        <v>1901</v>
      </c>
      <c r="X31" s="442" t="s">
        <v>1812</v>
      </c>
      <c r="Y31" s="442" t="s">
        <v>1827</v>
      </c>
      <c r="Z31" s="442" t="s">
        <v>1827</v>
      </c>
      <c r="AA31" s="442" t="s">
        <v>1901</v>
      </c>
      <c r="AB31" s="442" t="s">
        <v>1901</v>
      </c>
      <c r="AC31" s="442" t="s">
        <v>1803</v>
      </c>
      <c r="AD31" s="442" t="s">
        <v>1804</v>
      </c>
      <c r="AE31" s="442"/>
      <c r="AF31" s="386"/>
      <c r="BA31" s="544" t="s">
        <v>616</v>
      </c>
      <c r="BB31" s="545" t="s">
        <v>1805</v>
      </c>
      <c r="BC31" s="545" t="s">
        <v>33</v>
      </c>
      <c r="BD31" s="545" t="s">
        <v>1806</v>
      </c>
      <c r="BE31" s="356" t="s">
        <v>145</v>
      </c>
      <c r="BF31" s="421" t="s">
        <v>1807</v>
      </c>
    </row>
    <row r="32" spans="1:58" ht="150">
      <c r="A32" s="356" t="s">
        <v>2001</v>
      </c>
      <c r="B32" s="356"/>
      <c r="C32" s="356"/>
      <c r="D32" s="356"/>
      <c r="E32" s="356" t="s">
        <v>145</v>
      </c>
      <c r="F32" s="442" t="s">
        <v>687</v>
      </c>
      <c r="G32" s="443" t="s">
        <v>688</v>
      </c>
      <c r="H32" s="442" t="s">
        <v>689</v>
      </c>
      <c r="I32" s="442" t="s">
        <v>2002</v>
      </c>
      <c r="J32" s="442" t="s">
        <v>2003</v>
      </c>
      <c r="K32" s="442" t="s">
        <v>1981</v>
      </c>
      <c r="L32" s="442" t="s">
        <v>1982</v>
      </c>
      <c r="M32" s="442" t="s">
        <v>1983</v>
      </c>
      <c r="N32" s="442" t="s">
        <v>1792</v>
      </c>
      <c r="O32" s="442" t="s">
        <v>1793</v>
      </c>
      <c r="P32" s="442" t="s">
        <v>1794</v>
      </c>
      <c r="Q32" s="356" t="s">
        <v>1842</v>
      </c>
      <c r="R32" s="442" t="s">
        <v>1843</v>
      </c>
      <c r="S32" s="442" t="s">
        <v>1844</v>
      </c>
      <c r="T32" s="442" t="s">
        <v>2004</v>
      </c>
      <c r="U32" s="442" t="s">
        <v>1812</v>
      </c>
      <c r="V32" s="442" t="s">
        <v>2004</v>
      </c>
      <c r="W32" s="442" t="s">
        <v>1912</v>
      </c>
      <c r="X32" s="442" t="s">
        <v>1812</v>
      </c>
      <c r="Y32" s="442" t="s">
        <v>1827</v>
      </c>
      <c r="Z32" s="442" t="s">
        <v>1827</v>
      </c>
      <c r="AA32" s="442" t="s">
        <v>1912</v>
      </c>
      <c r="AB32" s="442" t="s">
        <v>1912</v>
      </c>
      <c r="AC32" s="442" t="s">
        <v>1803</v>
      </c>
      <c r="AD32" s="442" t="s">
        <v>1804</v>
      </c>
      <c r="AE32" s="442"/>
      <c r="AF32" s="386"/>
      <c r="BA32" s="356" t="s">
        <v>616</v>
      </c>
      <c r="BB32" s="545" t="s">
        <v>1805</v>
      </c>
      <c r="BC32" s="545" t="s">
        <v>33</v>
      </c>
      <c r="BD32" s="545" t="s">
        <v>1806</v>
      </c>
      <c r="BE32" s="356" t="s">
        <v>145</v>
      </c>
      <c r="BF32" s="421" t="s">
        <v>1807</v>
      </c>
    </row>
    <row r="33" spans="1:58" ht="150">
      <c r="A33" s="356" t="s">
        <v>2005</v>
      </c>
      <c r="B33" s="356"/>
      <c r="C33" s="356"/>
      <c r="D33" s="356"/>
      <c r="E33" s="356" t="s">
        <v>145</v>
      </c>
      <c r="F33" s="442" t="s">
        <v>690</v>
      </c>
      <c r="G33" s="443" t="s">
        <v>691</v>
      </c>
      <c r="H33" s="442" t="s">
        <v>692</v>
      </c>
      <c r="I33" s="442" t="s">
        <v>2006</v>
      </c>
      <c r="J33" s="442" t="s">
        <v>2007</v>
      </c>
      <c r="K33" s="442" t="s">
        <v>1981</v>
      </c>
      <c r="L33" s="442" t="s">
        <v>1982</v>
      </c>
      <c r="M33" s="442" t="s">
        <v>1983</v>
      </c>
      <c r="N33" s="442" t="s">
        <v>1792</v>
      </c>
      <c r="O33" s="442" t="s">
        <v>1793</v>
      </c>
      <c r="P33" s="442" t="s">
        <v>1794</v>
      </c>
      <c r="Q33" s="356" t="s">
        <v>1842</v>
      </c>
      <c r="R33" s="442" t="s">
        <v>1843</v>
      </c>
      <c r="S33" s="442" t="s">
        <v>1844</v>
      </c>
      <c r="T33" s="442" t="s">
        <v>2008</v>
      </c>
      <c r="U33" s="442" t="s">
        <v>1812</v>
      </c>
      <c r="V33" s="442" t="s">
        <v>2008</v>
      </c>
      <c r="W33" s="442" t="s">
        <v>1922</v>
      </c>
      <c r="X33" s="442" t="s">
        <v>1812</v>
      </c>
      <c r="Y33" s="442" t="s">
        <v>1827</v>
      </c>
      <c r="Z33" s="442" t="s">
        <v>1827</v>
      </c>
      <c r="AA33" s="442" t="s">
        <v>1922</v>
      </c>
      <c r="AB33" s="442" t="s">
        <v>1922</v>
      </c>
      <c r="AC33" s="442" t="s">
        <v>1803</v>
      </c>
      <c r="AD33" s="442" t="s">
        <v>1804</v>
      </c>
      <c r="AE33" s="442"/>
      <c r="AF33" s="386"/>
      <c r="BA33" s="356" t="s">
        <v>616</v>
      </c>
      <c r="BB33" s="545" t="s">
        <v>1805</v>
      </c>
      <c r="BC33" s="545" t="s">
        <v>33</v>
      </c>
      <c r="BD33" s="545" t="s">
        <v>1806</v>
      </c>
      <c r="BE33" s="356" t="s">
        <v>145</v>
      </c>
      <c r="BF33" s="421" t="s">
        <v>1807</v>
      </c>
    </row>
    <row r="34" spans="1:58" ht="150">
      <c r="A34" s="356" t="s">
        <v>2009</v>
      </c>
      <c r="B34" s="356"/>
      <c r="C34" s="356"/>
      <c r="D34" s="356"/>
      <c r="E34" s="356" t="s">
        <v>145</v>
      </c>
      <c r="F34" s="442" t="s">
        <v>693</v>
      </c>
      <c r="G34" s="443" t="s">
        <v>694</v>
      </c>
      <c r="H34" s="442" t="s">
        <v>695</v>
      </c>
      <c r="I34" s="442" t="s">
        <v>2010</v>
      </c>
      <c r="J34" s="442" t="s">
        <v>2011</v>
      </c>
      <c r="K34" s="442" t="s">
        <v>1981</v>
      </c>
      <c r="L34" s="442" t="s">
        <v>1982</v>
      </c>
      <c r="M34" s="442" t="s">
        <v>1983</v>
      </c>
      <c r="N34" s="442" t="s">
        <v>1792</v>
      </c>
      <c r="O34" s="442" t="s">
        <v>1793</v>
      </c>
      <c r="P34" s="442" t="s">
        <v>1794</v>
      </c>
      <c r="Q34" s="356" t="s">
        <v>1842</v>
      </c>
      <c r="R34" s="442" t="s">
        <v>1843</v>
      </c>
      <c r="S34" s="442" t="s">
        <v>1844</v>
      </c>
      <c r="T34" s="442" t="s">
        <v>2012</v>
      </c>
      <c r="U34" s="442" t="s">
        <v>1812</v>
      </c>
      <c r="V34" s="442" t="s">
        <v>2012</v>
      </c>
      <c r="W34" s="442" t="s">
        <v>1933</v>
      </c>
      <c r="X34" s="442" t="s">
        <v>1812</v>
      </c>
      <c r="Y34" s="442" t="s">
        <v>1827</v>
      </c>
      <c r="Z34" s="442" t="s">
        <v>1827</v>
      </c>
      <c r="AA34" s="442" t="s">
        <v>1933</v>
      </c>
      <c r="AB34" s="442" t="s">
        <v>1933</v>
      </c>
      <c r="AC34" s="442" t="s">
        <v>1803</v>
      </c>
      <c r="AD34" s="442" t="s">
        <v>1804</v>
      </c>
      <c r="AE34" s="442"/>
      <c r="AF34" s="386"/>
      <c r="BA34" s="356" t="s">
        <v>616</v>
      </c>
      <c r="BB34" s="545" t="s">
        <v>1805</v>
      </c>
      <c r="BC34" s="545" t="s">
        <v>33</v>
      </c>
      <c r="BD34" s="545" t="s">
        <v>1806</v>
      </c>
      <c r="BE34" s="356" t="s">
        <v>145</v>
      </c>
      <c r="BF34" s="421" t="s">
        <v>1807</v>
      </c>
    </row>
    <row r="35" spans="1:58" ht="150">
      <c r="A35" s="356" t="s">
        <v>2013</v>
      </c>
      <c r="B35" s="356"/>
      <c r="C35" s="356"/>
      <c r="D35" s="356"/>
      <c r="E35" s="356" t="s">
        <v>145</v>
      </c>
      <c r="F35" s="442" t="s">
        <v>696</v>
      </c>
      <c r="G35" s="443" t="s">
        <v>697</v>
      </c>
      <c r="H35" s="442" t="s">
        <v>698</v>
      </c>
      <c r="I35" s="442" t="s">
        <v>2014</v>
      </c>
      <c r="J35" s="442" t="s">
        <v>2015</v>
      </c>
      <c r="K35" s="442" t="s">
        <v>1981</v>
      </c>
      <c r="L35" s="442" t="s">
        <v>1982</v>
      </c>
      <c r="M35" s="442" t="s">
        <v>1983</v>
      </c>
      <c r="N35" s="442" t="s">
        <v>1792</v>
      </c>
      <c r="O35" s="442" t="s">
        <v>1793</v>
      </c>
      <c r="P35" s="442" t="s">
        <v>1794</v>
      </c>
      <c r="Q35" s="356" t="s">
        <v>1795</v>
      </c>
      <c r="R35" s="442" t="s">
        <v>1843</v>
      </c>
      <c r="S35" s="442" t="s">
        <v>1844</v>
      </c>
      <c r="T35" s="442" t="s">
        <v>2016</v>
      </c>
      <c r="U35" s="442" t="s">
        <v>1812</v>
      </c>
      <c r="V35" s="442" t="s">
        <v>2016</v>
      </c>
      <c r="W35" s="442" t="s">
        <v>1944</v>
      </c>
      <c r="X35" s="442" t="s">
        <v>1812</v>
      </c>
      <c r="Y35" s="442" t="s">
        <v>1827</v>
      </c>
      <c r="Z35" s="442" t="s">
        <v>1827</v>
      </c>
      <c r="AA35" s="442" t="s">
        <v>1944</v>
      </c>
      <c r="AB35" s="442" t="s">
        <v>1944</v>
      </c>
      <c r="AC35" s="442" t="s">
        <v>1803</v>
      </c>
      <c r="AD35" s="442" t="s">
        <v>1804</v>
      </c>
      <c r="AE35" s="442"/>
      <c r="AF35" s="386"/>
      <c r="BA35" s="356" t="s">
        <v>616</v>
      </c>
      <c r="BB35" s="545" t="s">
        <v>1805</v>
      </c>
      <c r="BC35" s="545" t="s">
        <v>33</v>
      </c>
      <c r="BD35" s="545" t="s">
        <v>1806</v>
      </c>
      <c r="BE35" s="356" t="s">
        <v>145</v>
      </c>
      <c r="BF35" s="421" t="s">
        <v>1807</v>
      </c>
    </row>
    <row r="36" spans="1:58" ht="150">
      <c r="A36" s="356" t="s">
        <v>2017</v>
      </c>
      <c r="B36" s="356"/>
      <c r="C36" s="356"/>
      <c r="D36" s="356"/>
      <c r="E36" s="356" t="s">
        <v>145</v>
      </c>
      <c r="F36" s="442" t="s">
        <v>699</v>
      </c>
      <c r="G36" s="442" t="s">
        <v>700</v>
      </c>
      <c r="H36" s="442" t="s">
        <v>701</v>
      </c>
      <c r="I36" s="442" t="s">
        <v>2018</v>
      </c>
      <c r="J36" s="442" t="s">
        <v>2019</v>
      </c>
      <c r="K36" s="442" t="s">
        <v>1981</v>
      </c>
      <c r="L36" s="442" t="s">
        <v>1982</v>
      </c>
      <c r="M36" s="442" t="s">
        <v>1983</v>
      </c>
      <c r="N36" s="442" t="s">
        <v>1792</v>
      </c>
      <c r="O36" s="442" t="s">
        <v>1793</v>
      </c>
      <c r="P36" s="442" t="s">
        <v>1794</v>
      </c>
      <c r="Q36" s="356" t="s">
        <v>1795</v>
      </c>
      <c r="R36" s="442" t="s">
        <v>1843</v>
      </c>
      <c r="S36" s="442" t="s">
        <v>1844</v>
      </c>
      <c r="T36" s="442" t="s">
        <v>2020</v>
      </c>
      <c r="U36" s="442" t="s">
        <v>1812</v>
      </c>
      <c r="V36" s="442" t="s">
        <v>2020</v>
      </c>
      <c r="W36" s="442" t="s">
        <v>1955</v>
      </c>
      <c r="X36" s="442" t="s">
        <v>1812</v>
      </c>
      <c r="Y36" s="442" t="s">
        <v>1827</v>
      </c>
      <c r="Z36" s="442" t="s">
        <v>1827</v>
      </c>
      <c r="AA36" s="442" t="s">
        <v>1955</v>
      </c>
      <c r="AB36" s="442" t="s">
        <v>1955</v>
      </c>
      <c r="AC36" s="442" t="s">
        <v>1803</v>
      </c>
      <c r="AD36" s="442" t="s">
        <v>1804</v>
      </c>
      <c r="AE36" s="442"/>
      <c r="AF36" s="386"/>
      <c r="BA36" s="356" t="s">
        <v>616</v>
      </c>
      <c r="BB36" s="545" t="s">
        <v>1805</v>
      </c>
      <c r="BC36" s="545" t="s">
        <v>33</v>
      </c>
      <c r="BD36" s="545" t="s">
        <v>1806</v>
      </c>
      <c r="BE36" s="356" t="s">
        <v>145</v>
      </c>
      <c r="BF36" s="421" t="s">
        <v>1807</v>
      </c>
    </row>
    <row r="37" spans="1:58" ht="150">
      <c r="A37" s="356" t="s">
        <v>2021</v>
      </c>
      <c r="B37" s="356"/>
      <c r="C37" s="356"/>
      <c r="D37" s="356"/>
      <c r="E37" s="356" t="s">
        <v>145</v>
      </c>
      <c r="F37" s="442" t="s">
        <v>702</v>
      </c>
      <c r="G37" s="443" t="s">
        <v>703</v>
      </c>
      <c r="H37" s="442" t="s">
        <v>704</v>
      </c>
      <c r="I37" s="442" t="s">
        <v>2022</v>
      </c>
      <c r="J37" s="442" t="s">
        <v>2023</v>
      </c>
      <c r="K37" s="442" t="s">
        <v>1981</v>
      </c>
      <c r="L37" s="442" t="s">
        <v>1982</v>
      </c>
      <c r="M37" s="442" t="s">
        <v>1983</v>
      </c>
      <c r="N37" s="442" t="s">
        <v>1792</v>
      </c>
      <c r="O37" s="442" t="s">
        <v>1793</v>
      </c>
      <c r="P37" s="442" t="s">
        <v>1794</v>
      </c>
      <c r="Q37" s="356" t="s">
        <v>1795</v>
      </c>
      <c r="R37" s="442" t="s">
        <v>1843</v>
      </c>
      <c r="S37" s="442" t="s">
        <v>1844</v>
      </c>
      <c r="T37" s="442" t="s">
        <v>2024</v>
      </c>
      <c r="U37" s="442" t="s">
        <v>1812</v>
      </c>
      <c r="V37" s="442" t="s">
        <v>2024</v>
      </c>
      <c r="W37" s="442" t="s">
        <v>1966</v>
      </c>
      <c r="X37" s="442" t="s">
        <v>1812</v>
      </c>
      <c r="Y37" s="442" t="s">
        <v>1827</v>
      </c>
      <c r="Z37" s="442" t="s">
        <v>1827</v>
      </c>
      <c r="AA37" s="442" t="s">
        <v>1966</v>
      </c>
      <c r="AB37" s="442" t="s">
        <v>1966</v>
      </c>
      <c r="AC37" s="442" t="s">
        <v>1803</v>
      </c>
      <c r="AD37" s="442" t="s">
        <v>1804</v>
      </c>
      <c r="AE37" s="442"/>
      <c r="AF37" s="386"/>
      <c r="BA37" s="356" t="s">
        <v>616</v>
      </c>
      <c r="BB37" s="545" t="s">
        <v>1805</v>
      </c>
      <c r="BC37" s="545" t="s">
        <v>33</v>
      </c>
      <c r="BD37" s="545" t="s">
        <v>1806</v>
      </c>
      <c r="BE37" s="356" t="s">
        <v>145</v>
      </c>
      <c r="BF37" s="421" t="s">
        <v>1807</v>
      </c>
    </row>
    <row r="38" spans="1:58" ht="150">
      <c r="A38" s="356" t="s">
        <v>2025</v>
      </c>
      <c r="B38" s="356"/>
      <c r="C38" s="356"/>
      <c r="D38" s="356"/>
      <c r="E38" s="356" t="s">
        <v>145</v>
      </c>
      <c r="F38" s="442" t="s">
        <v>705</v>
      </c>
      <c r="G38" s="443" t="s">
        <v>706</v>
      </c>
      <c r="H38" s="442" t="s">
        <v>707</v>
      </c>
      <c r="I38" s="442" t="s">
        <v>2026</v>
      </c>
      <c r="J38" s="442" t="s">
        <v>2027</v>
      </c>
      <c r="K38" s="442" t="s">
        <v>1981</v>
      </c>
      <c r="L38" s="442" t="s">
        <v>1982</v>
      </c>
      <c r="M38" s="442" t="s">
        <v>1983</v>
      </c>
      <c r="N38" s="442" t="s">
        <v>1792</v>
      </c>
      <c r="O38" s="442" t="s">
        <v>1793</v>
      </c>
      <c r="P38" s="442" t="s">
        <v>1794</v>
      </c>
      <c r="Q38" s="356" t="s">
        <v>1795</v>
      </c>
      <c r="R38" s="442" t="s">
        <v>1843</v>
      </c>
      <c r="S38" s="442" t="s">
        <v>1844</v>
      </c>
      <c r="T38" s="442" t="s">
        <v>2028</v>
      </c>
      <c r="U38" s="442" t="s">
        <v>1812</v>
      </c>
      <c r="V38" s="442" t="s">
        <v>2028</v>
      </c>
      <c r="W38" s="442" t="s">
        <v>1977</v>
      </c>
      <c r="X38" s="442" t="s">
        <v>1812</v>
      </c>
      <c r="Y38" s="442" t="s">
        <v>1827</v>
      </c>
      <c r="Z38" s="442" t="s">
        <v>1827</v>
      </c>
      <c r="AA38" s="442" t="s">
        <v>1977</v>
      </c>
      <c r="AB38" s="442" t="s">
        <v>1977</v>
      </c>
      <c r="AC38" s="442" t="s">
        <v>1803</v>
      </c>
      <c r="AD38" s="442" t="s">
        <v>1804</v>
      </c>
      <c r="AE38" s="442"/>
      <c r="AF38" s="386"/>
      <c r="BA38" s="356" t="s">
        <v>616</v>
      </c>
      <c r="BB38" s="545" t="s">
        <v>1805</v>
      </c>
      <c r="BC38" s="545" t="s">
        <v>33</v>
      </c>
      <c r="BD38" s="545" t="s">
        <v>1806</v>
      </c>
      <c r="BE38" s="356" t="s">
        <v>145</v>
      </c>
      <c r="BF38" s="421" t="s">
        <v>1807</v>
      </c>
    </row>
    <row r="39" spans="1:58" ht="126">
      <c r="A39" s="356" t="s">
        <v>2029</v>
      </c>
      <c r="B39" s="356"/>
      <c r="C39" s="356"/>
      <c r="D39" s="356"/>
      <c r="E39" s="356" t="s">
        <v>24</v>
      </c>
      <c r="F39" s="442" t="s">
        <v>708</v>
      </c>
      <c r="G39" s="443" t="s">
        <v>709</v>
      </c>
      <c r="H39" s="442" t="s">
        <v>710</v>
      </c>
      <c r="I39" s="442" t="s">
        <v>2030</v>
      </c>
      <c r="J39" s="442" t="s">
        <v>2031</v>
      </c>
      <c r="K39" s="442" t="s">
        <v>2032</v>
      </c>
      <c r="L39" s="442" t="s">
        <v>2033</v>
      </c>
      <c r="M39" s="442" t="s">
        <v>2034</v>
      </c>
      <c r="N39" s="442" t="s">
        <v>2035</v>
      </c>
      <c r="O39" s="442" t="s">
        <v>2036</v>
      </c>
      <c r="P39" s="442" t="s">
        <v>2037</v>
      </c>
      <c r="Q39" s="356" t="s">
        <v>1795</v>
      </c>
      <c r="R39" s="442" t="s">
        <v>2038</v>
      </c>
      <c r="S39" s="442" t="s">
        <v>1797</v>
      </c>
      <c r="T39" s="442" t="s">
        <v>2039</v>
      </c>
      <c r="U39" s="442" t="s">
        <v>2040</v>
      </c>
      <c r="V39" s="442" t="s">
        <v>2039</v>
      </c>
      <c r="W39" s="442" t="s">
        <v>2041</v>
      </c>
      <c r="X39" s="442" t="s">
        <v>2041</v>
      </c>
      <c r="Y39" s="442" t="s">
        <v>1804</v>
      </c>
      <c r="Z39" s="442" t="s">
        <v>1804</v>
      </c>
      <c r="AA39" s="442" t="s">
        <v>1804</v>
      </c>
      <c r="AB39" s="442" t="s">
        <v>1804</v>
      </c>
      <c r="AC39" s="442" t="s">
        <v>2041</v>
      </c>
      <c r="AD39" s="442" t="s">
        <v>1804</v>
      </c>
      <c r="AE39" s="442"/>
      <c r="AF39" s="386"/>
      <c r="BA39" s="356" t="s">
        <v>711</v>
      </c>
      <c r="BB39" s="545" t="s">
        <v>1805</v>
      </c>
      <c r="BC39" s="545" t="s">
        <v>33</v>
      </c>
      <c r="BD39" s="545" t="s">
        <v>1806</v>
      </c>
      <c r="BE39" s="356" t="s">
        <v>145</v>
      </c>
      <c r="BF39" s="421" t="s">
        <v>1807</v>
      </c>
    </row>
    <row r="40" spans="1:58" ht="132">
      <c r="A40" s="356" t="s">
        <v>2042</v>
      </c>
      <c r="B40" s="356"/>
      <c r="C40" s="356"/>
      <c r="D40" s="356"/>
      <c r="E40" s="356" t="s">
        <v>24</v>
      </c>
      <c r="F40" s="442" t="s">
        <v>712</v>
      </c>
      <c r="G40" s="443" t="s">
        <v>713</v>
      </c>
      <c r="H40" s="442" t="s">
        <v>714</v>
      </c>
      <c r="I40" s="442" t="s">
        <v>2043</v>
      </c>
      <c r="J40" s="442" t="s">
        <v>2044</v>
      </c>
      <c r="K40" s="442" t="s">
        <v>2045</v>
      </c>
      <c r="L40" s="442" t="s">
        <v>2046</v>
      </c>
      <c r="M40" s="442" t="s">
        <v>2047</v>
      </c>
      <c r="N40" s="442" t="s">
        <v>2048</v>
      </c>
      <c r="O40" s="442" t="s">
        <v>2049</v>
      </c>
      <c r="P40" s="442" t="s">
        <v>2050</v>
      </c>
      <c r="Q40" s="356" t="s">
        <v>1795</v>
      </c>
      <c r="R40" s="442" t="s">
        <v>2038</v>
      </c>
      <c r="S40" s="442" t="s">
        <v>1797</v>
      </c>
      <c r="T40" s="442" t="s">
        <v>2051</v>
      </c>
      <c r="U40" s="442" t="s">
        <v>2052</v>
      </c>
      <c r="V40" s="442" t="s">
        <v>2051</v>
      </c>
      <c r="W40" s="442" t="s">
        <v>2053</v>
      </c>
      <c r="X40" s="442" t="s">
        <v>2053</v>
      </c>
      <c r="Y40" s="442" t="s">
        <v>1804</v>
      </c>
      <c r="Z40" s="442" t="s">
        <v>1804</v>
      </c>
      <c r="AA40" s="442" t="s">
        <v>1804</v>
      </c>
      <c r="AB40" s="442" t="s">
        <v>1804</v>
      </c>
      <c r="AC40" s="442" t="s">
        <v>2053</v>
      </c>
      <c r="AD40" s="442" t="s">
        <v>1804</v>
      </c>
      <c r="AE40" s="442"/>
      <c r="AF40" s="386"/>
      <c r="BA40" s="356" t="s">
        <v>711</v>
      </c>
      <c r="BB40" s="545" t="s">
        <v>1805</v>
      </c>
      <c r="BC40" s="545" t="s">
        <v>33</v>
      </c>
      <c r="BD40" s="545" t="s">
        <v>1806</v>
      </c>
      <c r="BE40" s="356" t="s">
        <v>145</v>
      </c>
      <c r="BF40" s="421" t="s">
        <v>1807</v>
      </c>
    </row>
    <row r="41" spans="1:58" ht="132">
      <c r="A41" s="356" t="s">
        <v>2054</v>
      </c>
      <c r="B41" s="356"/>
      <c r="C41" s="356"/>
      <c r="D41" s="356"/>
      <c r="E41" s="356" t="s">
        <v>24</v>
      </c>
      <c r="F41" s="442" t="s">
        <v>715</v>
      </c>
      <c r="G41" s="443" t="s">
        <v>716</v>
      </c>
      <c r="H41" s="442" t="s">
        <v>717</v>
      </c>
      <c r="I41" s="442" t="s">
        <v>2055</v>
      </c>
      <c r="J41" s="442" t="s">
        <v>2056</v>
      </c>
      <c r="K41" s="442" t="s">
        <v>2045</v>
      </c>
      <c r="L41" s="442" t="s">
        <v>2033</v>
      </c>
      <c r="M41" s="442" t="s">
        <v>2034</v>
      </c>
      <c r="N41" s="442" t="s">
        <v>2057</v>
      </c>
      <c r="O41" s="442" t="s">
        <v>2058</v>
      </c>
      <c r="P41" s="442" t="s">
        <v>2059</v>
      </c>
      <c r="Q41" s="356" t="s">
        <v>1795</v>
      </c>
      <c r="R41" s="442" t="s">
        <v>2038</v>
      </c>
      <c r="S41" s="442" t="s">
        <v>1797</v>
      </c>
      <c r="T41" s="442" t="s">
        <v>2060</v>
      </c>
      <c r="U41" s="442" t="s">
        <v>2061</v>
      </c>
      <c r="V41" s="442" t="s">
        <v>2060</v>
      </c>
      <c r="W41" s="442" t="s">
        <v>2062</v>
      </c>
      <c r="X41" s="442" t="s">
        <v>2062</v>
      </c>
      <c r="Y41" s="442" t="s">
        <v>1804</v>
      </c>
      <c r="Z41" s="442" t="s">
        <v>1804</v>
      </c>
      <c r="AA41" s="442" t="s">
        <v>1804</v>
      </c>
      <c r="AB41" s="442" t="s">
        <v>1804</v>
      </c>
      <c r="AC41" s="442" t="s">
        <v>2062</v>
      </c>
      <c r="AD41" s="442" t="s">
        <v>1804</v>
      </c>
      <c r="AE41" s="442"/>
      <c r="AF41" s="386"/>
      <c r="BA41" s="356" t="s">
        <v>711</v>
      </c>
      <c r="BB41" s="545" t="s">
        <v>1805</v>
      </c>
      <c r="BC41" s="545" t="s">
        <v>33</v>
      </c>
      <c r="BD41" s="545" t="s">
        <v>1806</v>
      </c>
      <c r="BE41" s="356" t="s">
        <v>145</v>
      </c>
      <c r="BF41" s="421" t="s">
        <v>1807</v>
      </c>
    </row>
    <row r="42" spans="1:58" ht="132">
      <c r="A42" s="356" t="s">
        <v>2063</v>
      </c>
      <c r="B42" s="356"/>
      <c r="C42" s="356"/>
      <c r="D42" s="356"/>
      <c r="E42" s="356" t="s">
        <v>24</v>
      </c>
      <c r="F42" s="442" t="s">
        <v>718</v>
      </c>
      <c r="G42" s="443" t="s">
        <v>719</v>
      </c>
      <c r="H42" s="442" t="s">
        <v>720</v>
      </c>
      <c r="I42" s="442" t="s">
        <v>2064</v>
      </c>
      <c r="J42" s="442" t="s">
        <v>2065</v>
      </c>
      <c r="K42" s="442" t="s">
        <v>2045</v>
      </c>
      <c r="L42" s="442" t="s">
        <v>2046</v>
      </c>
      <c r="M42" s="442" t="s">
        <v>2047</v>
      </c>
      <c r="N42" s="442" t="s">
        <v>2066</v>
      </c>
      <c r="O42" s="442" t="s">
        <v>2067</v>
      </c>
      <c r="P42" s="442" t="s">
        <v>2068</v>
      </c>
      <c r="Q42" s="356" t="s">
        <v>1795</v>
      </c>
      <c r="R42" s="442" t="s">
        <v>2038</v>
      </c>
      <c r="S42" s="442" t="s">
        <v>1797</v>
      </c>
      <c r="T42" s="442" t="s">
        <v>2069</v>
      </c>
      <c r="U42" s="442" t="s">
        <v>2070</v>
      </c>
      <c r="V42" s="442" t="s">
        <v>2069</v>
      </c>
      <c r="W42" s="442" t="s">
        <v>2071</v>
      </c>
      <c r="X42" s="442" t="s">
        <v>2071</v>
      </c>
      <c r="Y42" s="442" t="s">
        <v>1804</v>
      </c>
      <c r="Z42" s="442" t="s">
        <v>1804</v>
      </c>
      <c r="AA42" s="442" t="s">
        <v>1804</v>
      </c>
      <c r="AB42" s="442" t="s">
        <v>1804</v>
      </c>
      <c r="AC42" s="442" t="s">
        <v>2071</v>
      </c>
      <c r="AD42" s="442" t="s">
        <v>1804</v>
      </c>
      <c r="AE42" s="442"/>
      <c r="AF42" s="386"/>
      <c r="BA42" s="356" t="s">
        <v>711</v>
      </c>
      <c r="BB42" s="545" t="s">
        <v>1805</v>
      </c>
      <c r="BC42" s="545" t="s">
        <v>33</v>
      </c>
      <c r="BD42" s="545" t="s">
        <v>1806</v>
      </c>
      <c r="BE42" s="356" t="s">
        <v>145</v>
      </c>
      <c r="BF42" s="421" t="s">
        <v>1807</v>
      </c>
    </row>
    <row r="43" spans="1:58" ht="45">
      <c r="A43" s="356" t="s">
        <v>2072</v>
      </c>
      <c r="B43" s="356"/>
      <c r="C43" s="356"/>
      <c r="D43" s="356"/>
      <c r="E43" s="356" t="s">
        <v>24</v>
      </c>
      <c r="F43" s="442" t="s">
        <v>721</v>
      </c>
      <c r="G43" s="442" t="s">
        <v>722</v>
      </c>
      <c r="H43" s="442" t="s">
        <v>723</v>
      </c>
      <c r="I43" s="442" t="s">
        <v>2073</v>
      </c>
      <c r="J43" s="442" t="s">
        <v>2074</v>
      </c>
      <c r="K43" s="442" t="s">
        <v>2075</v>
      </c>
      <c r="L43" s="442" t="s">
        <v>2076</v>
      </c>
      <c r="M43" s="442" t="s">
        <v>2077</v>
      </c>
      <c r="N43" s="442" t="s">
        <v>2078</v>
      </c>
      <c r="O43" s="446" t="s">
        <v>2079</v>
      </c>
      <c r="P43" s="444" t="s">
        <v>2080</v>
      </c>
      <c r="Q43" s="356" t="s">
        <v>1795</v>
      </c>
      <c r="R43" s="442" t="s">
        <v>1796</v>
      </c>
      <c r="S43" s="442" t="s">
        <v>1797</v>
      </c>
      <c r="T43" s="442" t="s">
        <v>2081</v>
      </c>
      <c r="U43" s="442" t="s">
        <v>2082</v>
      </c>
      <c r="V43" s="442" t="s">
        <v>2081</v>
      </c>
      <c r="W43" s="442" t="s">
        <v>2083</v>
      </c>
      <c r="X43" s="442" t="s">
        <v>2083</v>
      </c>
      <c r="Y43" s="442" t="s">
        <v>1804</v>
      </c>
      <c r="Z43" s="442" t="s">
        <v>1804</v>
      </c>
      <c r="AA43" s="442" t="s">
        <v>1804</v>
      </c>
      <c r="AB43" s="442" t="s">
        <v>1804</v>
      </c>
      <c r="AC43" s="442" t="s">
        <v>2084</v>
      </c>
      <c r="AD43" s="442" t="s">
        <v>1804</v>
      </c>
      <c r="AE43" s="442"/>
      <c r="AF43" s="386"/>
      <c r="BA43" s="356" t="s">
        <v>711</v>
      </c>
      <c r="BB43" s="545" t="s">
        <v>1805</v>
      </c>
      <c r="BC43" s="545" t="s">
        <v>33</v>
      </c>
      <c r="BD43" s="545" t="s">
        <v>1806</v>
      </c>
      <c r="BE43" s="356" t="s">
        <v>145</v>
      </c>
      <c r="BF43" s="421" t="s">
        <v>1807</v>
      </c>
    </row>
    <row r="44" spans="1:58" ht="126">
      <c r="A44" s="356" t="s">
        <v>2085</v>
      </c>
      <c r="B44" s="356"/>
      <c r="C44" s="356"/>
      <c r="D44" s="356"/>
      <c r="E44" s="356" t="s">
        <v>24</v>
      </c>
      <c r="F44" s="442" t="s">
        <v>724</v>
      </c>
      <c r="G44" s="443" t="s">
        <v>725</v>
      </c>
      <c r="H44" s="442" t="s">
        <v>726</v>
      </c>
      <c r="I44" s="442" t="s">
        <v>2086</v>
      </c>
      <c r="J44" s="442" t="s">
        <v>2087</v>
      </c>
      <c r="K44" s="442" t="s">
        <v>2088</v>
      </c>
      <c r="L44" s="442" t="s">
        <v>2089</v>
      </c>
      <c r="M44" s="442" t="s">
        <v>2090</v>
      </c>
      <c r="N44" s="442" t="s">
        <v>2091</v>
      </c>
      <c r="O44" s="442" t="s">
        <v>2092</v>
      </c>
      <c r="P44" s="442" t="s">
        <v>2093</v>
      </c>
      <c r="Q44" s="356" t="s">
        <v>1795</v>
      </c>
      <c r="R44" s="442" t="s">
        <v>1796</v>
      </c>
      <c r="S44" s="442" t="s">
        <v>2094</v>
      </c>
      <c r="T44" s="442" t="s">
        <v>2095</v>
      </c>
      <c r="U44" s="442" t="s">
        <v>2096</v>
      </c>
      <c r="V44" s="442" t="s">
        <v>2097</v>
      </c>
      <c r="W44" s="442" t="s">
        <v>2098</v>
      </c>
      <c r="X44" s="442" t="s">
        <v>2096</v>
      </c>
      <c r="Y44" s="442" t="s">
        <v>2099</v>
      </c>
      <c r="Z44" s="442" t="s">
        <v>2099</v>
      </c>
      <c r="AA44" s="442" t="s">
        <v>2098</v>
      </c>
      <c r="AB44" s="442" t="s">
        <v>2098</v>
      </c>
      <c r="AC44" s="442" t="s">
        <v>2100</v>
      </c>
      <c r="AD44" s="442" t="s">
        <v>1804</v>
      </c>
      <c r="AE44" s="442"/>
      <c r="AF44" s="386"/>
      <c r="BA44" s="356" t="s">
        <v>727</v>
      </c>
      <c r="BB44" s="545" t="s">
        <v>2101</v>
      </c>
      <c r="BC44" s="545" t="s">
        <v>33</v>
      </c>
      <c r="BD44" s="545" t="s">
        <v>33</v>
      </c>
      <c r="BE44" s="356" t="s">
        <v>145</v>
      </c>
      <c r="BF44" s="421" t="s">
        <v>1807</v>
      </c>
    </row>
    <row r="45" spans="1:58" ht="150">
      <c r="A45" s="356" t="s">
        <v>2102</v>
      </c>
      <c r="B45" s="356"/>
      <c r="C45" s="356"/>
      <c r="D45" s="356"/>
      <c r="E45" s="356" t="s">
        <v>24</v>
      </c>
      <c r="F45" s="442" t="s">
        <v>728</v>
      </c>
      <c r="G45" s="442" t="s">
        <v>729</v>
      </c>
      <c r="H45" s="442" t="s">
        <v>730</v>
      </c>
      <c r="I45" s="442" t="s">
        <v>2103</v>
      </c>
      <c r="J45" s="442" t="s">
        <v>2104</v>
      </c>
      <c r="K45" s="442" t="s">
        <v>2105</v>
      </c>
      <c r="L45" s="442" t="s">
        <v>2106</v>
      </c>
      <c r="M45" s="442" t="s">
        <v>2107</v>
      </c>
      <c r="N45" s="442" t="s">
        <v>2108</v>
      </c>
      <c r="O45" s="442" t="s">
        <v>2109</v>
      </c>
      <c r="P45" s="442" t="s">
        <v>2110</v>
      </c>
      <c r="Q45" s="356" t="s">
        <v>1795</v>
      </c>
      <c r="R45" s="442" t="s">
        <v>1796</v>
      </c>
      <c r="S45" s="442" t="s">
        <v>2094</v>
      </c>
      <c r="T45" s="442" t="s">
        <v>2111</v>
      </c>
      <c r="U45" s="442" t="s">
        <v>2096</v>
      </c>
      <c r="V45" s="442" t="s">
        <v>2112</v>
      </c>
      <c r="W45" s="442" t="s">
        <v>2113</v>
      </c>
      <c r="X45" s="442" t="s">
        <v>2096</v>
      </c>
      <c r="Y45" s="442" t="s">
        <v>1804</v>
      </c>
      <c r="Z45" s="442" t="s">
        <v>1804</v>
      </c>
      <c r="AA45" s="442" t="s">
        <v>1804</v>
      </c>
      <c r="AB45" s="442" t="s">
        <v>1804</v>
      </c>
      <c r="AC45" s="442" t="s">
        <v>1803</v>
      </c>
      <c r="AD45" s="442" t="s">
        <v>2114</v>
      </c>
      <c r="AE45" s="442"/>
      <c r="AF45" s="386"/>
      <c r="BA45" s="356" t="s">
        <v>727</v>
      </c>
      <c r="BB45" s="545" t="s">
        <v>2101</v>
      </c>
      <c r="BC45" s="545" t="s">
        <v>33</v>
      </c>
      <c r="BD45" s="545" t="s">
        <v>1806</v>
      </c>
      <c r="BE45" s="356" t="s">
        <v>145</v>
      </c>
      <c r="BF45" s="421" t="s">
        <v>1807</v>
      </c>
    </row>
    <row r="46" spans="1:58" ht="150">
      <c r="A46" s="356" t="s">
        <v>1806</v>
      </c>
      <c r="B46" s="356"/>
      <c r="C46" s="356"/>
      <c r="D46" s="356"/>
      <c r="E46" s="356" t="s">
        <v>24</v>
      </c>
      <c r="F46" s="442" t="s">
        <v>731</v>
      </c>
      <c r="G46" s="443" t="s">
        <v>732</v>
      </c>
      <c r="H46" s="442" t="s">
        <v>733</v>
      </c>
      <c r="I46" s="442" t="s">
        <v>2115</v>
      </c>
      <c r="J46" s="442" t="s">
        <v>2116</v>
      </c>
      <c r="K46" s="442" t="s">
        <v>2105</v>
      </c>
      <c r="L46" s="442" t="s">
        <v>2106</v>
      </c>
      <c r="M46" s="442" t="s">
        <v>2107</v>
      </c>
      <c r="N46" s="442" t="s">
        <v>1804</v>
      </c>
      <c r="O46" s="442" t="s">
        <v>2117</v>
      </c>
      <c r="P46" s="444" t="s">
        <v>2118</v>
      </c>
      <c r="Q46" s="356" t="s">
        <v>1795</v>
      </c>
      <c r="R46" s="442" t="s">
        <v>1796</v>
      </c>
      <c r="S46" s="442" t="s">
        <v>2094</v>
      </c>
      <c r="T46" s="442" t="s">
        <v>2119</v>
      </c>
      <c r="U46" s="442" t="s">
        <v>2096</v>
      </c>
      <c r="V46" s="442" t="s">
        <v>2120</v>
      </c>
      <c r="W46" s="442" t="s">
        <v>2121</v>
      </c>
      <c r="X46" s="442" t="s">
        <v>2096</v>
      </c>
      <c r="Y46" s="442" t="s">
        <v>1804</v>
      </c>
      <c r="Z46" s="442" t="s">
        <v>1804</v>
      </c>
      <c r="AA46" s="442" t="s">
        <v>1804</v>
      </c>
      <c r="AB46" s="442" t="s">
        <v>1804</v>
      </c>
      <c r="AC46" s="442" t="s">
        <v>1803</v>
      </c>
      <c r="AD46" s="442" t="s">
        <v>2114</v>
      </c>
      <c r="AE46" s="442"/>
      <c r="AF46" s="386"/>
      <c r="BA46" s="356" t="s">
        <v>727</v>
      </c>
      <c r="BB46" s="545" t="s">
        <v>2101</v>
      </c>
      <c r="BC46" s="545" t="s">
        <v>33</v>
      </c>
      <c r="BD46" s="545" t="s">
        <v>1806</v>
      </c>
      <c r="BE46" s="356" t="s">
        <v>145</v>
      </c>
      <c r="BF46" s="421" t="s">
        <v>1807</v>
      </c>
    </row>
    <row r="47" spans="1:58" ht="150">
      <c r="A47" s="356" t="s">
        <v>2122</v>
      </c>
      <c r="B47" s="356"/>
      <c r="C47" s="356"/>
      <c r="D47" s="356"/>
      <c r="E47" s="356" t="s">
        <v>24</v>
      </c>
      <c r="F47" s="442" t="s">
        <v>734</v>
      </c>
      <c r="G47" s="443" t="s">
        <v>735</v>
      </c>
      <c r="H47" s="442" t="s">
        <v>736</v>
      </c>
      <c r="I47" s="442" t="s">
        <v>2123</v>
      </c>
      <c r="J47" s="442" t="s">
        <v>2124</v>
      </c>
      <c r="K47" s="442" t="s">
        <v>2125</v>
      </c>
      <c r="L47" s="442" t="s">
        <v>2126</v>
      </c>
      <c r="M47" s="442" t="s">
        <v>2127</v>
      </c>
      <c r="N47" s="442" t="s">
        <v>1804</v>
      </c>
      <c r="O47" s="442" t="s">
        <v>2117</v>
      </c>
      <c r="P47" s="444" t="s">
        <v>2118</v>
      </c>
      <c r="Q47" s="356" t="s">
        <v>1795</v>
      </c>
      <c r="R47" s="442" t="s">
        <v>1796</v>
      </c>
      <c r="S47" s="442" t="s">
        <v>2094</v>
      </c>
      <c r="T47" s="442" t="s">
        <v>2128</v>
      </c>
      <c r="U47" s="442" t="s">
        <v>2096</v>
      </c>
      <c r="V47" s="442" t="s">
        <v>2129</v>
      </c>
      <c r="W47" s="442" t="s">
        <v>2130</v>
      </c>
      <c r="X47" s="442" t="s">
        <v>2096</v>
      </c>
      <c r="Y47" s="442" t="s">
        <v>1804</v>
      </c>
      <c r="Z47" s="442" t="s">
        <v>1804</v>
      </c>
      <c r="AA47" s="442" t="s">
        <v>1804</v>
      </c>
      <c r="AB47" s="442" t="s">
        <v>1804</v>
      </c>
      <c r="AC47" s="442" t="s">
        <v>1803</v>
      </c>
      <c r="AD47" s="442" t="s">
        <v>2114</v>
      </c>
      <c r="AE47" s="442"/>
      <c r="AF47" s="386"/>
      <c r="BA47" s="356" t="s">
        <v>727</v>
      </c>
      <c r="BB47" s="545" t="s">
        <v>2101</v>
      </c>
      <c r="BC47" s="545" t="s">
        <v>33</v>
      </c>
      <c r="BD47" s="545" t="s">
        <v>33</v>
      </c>
      <c r="BE47" s="356" t="s">
        <v>145</v>
      </c>
      <c r="BF47" s="421" t="s">
        <v>1807</v>
      </c>
    </row>
    <row r="48" spans="1:58" ht="45">
      <c r="A48" s="356" t="s">
        <v>2131</v>
      </c>
      <c r="B48" s="356"/>
      <c r="C48" s="356"/>
      <c r="D48" s="356"/>
      <c r="E48" s="356" t="s">
        <v>24</v>
      </c>
      <c r="F48" s="442" t="s">
        <v>2132</v>
      </c>
      <c r="G48" s="443" t="s">
        <v>738</v>
      </c>
      <c r="H48" s="442" t="s">
        <v>739</v>
      </c>
      <c r="I48" s="442" t="s">
        <v>2133</v>
      </c>
      <c r="J48" s="442" t="s">
        <v>2133</v>
      </c>
      <c r="K48" s="442" t="s">
        <v>2134</v>
      </c>
      <c r="L48" s="446" t="s">
        <v>2135</v>
      </c>
      <c r="M48" s="446" t="s">
        <v>2136</v>
      </c>
      <c r="N48" s="442" t="s">
        <v>1804</v>
      </c>
      <c r="O48" s="442" t="s">
        <v>2117</v>
      </c>
      <c r="P48" s="444" t="s">
        <v>2118</v>
      </c>
      <c r="Q48" s="356" t="s">
        <v>1822</v>
      </c>
      <c r="R48" s="442" t="s">
        <v>1796</v>
      </c>
      <c r="S48" s="442" t="s">
        <v>1797</v>
      </c>
      <c r="T48" s="442" t="s">
        <v>2137</v>
      </c>
      <c r="U48" s="442" t="s">
        <v>2138</v>
      </c>
      <c r="V48" s="442" t="s">
        <v>2139</v>
      </c>
      <c r="W48" s="442" t="s">
        <v>2140</v>
      </c>
      <c r="X48" s="442" t="s">
        <v>2141</v>
      </c>
      <c r="Y48" s="442" t="s">
        <v>1804</v>
      </c>
      <c r="Z48" s="442" t="s">
        <v>1804</v>
      </c>
      <c r="AA48" s="442" t="s">
        <v>1804</v>
      </c>
      <c r="AB48" s="442" t="s">
        <v>1804</v>
      </c>
      <c r="AC48" s="442" t="s">
        <v>1804</v>
      </c>
      <c r="AD48" s="442" t="s">
        <v>1804</v>
      </c>
      <c r="AE48" s="442"/>
      <c r="AF48" s="386"/>
      <c r="BA48" s="356" t="s">
        <v>740</v>
      </c>
      <c r="BB48" s="546" t="s">
        <v>2142</v>
      </c>
      <c r="BC48" s="546">
        <v>1</v>
      </c>
      <c r="BD48" s="546">
        <v>5</v>
      </c>
      <c r="BE48" s="356" t="s">
        <v>145</v>
      </c>
      <c r="BF48" s="421" t="s">
        <v>1807</v>
      </c>
    </row>
    <row r="49" spans="1:58" ht="60">
      <c r="A49" s="356" t="s">
        <v>2143</v>
      </c>
      <c r="B49" s="356"/>
      <c r="C49" s="356"/>
      <c r="D49" s="356"/>
      <c r="E49" s="356" t="s">
        <v>24</v>
      </c>
      <c r="F49" s="442" t="s">
        <v>741</v>
      </c>
      <c r="G49" s="443" t="s">
        <v>742</v>
      </c>
      <c r="H49" s="442" t="s">
        <v>743</v>
      </c>
      <c r="I49" s="447" t="s">
        <v>2144</v>
      </c>
      <c r="J49" s="448" t="s">
        <v>2145</v>
      </c>
      <c r="K49" s="442" t="s">
        <v>2146</v>
      </c>
      <c r="L49" s="442" t="s">
        <v>2147</v>
      </c>
      <c r="M49" s="442" t="s">
        <v>2147</v>
      </c>
      <c r="N49" s="442" t="s">
        <v>2148</v>
      </c>
      <c r="O49" s="445" t="s">
        <v>2149</v>
      </c>
      <c r="P49" s="445" t="s">
        <v>2150</v>
      </c>
      <c r="Q49" s="356" t="s">
        <v>1822</v>
      </c>
      <c r="R49" s="442" t="s">
        <v>2151</v>
      </c>
      <c r="S49" s="442" t="s">
        <v>1797</v>
      </c>
      <c r="T49" s="442" t="s">
        <v>2152</v>
      </c>
      <c r="U49" s="442" t="s">
        <v>2153</v>
      </c>
      <c r="V49" s="442" t="s">
        <v>2154</v>
      </c>
      <c r="W49" s="442" t="s">
        <v>2155</v>
      </c>
      <c r="X49" s="442" t="s">
        <v>2156</v>
      </c>
      <c r="Y49" s="442" t="s">
        <v>1804</v>
      </c>
      <c r="Z49" s="442" t="s">
        <v>1804</v>
      </c>
      <c r="AA49" s="442" t="s">
        <v>1804</v>
      </c>
      <c r="AB49" s="442" t="s">
        <v>1804</v>
      </c>
      <c r="AC49" s="442" t="s">
        <v>1804</v>
      </c>
      <c r="AD49" s="442" t="s">
        <v>1804</v>
      </c>
      <c r="AE49" s="442"/>
      <c r="AF49" s="386"/>
      <c r="BA49" s="356" t="s">
        <v>740</v>
      </c>
      <c r="BB49" s="546" t="s">
        <v>2142</v>
      </c>
      <c r="BC49" s="546">
        <v>1</v>
      </c>
      <c r="BD49" s="546">
        <v>5</v>
      </c>
      <c r="BE49" s="356" t="s">
        <v>145</v>
      </c>
      <c r="BF49" s="421" t="s">
        <v>1807</v>
      </c>
    </row>
    <row r="50" spans="1:58" ht="60">
      <c r="A50" s="356" t="s">
        <v>2157</v>
      </c>
      <c r="B50" s="356"/>
      <c r="C50" s="356"/>
      <c r="D50" s="356"/>
      <c r="E50" s="356" t="s">
        <v>24</v>
      </c>
      <c r="F50" s="442" t="s">
        <v>744</v>
      </c>
      <c r="G50" s="443" t="s">
        <v>745</v>
      </c>
      <c r="H50" s="442" t="s">
        <v>746</v>
      </c>
      <c r="I50" s="447" t="s">
        <v>2158</v>
      </c>
      <c r="J50" s="448" t="s">
        <v>2159</v>
      </c>
      <c r="K50" s="442" t="s">
        <v>2160</v>
      </c>
      <c r="L50" s="442" t="s">
        <v>2147</v>
      </c>
      <c r="M50" s="442" t="s">
        <v>2147</v>
      </c>
      <c r="N50" s="442" t="s">
        <v>2148</v>
      </c>
      <c r="O50" s="445" t="s">
        <v>2149</v>
      </c>
      <c r="P50" s="445" t="s">
        <v>2150</v>
      </c>
      <c r="Q50" s="356" t="s">
        <v>1822</v>
      </c>
      <c r="R50" s="442" t="s">
        <v>2151</v>
      </c>
      <c r="S50" s="442" t="s">
        <v>1797</v>
      </c>
      <c r="T50" s="442" t="s">
        <v>2152</v>
      </c>
      <c r="U50" s="442" t="s">
        <v>2153</v>
      </c>
      <c r="V50" s="442" t="s">
        <v>2154</v>
      </c>
      <c r="W50" s="442" t="s">
        <v>2155</v>
      </c>
      <c r="X50" s="442" t="s">
        <v>2156</v>
      </c>
      <c r="Y50" s="442" t="s">
        <v>1804</v>
      </c>
      <c r="Z50" s="442" t="s">
        <v>1804</v>
      </c>
      <c r="AA50" s="442" t="s">
        <v>1804</v>
      </c>
      <c r="AB50" s="442" t="s">
        <v>1804</v>
      </c>
      <c r="AC50" s="442" t="s">
        <v>1804</v>
      </c>
      <c r="AD50" s="442" t="s">
        <v>1804</v>
      </c>
      <c r="AE50" s="442"/>
      <c r="AF50" s="386"/>
      <c r="BA50" s="356" t="s">
        <v>740</v>
      </c>
      <c r="BB50" s="546" t="s">
        <v>2142</v>
      </c>
      <c r="BC50" s="546">
        <v>1</v>
      </c>
      <c r="BD50" s="546">
        <v>5</v>
      </c>
      <c r="BE50" s="356" t="s">
        <v>145</v>
      </c>
      <c r="BF50" s="421" t="s">
        <v>1807</v>
      </c>
    </row>
    <row r="51" spans="1:58" ht="49.5">
      <c r="A51" s="356" t="s">
        <v>2161</v>
      </c>
      <c r="B51" s="356"/>
      <c r="C51" s="356"/>
      <c r="D51" s="356"/>
      <c r="E51" s="356" t="s">
        <v>24</v>
      </c>
      <c r="F51" s="442" t="s">
        <v>747</v>
      </c>
      <c r="G51" s="443" t="s">
        <v>748</v>
      </c>
      <c r="H51" s="442" t="s">
        <v>749</v>
      </c>
      <c r="I51" s="442" t="s">
        <v>2162</v>
      </c>
      <c r="J51" s="442" t="s">
        <v>2162</v>
      </c>
      <c r="K51" s="442" t="s">
        <v>2163</v>
      </c>
      <c r="L51" s="442" t="s">
        <v>2164</v>
      </c>
      <c r="M51" s="442" t="s">
        <v>2164</v>
      </c>
      <c r="N51" s="442" t="s">
        <v>2148</v>
      </c>
      <c r="O51" s="445" t="s">
        <v>2149</v>
      </c>
      <c r="P51" s="445" t="s">
        <v>2150</v>
      </c>
      <c r="Q51" s="356" t="s">
        <v>1822</v>
      </c>
      <c r="R51" s="442" t="s">
        <v>2151</v>
      </c>
      <c r="S51" s="442" t="s">
        <v>1797</v>
      </c>
      <c r="T51" s="442" t="s">
        <v>2165</v>
      </c>
      <c r="U51" s="442" t="s">
        <v>2166</v>
      </c>
      <c r="V51" s="442" t="s">
        <v>2167</v>
      </c>
      <c r="W51" s="442" t="s">
        <v>2168</v>
      </c>
      <c r="X51" s="442" t="s">
        <v>2141</v>
      </c>
      <c r="Y51" s="442" t="s">
        <v>1804</v>
      </c>
      <c r="Z51" s="442" t="s">
        <v>1804</v>
      </c>
      <c r="AA51" s="442" t="s">
        <v>1804</v>
      </c>
      <c r="AB51" s="442" t="s">
        <v>1804</v>
      </c>
      <c r="AC51" s="442" t="s">
        <v>1804</v>
      </c>
      <c r="AD51" s="442" t="s">
        <v>1804</v>
      </c>
      <c r="AE51" s="442"/>
      <c r="AF51" s="386"/>
      <c r="BA51" s="356" t="s">
        <v>740</v>
      </c>
      <c r="BB51" s="546" t="s">
        <v>2101</v>
      </c>
      <c r="BC51" s="546">
        <v>1</v>
      </c>
      <c r="BD51" s="546">
        <v>5</v>
      </c>
      <c r="BE51" s="356" t="s">
        <v>145</v>
      </c>
      <c r="BF51" s="421" t="s">
        <v>1807</v>
      </c>
    </row>
    <row r="52" spans="1:58" ht="49.5">
      <c r="A52" s="356" t="s">
        <v>2169</v>
      </c>
      <c r="B52" s="356"/>
      <c r="C52" s="356"/>
      <c r="D52" s="356"/>
      <c r="E52" s="356" t="s">
        <v>24</v>
      </c>
      <c r="F52" s="442" t="s">
        <v>2170</v>
      </c>
      <c r="G52" s="443" t="s">
        <v>751</v>
      </c>
      <c r="H52" s="442" t="s">
        <v>752</v>
      </c>
      <c r="I52" s="442" t="s">
        <v>2171</v>
      </c>
      <c r="J52" s="442" t="s">
        <v>2171</v>
      </c>
      <c r="K52" s="442" t="s">
        <v>2172</v>
      </c>
      <c r="L52" s="442" t="s">
        <v>2173</v>
      </c>
      <c r="M52" s="442" t="s">
        <v>2173</v>
      </c>
      <c r="N52" s="442" t="s">
        <v>2148</v>
      </c>
      <c r="O52" s="445" t="s">
        <v>2149</v>
      </c>
      <c r="P52" s="445" t="s">
        <v>2150</v>
      </c>
      <c r="Q52" s="356" t="s">
        <v>1822</v>
      </c>
      <c r="R52" s="442" t="s">
        <v>2151</v>
      </c>
      <c r="S52" s="442" t="s">
        <v>1797</v>
      </c>
      <c r="T52" s="442" t="s">
        <v>2174</v>
      </c>
      <c r="U52" s="442" t="s">
        <v>2175</v>
      </c>
      <c r="V52" s="442" t="s">
        <v>2167</v>
      </c>
      <c r="W52" s="442" t="s">
        <v>2176</v>
      </c>
      <c r="X52" s="442" t="s">
        <v>2175</v>
      </c>
      <c r="Y52" s="442" t="s">
        <v>1804</v>
      </c>
      <c r="Z52" s="442" t="s">
        <v>1804</v>
      </c>
      <c r="AA52" s="442" t="s">
        <v>1804</v>
      </c>
      <c r="AB52" s="442" t="s">
        <v>1804</v>
      </c>
      <c r="AC52" s="442" t="s">
        <v>1804</v>
      </c>
      <c r="AD52" s="442" t="s">
        <v>1804</v>
      </c>
      <c r="AE52" s="442"/>
      <c r="AF52" s="386"/>
      <c r="BA52" s="356" t="s">
        <v>740</v>
      </c>
      <c r="BB52" s="546" t="s">
        <v>2101</v>
      </c>
      <c r="BC52" s="546">
        <v>1</v>
      </c>
      <c r="BD52" s="546">
        <v>5</v>
      </c>
      <c r="BE52" s="356" t="s">
        <v>145</v>
      </c>
      <c r="BF52" s="421" t="s">
        <v>1807</v>
      </c>
    </row>
    <row r="53" spans="1:58" ht="60">
      <c r="A53" s="356" t="s">
        <v>2177</v>
      </c>
      <c r="B53" s="356"/>
      <c r="C53" s="356"/>
      <c r="D53" s="356"/>
      <c r="E53" s="356" t="s">
        <v>145</v>
      </c>
      <c r="F53" s="442" t="s">
        <v>753</v>
      </c>
      <c r="G53" s="443" t="s">
        <v>754</v>
      </c>
      <c r="H53" s="442" t="s">
        <v>755</v>
      </c>
      <c r="I53" s="442" t="s">
        <v>2178</v>
      </c>
      <c r="J53" s="442" t="s">
        <v>2178</v>
      </c>
      <c r="K53" s="442" t="s">
        <v>2179</v>
      </c>
      <c r="L53" s="442" t="s">
        <v>2180</v>
      </c>
      <c r="M53" s="442" t="s">
        <v>2180</v>
      </c>
      <c r="N53" s="442" t="s">
        <v>2181</v>
      </c>
      <c r="O53" s="442" t="s">
        <v>2182</v>
      </c>
      <c r="P53" s="442" t="s">
        <v>2182</v>
      </c>
      <c r="Q53" s="356" t="s">
        <v>1822</v>
      </c>
      <c r="R53" s="442" t="s">
        <v>2151</v>
      </c>
      <c r="S53" s="442" t="s">
        <v>1797</v>
      </c>
      <c r="T53" s="442" t="s">
        <v>2183</v>
      </c>
      <c r="U53" s="442" t="s">
        <v>2184</v>
      </c>
      <c r="V53" s="442" t="s">
        <v>2185</v>
      </c>
      <c r="W53" s="442" t="s">
        <v>2186</v>
      </c>
      <c r="X53" s="442" t="s">
        <v>2141</v>
      </c>
      <c r="Y53" s="442" t="s">
        <v>1804</v>
      </c>
      <c r="Z53" s="442" t="s">
        <v>1804</v>
      </c>
      <c r="AA53" s="442" t="s">
        <v>1804</v>
      </c>
      <c r="AB53" s="442" t="s">
        <v>1804</v>
      </c>
      <c r="AC53" s="442" t="s">
        <v>1804</v>
      </c>
      <c r="AD53" s="442" t="s">
        <v>1804</v>
      </c>
      <c r="AE53" s="442"/>
      <c r="AF53" s="386"/>
      <c r="BA53" s="356" t="s">
        <v>740</v>
      </c>
      <c r="BB53" s="546" t="s">
        <v>2101</v>
      </c>
      <c r="BC53" s="546">
        <v>1</v>
      </c>
      <c r="BD53" s="546">
        <v>5</v>
      </c>
      <c r="BE53" s="356" t="s">
        <v>145</v>
      </c>
      <c r="BF53" s="421" t="s">
        <v>1807</v>
      </c>
    </row>
    <row r="54" spans="1:58" ht="60">
      <c r="A54" s="356" t="s">
        <v>2187</v>
      </c>
      <c r="B54" s="356"/>
      <c r="C54" s="356"/>
      <c r="D54" s="356"/>
      <c r="E54" s="356" t="s">
        <v>24</v>
      </c>
      <c r="F54" s="442" t="s">
        <v>756</v>
      </c>
      <c r="G54" s="443" t="s">
        <v>757</v>
      </c>
      <c r="H54" s="442" t="s">
        <v>758</v>
      </c>
      <c r="I54" s="442" t="s">
        <v>2188</v>
      </c>
      <c r="J54" s="442" t="s">
        <v>2188</v>
      </c>
      <c r="K54" s="442" t="s">
        <v>2189</v>
      </c>
      <c r="L54" s="442" t="s">
        <v>2190</v>
      </c>
      <c r="M54" s="442" t="s">
        <v>2190</v>
      </c>
      <c r="N54" s="442" t="s">
        <v>1804</v>
      </c>
      <c r="O54" s="442" t="s">
        <v>2117</v>
      </c>
      <c r="P54" s="442" t="s">
        <v>2117</v>
      </c>
      <c r="Q54" s="356" t="s">
        <v>1822</v>
      </c>
      <c r="R54" s="442" t="s">
        <v>1796</v>
      </c>
      <c r="S54" s="442" t="s">
        <v>2191</v>
      </c>
      <c r="T54" s="442" t="s">
        <v>2192</v>
      </c>
      <c r="U54" s="442" t="s">
        <v>2184</v>
      </c>
      <c r="V54" s="442" t="s">
        <v>2154</v>
      </c>
      <c r="W54" s="442" t="s">
        <v>2193</v>
      </c>
      <c r="X54" s="442" t="s">
        <v>2141</v>
      </c>
      <c r="Y54" s="442" t="s">
        <v>1804</v>
      </c>
      <c r="Z54" s="442" t="s">
        <v>1804</v>
      </c>
      <c r="AA54" s="442" t="s">
        <v>1804</v>
      </c>
      <c r="AB54" s="442" t="s">
        <v>1804</v>
      </c>
      <c r="AC54" s="442" t="s">
        <v>1804</v>
      </c>
      <c r="AD54" s="442" t="s">
        <v>1804</v>
      </c>
      <c r="AE54" s="442"/>
      <c r="AF54" s="386"/>
      <c r="BA54" s="356" t="s">
        <v>740</v>
      </c>
      <c r="BB54" s="546" t="s">
        <v>2142</v>
      </c>
      <c r="BC54" s="546">
        <v>1</v>
      </c>
      <c r="BD54" s="546">
        <v>5</v>
      </c>
      <c r="BE54" s="356" t="s">
        <v>145</v>
      </c>
      <c r="BF54" s="421" t="s">
        <v>1807</v>
      </c>
    </row>
    <row r="55" spans="1:58" ht="60">
      <c r="A55" s="356" t="s">
        <v>2194</v>
      </c>
      <c r="B55" s="356"/>
      <c r="C55" s="356"/>
      <c r="D55" s="356"/>
      <c r="E55" s="356" t="s">
        <v>24</v>
      </c>
      <c r="F55" s="442" t="s">
        <v>759</v>
      </c>
      <c r="G55" s="443" t="s">
        <v>760</v>
      </c>
      <c r="H55" s="442" t="s">
        <v>761</v>
      </c>
      <c r="I55" s="442" t="s">
        <v>2195</v>
      </c>
      <c r="J55" s="442" t="s">
        <v>2196</v>
      </c>
      <c r="K55" s="442" t="s">
        <v>2197</v>
      </c>
      <c r="L55" s="442" t="s">
        <v>2198</v>
      </c>
      <c r="M55" s="442" t="s">
        <v>2199</v>
      </c>
      <c r="N55" s="442" t="s">
        <v>2148</v>
      </c>
      <c r="O55" s="445" t="s">
        <v>2149</v>
      </c>
      <c r="P55" s="445" t="s">
        <v>2150</v>
      </c>
      <c r="Q55" s="356" t="s">
        <v>1822</v>
      </c>
      <c r="R55" s="442" t="s">
        <v>2151</v>
      </c>
      <c r="S55" s="442" t="s">
        <v>1797</v>
      </c>
      <c r="T55" s="442" t="s">
        <v>2200</v>
      </c>
      <c r="U55" s="442" t="s">
        <v>2201</v>
      </c>
      <c r="V55" s="442" t="s">
        <v>2154</v>
      </c>
      <c r="W55" s="442" t="s">
        <v>2155</v>
      </c>
      <c r="X55" s="442" t="s">
        <v>2156</v>
      </c>
      <c r="Y55" s="442" t="s">
        <v>1804</v>
      </c>
      <c r="Z55" s="442" t="s">
        <v>1804</v>
      </c>
      <c r="AA55" s="442" t="s">
        <v>1804</v>
      </c>
      <c r="AB55" s="442" t="s">
        <v>1804</v>
      </c>
      <c r="AC55" s="442" t="s">
        <v>1804</v>
      </c>
      <c r="AD55" s="442" t="s">
        <v>1804</v>
      </c>
      <c r="AE55" s="442"/>
      <c r="AF55" s="386"/>
      <c r="BA55" s="356" t="s">
        <v>740</v>
      </c>
      <c r="BB55" s="546" t="s">
        <v>2142</v>
      </c>
      <c r="BC55" s="546">
        <v>1</v>
      </c>
      <c r="BD55" s="546">
        <v>5</v>
      </c>
      <c r="BE55" s="356" t="s">
        <v>145</v>
      </c>
      <c r="BF55" s="421" t="s">
        <v>1807</v>
      </c>
    </row>
    <row r="56" spans="1:58" ht="60">
      <c r="A56" s="356" t="s">
        <v>96</v>
      </c>
      <c r="B56" s="356"/>
      <c r="C56" s="356"/>
      <c r="D56" s="356"/>
      <c r="E56" s="356" t="s">
        <v>24</v>
      </c>
      <c r="F56" s="442" t="s">
        <v>762</v>
      </c>
      <c r="G56" s="443" t="s">
        <v>763</v>
      </c>
      <c r="H56" s="442" t="s">
        <v>764</v>
      </c>
      <c r="I56" s="442" t="s">
        <v>2202</v>
      </c>
      <c r="J56" s="442" t="s">
        <v>2203</v>
      </c>
      <c r="K56" s="442" t="s">
        <v>2204</v>
      </c>
      <c r="L56" s="442" t="s">
        <v>2198</v>
      </c>
      <c r="M56" s="442" t="s">
        <v>2199</v>
      </c>
      <c r="N56" s="442" t="s">
        <v>2148</v>
      </c>
      <c r="O56" s="445" t="s">
        <v>2149</v>
      </c>
      <c r="P56" s="445" t="s">
        <v>2150</v>
      </c>
      <c r="Q56" s="356" t="s">
        <v>1822</v>
      </c>
      <c r="R56" s="442" t="s">
        <v>2151</v>
      </c>
      <c r="S56" s="442" t="s">
        <v>1797</v>
      </c>
      <c r="T56" s="442" t="s">
        <v>2200</v>
      </c>
      <c r="U56" s="442" t="s">
        <v>2201</v>
      </c>
      <c r="V56" s="442" t="s">
        <v>2154</v>
      </c>
      <c r="W56" s="442" t="s">
        <v>2155</v>
      </c>
      <c r="X56" s="442" t="s">
        <v>2156</v>
      </c>
      <c r="Y56" s="442" t="s">
        <v>1804</v>
      </c>
      <c r="Z56" s="442" t="s">
        <v>1804</v>
      </c>
      <c r="AA56" s="442" t="s">
        <v>1804</v>
      </c>
      <c r="AB56" s="442" t="s">
        <v>1804</v>
      </c>
      <c r="AC56" s="442" t="s">
        <v>1804</v>
      </c>
      <c r="AD56" s="442" t="s">
        <v>1804</v>
      </c>
      <c r="AE56" s="442"/>
      <c r="AF56" s="386"/>
      <c r="BA56" s="356" t="s">
        <v>740</v>
      </c>
      <c r="BB56" s="546" t="s">
        <v>2142</v>
      </c>
      <c r="BC56" s="546">
        <v>1</v>
      </c>
      <c r="BD56" s="546">
        <v>5</v>
      </c>
      <c r="BE56" s="356" t="s">
        <v>145</v>
      </c>
      <c r="BF56" s="421" t="s">
        <v>1807</v>
      </c>
    </row>
    <row r="57" spans="1:58" ht="60">
      <c r="A57" s="356" t="s">
        <v>2205</v>
      </c>
      <c r="B57" s="356"/>
      <c r="C57" s="356"/>
      <c r="D57" s="356"/>
      <c r="E57" s="356" t="s">
        <v>24</v>
      </c>
      <c r="F57" s="442" t="s">
        <v>765</v>
      </c>
      <c r="G57" s="443" t="s">
        <v>766</v>
      </c>
      <c r="H57" s="442" t="s">
        <v>767</v>
      </c>
      <c r="I57" s="442" t="s">
        <v>2206</v>
      </c>
      <c r="J57" s="442" t="s">
        <v>2206</v>
      </c>
      <c r="K57" s="442" t="s">
        <v>2207</v>
      </c>
      <c r="L57" s="442" t="s">
        <v>2208</v>
      </c>
      <c r="M57" s="442" t="s">
        <v>2208</v>
      </c>
      <c r="N57" s="442" t="s">
        <v>1804</v>
      </c>
      <c r="O57" s="442" t="s">
        <v>2117</v>
      </c>
      <c r="P57" s="444" t="s">
        <v>2118</v>
      </c>
      <c r="Q57" s="356" t="s">
        <v>1822</v>
      </c>
      <c r="R57" s="442" t="s">
        <v>2151</v>
      </c>
      <c r="S57" s="442" t="s">
        <v>1797</v>
      </c>
      <c r="T57" s="442" t="s">
        <v>2209</v>
      </c>
      <c r="U57" s="442" t="s">
        <v>2184</v>
      </c>
      <c r="V57" s="442" t="s">
        <v>2154</v>
      </c>
      <c r="W57" s="442" t="s">
        <v>2210</v>
      </c>
      <c r="X57" s="442" t="s">
        <v>2141</v>
      </c>
      <c r="Y57" s="442" t="s">
        <v>1804</v>
      </c>
      <c r="Z57" s="442" t="s">
        <v>1804</v>
      </c>
      <c r="AA57" s="442" t="s">
        <v>1804</v>
      </c>
      <c r="AB57" s="442" t="s">
        <v>1804</v>
      </c>
      <c r="AC57" s="442" t="s">
        <v>1804</v>
      </c>
      <c r="AD57" s="442" t="s">
        <v>1804</v>
      </c>
      <c r="AE57" s="442"/>
      <c r="AF57" s="386"/>
      <c r="BA57" s="356" t="s">
        <v>740</v>
      </c>
      <c r="BB57" s="546" t="s">
        <v>2101</v>
      </c>
      <c r="BC57" s="546">
        <v>1</v>
      </c>
      <c r="BD57" s="546">
        <v>5</v>
      </c>
      <c r="BE57" s="356" t="s">
        <v>145</v>
      </c>
      <c r="BF57" s="421" t="s">
        <v>1807</v>
      </c>
    </row>
    <row r="58" spans="1:58" ht="60">
      <c r="A58" s="356" t="s">
        <v>2211</v>
      </c>
      <c r="B58" s="356"/>
      <c r="C58" s="356"/>
      <c r="D58" s="356"/>
      <c r="E58" s="356" t="s">
        <v>24</v>
      </c>
      <c r="F58" s="442" t="s">
        <v>768</v>
      </c>
      <c r="G58" s="443" t="s">
        <v>769</v>
      </c>
      <c r="H58" s="442" t="s">
        <v>770</v>
      </c>
      <c r="I58" s="442" t="s">
        <v>2212</v>
      </c>
      <c r="J58" s="442" t="s">
        <v>2212</v>
      </c>
      <c r="K58" s="442" t="s">
        <v>2213</v>
      </c>
      <c r="L58" s="442" t="s">
        <v>2214</v>
      </c>
      <c r="M58" s="442" t="s">
        <v>2214</v>
      </c>
      <c r="N58" s="442" t="s">
        <v>1804</v>
      </c>
      <c r="O58" s="442" t="s">
        <v>2117</v>
      </c>
      <c r="P58" s="444" t="s">
        <v>2118</v>
      </c>
      <c r="Q58" s="356" t="s">
        <v>1822</v>
      </c>
      <c r="R58" s="442" t="s">
        <v>2151</v>
      </c>
      <c r="S58" s="442" t="s">
        <v>1797</v>
      </c>
      <c r="T58" s="442" t="s">
        <v>2215</v>
      </c>
      <c r="U58" s="442" t="s">
        <v>2184</v>
      </c>
      <c r="V58" s="442" t="s">
        <v>2154</v>
      </c>
      <c r="W58" s="442" t="s">
        <v>2216</v>
      </c>
      <c r="X58" s="442" t="s">
        <v>2141</v>
      </c>
      <c r="Y58" s="442" t="s">
        <v>1804</v>
      </c>
      <c r="Z58" s="442" t="s">
        <v>1804</v>
      </c>
      <c r="AA58" s="442" t="s">
        <v>1804</v>
      </c>
      <c r="AB58" s="442" t="s">
        <v>1804</v>
      </c>
      <c r="AC58" s="442" t="s">
        <v>1804</v>
      </c>
      <c r="AD58" s="442" t="s">
        <v>1804</v>
      </c>
      <c r="AE58" s="442"/>
      <c r="AF58" s="386"/>
      <c r="BA58" s="356" t="s">
        <v>740</v>
      </c>
      <c r="BB58" s="546" t="s">
        <v>2101</v>
      </c>
      <c r="BC58" s="546">
        <v>1</v>
      </c>
      <c r="BD58" s="546">
        <v>5</v>
      </c>
      <c r="BE58" s="356" t="s">
        <v>145</v>
      </c>
      <c r="BF58" s="421" t="s">
        <v>1807</v>
      </c>
    </row>
    <row r="59" spans="1:58" ht="60">
      <c r="A59" s="356" t="s">
        <v>2217</v>
      </c>
      <c r="B59" s="356"/>
      <c r="C59" s="356"/>
      <c r="D59" s="356"/>
      <c r="E59" s="356" t="s">
        <v>24</v>
      </c>
      <c r="F59" s="442" t="s">
        <v>771</v>
      </c>
      <c r="G59" s="443" t="s">
        <v>772</v>
      </c>
      <c r="H59" s="442" t="s">
        <v>773</v>
      </c>
      <c r="I59" s="442" t="s">
        <v>2218</v>
      </c>
      <c r="J59" s="442" t="s">
        <v>2218</v>
      </c>
      <c r="K59" s="442" t="s">
        <v>2219</v>
      </c>
      <c r="L59" s="442" t="s">
        <v>2220</v>
      </c>
      <c r="M59" s="442" t="s">
        <v>2220</v>
      </c>
      <c r="N59" s="442" t="s">
        <v>1804</v>
      </c>
      <c r="O59" s="442" t="s">
        <v>2117</v>
      </c>
      <c r="P59" s="444" t="s">
        <v>2118</v>
      </c>
      <c r="Q59" s="356" t="s">
        <v>1822</v>
      </c>
      <c r="R59" s="442" t="s">
        <v>1796</v>
      </c>
      <c r="S59" s="442" t="s">
        <v>1797</v>
      </c>
      <c r="T59" s="442" t="s">
        <v>2221</v>
      </c>
      <c r="U59" s="442" t="s">
        <v>2184</v>
      </c>
      <c r="V59" s="442" t="s">
        <v>2222</v>
      </c>
      <c r="W59" s="442" t="s">
        <v>2223</v>
      </c>
      <c r="X59" s="442" t="s">
        <v>2141</v>
      </c>
      <c r="Y59" s="442" t="s">
        <v>1804</v>
      </c>
      <c r="Z59" s="442" t="s">
        <v>1804</v>
      </c>
      <c r="AA59" s="442" t="s">
        <v>1804</v>
      </c>
      <c r="AB59" s="442" t="s">
        <v>1804</v>
      </c>
      <c r="AC59" s="442" t="s">
        <v>1804</v>
      </c>
      <c r="AD59" s="442" t="s">
        <v>1804</v>
      </c>
      <c r="AE59" s="442"/>
      <c r="AF59" s="386"/>
      <c r="BA59" s="356" t="s">
        <v>740</v>
      </c>
      <c r="BB59" s="546" t="s">
        <v>2142</v>
      </c>
      <c r="BC59" s="546">
        <v>1</v>
      </c>
      <c r="BD59" s="546">
        <v>5</v>
      </c>
      <c r="BE59" s="356" t="s">
        <v>145</v>
      </c>
      <c r="BF59" s="421" t="s">
        <v>1807</v>
      </c>
    </row>
    <row r="60" spans="1:58" ht="90">
      <c r="A60" s="356" t="s">
        <v>2224</v>
      </c>
      <c r="B60" s="356"/>
      <c r="C60" s="356"/>
      <c r="D60" s="356"/>
      <c r="E60" s="356" t="s">
        <v>24</v>
      </c>
      <c r="F60" s="442" t="s">
        <v>774</v>
      </c>
      <c r="G60" s="442" t="s">
        <v>775</v>
      </c>
      <c r="H60" s="442" t="s">
        <v>776</v>
      </c>
      <c r="I60" s="442" t="s">
        <v>2225</v>
      </c>
      <c r="J60" s="442" t="s">
        <v>2226</v>
      </c>
      <c r="K60" s="442" t="s">
        <v>2227</v>
      </c>
      <c r="L60" s="442" t="s">
        <v>2208</v>
      </c>
      <c r="M60" s="442" t="s">
        <v>2208</v>
      </c>
      <c r="N60" s="442" t="s">
        <v>1804</v>
      </c>
      <c r="O60" s="442" t="s">
        <v>2117</v>
      </c>
      <c r="P60" s="444" t="s">
        <v>2118</v>
      </c>
      <c r="Q60" s="356" t="s">
        <v>1822</v>
      </c>
      <c r="R60" s="442" t="s">
        <v>1796</v>
      </c>
      <c r="S60" s="442" t="s">
        <v>1797</v>
      </c>
      <c r="T60" s="442" t="s">
        <v>2228</v>
      </c>
      <c r="U60" s="442" t="s">
        <v>2184</v>
      </c>
      <c r="V60" s="442" t="s">
        <v>2222</v>
      </c>
      <c r="W60" s="442" t="s">
        <v>2223</v>
      </c>
      <c r="X60" s="442" t="s">
        <v>2141</v>
      </c>
      <c r="Y60" s="442" t="s">
        <v>1804</v>
      </c>
      <c r="Z60" s="442" t="s">
        <v>1804</v>
      </c>
      <c r="AA60" s="442" t="s">
        <v>1804</v>
      </c>
      <c r="AB60" s="442" t="s">
        <v>1804</v>
      </c>
      <c r="AC60" s="442" t="s">
        <v>1804</v>
      </c>
      <c r="AD60" s="442" t="s">
        <v>1804</v>
      </c>
      <c r="AE60" s="442"/>
      <c r="AF60" s="386"/>
      <c r="BA60" s="356" t="s">
        <v>740</v>
      </c>
      <c r="BB60" s="546" t="s">
        <v>2142</v>
      </c>
      <c r="BC60" s="546">
        <v>1</v>
      </c>
      <c r="BD60" s="546">
        <v>5</v>
      </c>
      <c r="BE60" s="356" t="s">
        <v>145</v>
      </c>
      <c r="BF60" s="421" t="s">
        <v>1807</v>
      </c>
    </row>
    <row r="61" spans="1:58" ht="105">
      <c r="A61" s="356" t="s">
        <v>2229</v>
      </c>
      <c r="B61" s="356"/>
      <c r="C61" s="356"/>
      <c r="D61" s="356"/>
      <c r="E61" s="356" t="s">
        <v>24</v>
      </c>
      <c r="F61" s="442" t="s">
        <v>777</v>
      </c>
      <c r="G61" s="443" t="s">
        <v>778</v>
      </c>
      <c r="H61" s="442" t="s">
        <v>779</v>
      </c>
      <c r="I61" s="442" t="s">
        <v>2230</v>
      </c>
      <c r="J61" s="442" t="s">
        <v>2231</v>
      </c>
      <c r="K61" s="442" t="s">
        <v>2232</v>
      </c>
      <c r="L61" s="444" t="s">
        <v>2233</v>
      </c>
      <c r="M61" s="444" t="s">
        <v>2234</v>
      </c>
      <c r="N61" s="442" t="s">
        <v>1804</v>
      </c>
      <c r="O61" s="442" t="s">
        <v>2117</v>
      </c>
      <c r="P61" s="444" t="s">
        <v>2118</v>
      </c>
      <c r="Q61" s="356" t="s">
        <v>1822</v>
      </c>
      <c r="R61" s="442" t="s">
        <v>1796</v>
      </c>
      <c r="S61" s="442" t="s">
        <v>1797</v>
      </c>
      <c r="T61" s="442" t="s">
        <v>2235</v>
      </c>
      <c r="U61" s="442" t="s">
        <v>2184</v>
      </c>
      <c r="V61" s="442" t="s">
        <v>2222</v>
      </c>
      <c r="W61" s="442" t="s">
        <v>2223</v>
      </c>
      <c r="X61" s="442" t="s">
        <v>2141</v>
      </c>
      <c r="Y61" s="442" t="s">
        <v>1804</v>
      </c>
      <c r="Z61" s="442" t="s">
        <v>1804</v>
      </c>
      <c r="AA61" s="442" t="s">
        <v>1804</v>
      </c>
      <c r="AB61" s="442" t="s">
        <v>1804</v>
      </c>
      <c r="AC61" s="442" t="s">
        <v>1804</v>
      </c>
      <c r="AD61" s="442" t="s">
        <v>1804</v>
      </c>
      <c r="AE61" s="442"/>
      <c r="AF61" s="386"/>
      <c r="BA61" s="356" t="s">
        <v>740</v>
      </c>
      <c r="BB61" s="546" t="s">
        <v>2142</v>
      </c>
      <c r="BC61" s="546">
        <v>1</v>
      </c>
      <c r="BD61" s="546">
        <v>5</v>
      </c>
      <c r="BE61" s="356" t="s">
        <v>145</v>
      </c>
      <c r="BF61" s="421" t="s">
        <v>1807</v>
      </c>
    </row>
    <row r="62" spans="1:58" ht="90">
      <c r="A62" s="356" t="s">
        <v>2236</v>
      </c>
      <c r="B62" s="356"/>
      <c r="C62" s="356"/>
      <c r="D62" s="356"/>
      <c r="E62" s="356" t="s">
        <v>145</v>
      </c>
      <c r="F62" s="442" t="s">
        <v>780</v>
      </c>
      <c r="G62" s="443" t="s">
        <v>781</v>
      </c>
      <c r="H62" s="442" t="s">
        <v>782</v>
      </c>
      <c r="I62" s="447" t="s">
        <v>2237</v>
      </c>
      <c r="J62" s="448" t="s">
        <v>2238</v>
      </c>
      <c r="K62" s="442" t="s">
        <v>2239</v>
      </c>
      <c r="L62" s="442" t="s">
        <v>2240</v>
      </c>
      <c r="M62" s="442" t="s">
        <v>2241</v>
      </c>
      <c r="N62" s="442" t="s">
        <v>1804</v>
      </c>
      <c r="O62" s="442" t="s">
        <v>2117</v>
      </c>
      <c r="P62" s="442" t="s">
        <v>2117</v>
      </c>
      <c r="Q62" s="356" t="s">
        <v>1822</v>
      </c>
      <c r="R62" s="442" t="s">
        <v>1796</v>
      </c>
      <c r="S62" s="442" t="s">
        <v>1797</v>
      </c>
      <c r="T62" s="442" t="s">
        <v>2242</v>
      </c>
      <c r="U62" s="442" t="s">
        <v>2184</v>
      </c>
      <c r="V62" s="442" t="s">
        <v>2222</v>
      </c>
      <c r="W62" s="442" t="s">
        <v>2186</v>
      </c>
      <c r="X62" s="442" t="s">
        <v>2141</v>
      </c>
      <c r="Y62" s="442" t="s">
        <v>1804</v>
      </c>
      <c r="Z62" s="442" t="s">
        <v>1804</v>
      </c>
      <c r="AA62" s="442" t="s">
        <v>1804</v>
      </c>
      <c r="AB62" s="442" t="s">
        <v>1804</v>
      </c>
      <c r="AC62" s="442" t="s">
        <v>1804</v>
      </c>
      <c r="AD62" s="442" t="s">
        <v>1804</v>
      </c>
      <c r="AE62" s="442"/>
      <c r="AF62" s="386"/>
      <c r="BA62" s="356" t="s">
        <v>740</v>
      </c>
      <c r="BB62" s="546" t="s">
        <v>2142</v>
      </c>
      <c r="BC62" s="546">
        <v>1</v>
      </c>
      <c r="BD62" s="546">
        <v>5</v>
      </c>
      <c r="BE62" s="356" t="s">
        <v>145</v>
      </c>
      <c r="BF62" s="421" t="s">
        <v>1807</v>
      </c>
    </row>
    <row r="63" spans="1:58" ht="105">
      <c r="A63" s="356" t="s">
        <v>2243</v>
      </c>
      <c r="B63" s="356"/>
      <c r="C63" s="356"/>
      <c r="D63" s="356"/>
      <c r="E63" s="356" t="s">
        <v>24</v>
      </c>
      <c r="F63" s="442" t="s">
        <v>783</v>
      </c>
      <c r="G63" s="443" t="s">
        <v>784</v>
      </c>
      <c r="H63" s="442" t="s">
        <v>785</v>
      </c>
      <c r="I63" s="447" t="s">
        <v>2244</v>
      </c>
      <c r="J63" s="448" t="s">
        <v>2245</v>
      </c>
      <c r="K63" s="442" t="s">
        <v>2232</v>
      </c>
      <c r="L63" s="444" t="s">
        <v>2233</v>
      </c>
      <c r="M63" s="444" t="s">
        <v>2234</v>
      </c>
      <c r="N63" s="442" t="s">
        <v>1804</v>
      </c>
      <c r="O63" s="442" t="s">
        <v>2117</v>
      </c>
      <c r="P63" s="444" t="s">
        <v>2118</v>
      </c>
      <c r="Q63" s="356" t="s">
        <v>1822</v>
      </c>
      <c r="R63" s="442" t="s">
        <v>1796</v>
      </c>
      <c r="S63" s="442" t="s">
        <v>1797</v>
      </c>
      <c r="T63" s="442" t="s">
        <v>2246</v>
      </c>
      <c r="U63" s="442" t="s">
        <v>2184</v>
      </c>
      <c r="V63" s="442" t="s">
        <v>2222</v>
      </c>
      <c r="W63" s="442" t="s">
        <v>2186</v>
      </c>
      <c r="X63" s="442" t="s">
        <v>2141</v>
      </c>
      <c r="Y63" s="442" t="s">
        <v>1804</v>
      </c>
      <c r="Z63" s="442" t="s">
        <v>1804</v>
      </c>
      <c r="AA63" s="442" t="s">
        <v>1804</v>
      </c>
      <c r="AB63" s="442" t="s">
        <v>1804</v>
      </c>
      <c r="AC63" s="442" t="s">
        <v>1804</v>
      </c>
      <c r="AD63" s="442" t="s">
        <v>1804</v>
      </c>
      <c r="AE63" s="442"/>
      <c r="AF63" s="386"/>
      <c r="BA63" s="356" t="s">
        <v>740</v>
      </c>
      <c r="BB63" s="546" t="s">
        <v>2142</v>
      </c>
      <c r="BC63" s="546">
        <v>1</v>
      </c>
      <c r="BD63" s="546">
        <v>5</v>
      </c>
      <c r="BE63" s="356" t="s">
        <v>145</v>
      </c>
      <c r="BF63" s="421" t="s">
        <v>1807</v>
      </c>
    </row>
    <row r="64" spans="1:58" ht="105">
      <c r="A64" s="356" t="s">
        <v>2247</v>
      </c>
      <c r="B64" s="356"/>
      <c r="C64" s="356"/>
      <c r="D64" s="356"/>
      <c r="E64" s="356" t="s">
        <v>24</v>
      </c>
      <c r="F64" s="442" t="s">
        <v>786</v>
      </c>
      <c r="G64" s="443" t="s">
        <v>787</v>
      </c>
      <c r="H64" s="442" t="s">
        <v>788</v>
      </c>
      <c r="I64" s="442" t="s">
        <v>2248</v>
      </c>
      <c r="J64" s="442" t="s">
        <v>2248</v>
      </c>
      <c r="K64" s="442" t="s">
        <v>2232</v>
      </c>
      <c r="L64" s="444" t="s">
        <v>2233</v>
      </c>
      <c r="M64" s="444" t="s">
        <v>2234</v>
      </c>
      <c r="N64" s="442" t="s">
        <v>1804</v>
      </c>
      <c r="O64" s="442" t="s">
        <v>2117</v>
      </c>
      <c r="P64" s="444" t="s">
        <v>2118</v>
      </c>
      <c r="Q64" s="356" t="s">
        <v>1822</v>
      </c>
      <c r="R64" s="442" t="s">
        <v>1796</v>
      </c>
      <c r="S64" s="442" t="s">
        <v>1797</v>
      </c>
      <c r="T64" s="442" t="s">
        <v>2249</v>
      </c>
      <c r="U64" s="442" t="s">
        <v>2184</v>
      </c>
      <c r="V64" s="442" t="s">
        <v>2222</v>
      </c>
      <c r="W64" s="442" t="s">
        <v>2186</v>
      </c>
      <c r="X64" s="442" t="s">
        <v>2141</v>
      </c>
      <c r="Y64" s="442" t="s">
        <v>1804</v>
      </c>
      <c r="Z64" s="442" t="s">
        <v>1804</v>
      </c>
      <c r="AA64" s="442" t="s">
        <v>1804</v>
      </c>
      <c r="AB64" s="442" t="s">
        <v>1804</v>
      </c>
      <c r="AC64" s="442" t="s">
        <v>1804</v>
      </c>
      <c r="AD64" s="442" t="s">
        <v>1804</v>
      </c>
      <c r="AE64" s="442"/>
      <c r="AF64" s="386"/>
      <c r="BA64" s="356" t="s">
        <v>740</v>
      </c>
      <c r="BB64" s="546" t="s">
        <v>2142</v>
      </c>
      <c r="BC64" s="546">
        <v>1</v>
      </c>
      <c r="BD64" s="546">
        <v>5</v>
      </c>
      <c r="BE64" s="356" t="s">
        <v>145</v>
      </c>
      <c r="BF64" s="421" t="s">
        <v>1807</v>
      </c>
    </row>
    <row r="65" spans="1:58" ht="105">
      <c r="A65" s="356" t="s">
        <v>2250</v>
      </c>
      <c r="B65" s="356"/>
      <c r="C65" s="356"/>
      <c r="D65" s="356"/>
      <c r="E65" s="356" t="s">
        <v>24</v>
      </c>
      <c r="F65" s="442" t="s">
        <v>789</v>
      </c>
      <c r="G65" s="443" t="s">
        <v>790</v>
      </c>
      <c r="H65" s="442" t="s">
        <v>791</v>
      </c>
      <c r="I65" s="442" t="s">
        <v>2251</v>
      </c>
      <c r="J65" s="442" t="s">
        <v>2251</v>
      </c>
      <c r="K65" s="442" t="s">
        <v>2232</v>
      </c>
      <c r="L65" s="444" t="s">
        <v>2233</v>
      </c>
      <c r="M65" s="444" t="s">
        <v>2234</v>
      </c>
      <c r="N65" s="442" t="s">
        <v>1804</v>
      </c>
      <c r="O65" s="442" t="s">
        <v>2117</v>
      </c>
      <c r="P65" s="444" t="s">
        <v>2118</v>
      </c>
      <c r="Q65" s="356" t="s">
        <v>1822</v>
      </c>
      <c r="R65" s="442" t="s">
        <v>1796</v>
      </c>
      <c r="S65" s="442" t="s">
        <v>1797</v>
      </c>
      <c r="T65" s="442" t="s">
        <v>2252</v>
      </c>
      <c r="U65" s="442" t="s">
        <v>2184</v>
      </c>
      <c r="V65" s="442" t="s">
        <v>2222</v>
      </c>
      <c r="W65" s="442" t="s">
        <v>2186</v>
      </c>
      <c r="X65" s="442" t="s">
        <v>2141</v>
      </c>
      <c r="Y65" s="442" t="s">
        <v>1804</v>
      </c>
      <c r="Z65" s="442" t="s">
        <v>1804</v>
      </c>
      <c r="AA65" s="442" t="s">
        <v>1804</v>
      </c>
      <c r="AB65" s="442" t="s">
        <v>1804</v>
      </c>
      <c r="AC65" s="442" t="s">
        <v>1804</v>
      </c>
      <c r="AD65" s="442" t="s">
        <v>1804</v>
      </c>
      <c r="AE65" s="442"/>
      <c r="AF65" s="386"/>
      <c r="BA65" s="356" t="s">
        <v>740</v>
      </c>
      <c r="BB65" s="546" t="s">
        <v>2142</v>
      </c>
      <c r="BC65" s="546">
        <v>1</v>
      </c>
      <c r="BD65" s="546">
        <v>5</v>
      </c>
      <c r="BE65" s="356" t="s">
        <v>145</v>
      </c>
      <c r="BF65" s="421" t="s">
        <v>1807</v>
      </c>
    </row>
    <row r="66" spans="1:58" ht="75">
      <c r="A66" s="356" t="s">
        <v>2253</v>
      </c>
      <c r="B66" s="356"/>
      <c r="C66" s="356"/>
      <c r="D66" s="356"/>
      <c r="E66" s="356" t="s">
        <v>24</v>
      </c>
      <c r="F66" s="442" t="s">
        <v>792</v>
      </c>
      <c r="G66" s="443" t="s">
        <v>793</v>
      </c>
      <c r="H66" s="442" t="s">
        <v>794</v>
      </c>
      <c r="I66" s="442" t="s">
        <v>2254</v>
      </c>
      <c r="J66" s="442" t="s">
        <v>2254</v>
      </c>
      <c r="K66" s="442" t="s">
        <v>2232</v>
      </c>
      <c r="L66" s="444" t="s">
        <v>2233</v>
      </c>
      <c r="M66" s="444" t="s">
        <v>2234</v>
      </c>
      <c r="N66" s="442" t="s">
        <v>1804</v>
      </c>
      <c r="O66" s="442" t="s">
        <v>2117</v>
      </c>
      <c r="P66" s="444" t="s">
        <v>2118</v>
      </c>
      <c r="Q66" s="356" t="s">
        <v>1822</v>
      </c>
      <c r="R66" s="442" t="s">
        <v>1796</v>
      </c>
      <c r="S66" s="442" t="s">
        <v>1797</v>
      </c>
      <c r="T66" s="442" t="s">
        <v>2255</v>
      </c>
      <c r="U66" s="442" t="s">
        <v>2184</v>
      </c>
      <c r="V66" s="442" t="s">
        <v>2222</v>
      </c>
      <c r="W66" s="442" t="s">
        <v>2223</v>
      </c>
      <c r="X66" s="442" t="s">
        <v>2141</v>
      </c>
      <c r="Y66" s="442" t="s">
        <v>1804</v>
      </c>
      <c r="Z66" s="442" t="s">
        <v>1804</v>
      </c>
      <c r="AA66" s="442" t="s">
        <v>1804</v>
      </c>
      <c r="AB66" s="442" t="s">
        <v>1804</v>
      </c>
      <c r="AC66" s="442" t="s">
        <v>1804</v>
      </c>
      <c r="AD66" s="442" t="s">
        <v>1804</v>
      </c>
      <c r="AE66" s="442"/>
      <c r="AF66" s="386"/>
      <c r="BA66" s="356" t="s">
        <v>740</v>
      </c>
      <c r="BB66" s="546" t="s">
        <v>2142</v>
      </c>
      <c r="BC66" s="546">
        <v>1</v>
      </c>
      <c r="BD66" s="546">
        <v>5</v>
      </c>
      <c r="BE66" s="356" t="s">
        <v>145</v>
      </c>
      <c r="BF66" s="421" t="s">
        <v>1807</v>
      </c>
    </row>
    <row r="67" spans="1:58" ht="90">
      <c r="A67" s="356" t="s">
        <v>2256</v>
      </c>
      <c r="B67" s="356"/>
      <c r="C67" s="356"/>
      <c r="D67" s="356"/>
      <c r="E67" s="356" t="s">
        <v>24</v>
      </c>
      <c r="F67" s="442" t="s">
        <v>795</v>
      </c>
      <c r="G67" s="443" t="s">
        <v>796</v>
      </c>
      <c r="H67" s="442" t="s">
        <v>797</v>
      </c>
      <c r="I67" s="442" t="s">
        <v>2257</v>
      </c>
      <c r="J67" s="442" t="s">
        <v>2257</v>
      </c>
      <c r="K67" s="442" t="s">
        <v>2232</v>
      </c>
      <c r="L67" s="444" t="s">
        <v>2233</v>
      </c>
      <c r="M67" s="444" t="s">
        <v>2234</v>
      </c>
      <c r="N67" s="442" t="s">
        <v>1804</v>
      </c>
      <c r="O67" s="442" t="s">
        <v>2117</v>
      </c>
      <c r="P67" s="444" t="s">
        <v>2118</v>
      </c>
      <c r="Q67" s="356" t="s">
        <v>1822</v>
      </c>
      <c r="R67" s="442" t="s">
        <v>1796</v>
      </c>
      <c r="S67" s="442" t="s">
        <v>1797</v>
      </c>
      <c r="T67" s="442" t="s">
        <v>2258</v>
      </c>
      <c r="U67" s="442" t="s">
        <v>2184</v>
      </c>
      <c r="V67" s="442" t="s">
        <v>2222</v>
      </c>
      <c r="W67" s="442" t="s">
        <v>2223</v>
      </c>
      <c r="X67" s="442" t="s">
        <v>2141</v>
      </c>
      <c r="Y67" s="442" t="s">
        <v>1804</v>
      </c>
      <c r="Z67" s="442" t="s">
        <v>1804</v>
      </c>
      <c r="AA67" s="442" t="s">
        <v>1804</v>
      </c>
      <c r="AB67" s="442" t="s">
        <v>1804</v>
      </c>
      <c r="AC67" s="442" t="s">
        <v>1804</v>
      </c>
      <c r="AD67" s="442" t="s">
        <v>1804</v>
      </c>
      <c r="AE67" s="442"/>
      <c r="AF67" s="386"/>
      <c r="BA67" s="356" t="s">
        <v>740</v>
      </c>
      <c r="BB67" s="546" t="s">
        <v>2142</v>
      </c>
      <c r="BC67" s="546">
        <v>1</v>
      </c>
      <c r="BD67" s="546">
        <v>5</v>
      </c>
      <c r="BE67" s="356" t="s">
        <v>145</v>
      </c>
      <c r="BF67" s="421" t="s">
        <v>1807</v>
      </c>
    </row>
    <row r="68" spans="1:58" ht="105">
      <c r="A68" s="356" t="s">
        <v>2259</v>
      </c>
      <c r="B68" s="356"/>
      <c r="C68" s="356"/>
      <c r="D68" s="356"/>
      <c r="E68" s="356" t="s">
        <v>24</v>
      </c>
      <c r="F68" s="442" t="s">
        <v>798</v>
      </c>
      <c r="G68" s="443" t="s">
        <v>799</v>
      </c>
      <c r="H68" s="442" t="s">
        <v>800</v>
      </c>
      <c r="I68" s="442" t="s">
        <v>2260</v>
      </c>
      <c r="J68" s="442" t="s">
        <v>2260</v>
      </c>
      <c r="K68" s="442" t="s">
        <v>2232</v>
      </c>
      <c r="L68" s="444" t="s">
        <v>2233</v>
      </c>
      <c r="M68" s="444" t="s">
        <v>2234</v>
      </c>
      <c r="N68" s="442" t="s">
        <v>1804</v>
      </c>
      <c r="O68" s="442" t="s">
        <v>2117</v>
      </c>
      <c r="P68" s="444" t="s">
        <v>2118</v>
      </c>
      <c r="Q68" s="356" t="s">
        <v>1822</v>
      </c>
      <c r="R68" s="442" t="s">
        <v>1796</v>
      </c>
      <c r="S68" s="442" t="s">
        <v>1797</v>
      </c>
      <c r="T68" s="442" t="s">
        <v>2261</v>
      </c>
      <c r="U68" s="442" t="s">
        <v>2184</v>
      </c>
      <c r="V68" s="442" t="s">
        <v>2222</v>
      </c>
      <c r="W68" s="442" t="s">
        <v>2223</v>
      </c>
      <c r="X68" s="442" t="s">
        <v>2141</v>
      </c>
      <c r="Y68" s="442" t="s">
        <v>1804</v>
      </c>
      <c r="Z68" s="442" t="s">
        <v>1804</v>
      </c>
      <c r="AA68" s="442" t="s">
        <v>1804</v>
      </c>
      <c r="AB68" s="442" t="s">
        <v>1804</v>
      </c>
      <c r="AC68" s="442" t="s">
        <v>1804</v>
      </c>
      <c r="AD68" s="442" t="s">
        <v>1804</v>
      </c>
      <c r="AE68" s="442"/>
      <c r="AF68" s="386"/>
      <c r="BA68" s="356" t="s">
        <v>740</v>
      </c>
      <c r="BB68" s="546" t="s">
        <v>2142</v>
      </c>
      <c r="BC68" s="546">
        <v>1</v>
      </c>
      <c r="BD68" s="546">
        <v>5</v>
      </c>
      <c r="BE68" s="356" t="s">
        <v>145</v>
      </c>
      <c r="BF68" s="421" t="s">
        <v>1807</v>
      </c>
    </row>
    <row r="69" spans="1:58" ht="90">
      <c r="A69" s="356" t="s">
        <v>2262</v>
      </c>
      <c r="B69" s="356"/>
      <c r="C69" s="356"/>
      <c r="D69" s="356"/>
      <c r="E69" s="356" t="s">
        <v>145</v>
      </c>
      <c r="F69" s="442" t="s">
        <v>801</v>
      </c>
      <c r="G69" s="443" t="s">
        <v>802</v>
      </c>
      <c r="H69" s="442" t="s">
        <v>803</v>
      </c>
      <c r="I69" s="442" t="s">
        <v>2263</v>
      </c>
      <c r="J69" s="442" t="s">
        <v>2263</v>
      </c>
      <c r="K69" s="442" t="s">
        <v>2239</v>
      </c>
      <c r="L69" s="442" t="s">
        <v>2240</v>
      </c>
      <c r="M69" s="442" t="s">
        <v>2241</v>
      </c>
      <c r="N69" s="442" t="s">
        <v>1804</v>
      </c>
      <c r="O69" s="442" t="s">
        <v>2117</v>
      </c>
      <c r="P69" s="442" t="s">
        <v>2117</v>
      </c>
      <c r="Q69" s="356" t="s">
        <v>1822</v>
      </c>
      <c r="R69" s="442" t="s">
        <v>1796</v>
      </c>
      <c r="S69" s="442" t="s">
        <v>1797</v>
      </c>
      <c r="T69" s="442" t="s">
        <v>2264</v>
      </c>
      <c r="U69" s="442" t="s">
        <v>2184</v>
      </c>
      <c r="V69" s="442" t="s">
        <v>2222</v>
      </c>
      <c r="W69" s="442" t="s">
        <v>2223</v>
      </c>
      <c r="X69" s="442" t="s">
        <v>2141</v>
      </c>
      <c r="Y69" s="442" t="s">
        <v>1804</v>
      </c>
      <c r="Z69" s="442" t="s">
        <v>1804</v>
      </c>
      <c r="AA69" s="442" t="s">
        <v>1804</v>
      </c>
      <c r="AB69" s="442" t="s">
        <v>1804</v>
      </c>
      <c r="AC69" s="442" t="s">
        <v>1804</v>
      </c>
      <c r="AD69" s="442" t="s">
        <v>1804</v>
      </c>
      <c r="AE69" s="442"/>
      <c r="AF69" s="386"/>
      <c r="BA69" s="356" t="s">
        <v>740</v>
      </c>
      <c r="BB69" s="546" t="s">
        <v>2142</v>
      </c>
      <c r="BC69" s="546">
        <v>1</v>
      </c>
      <c r="BD69" s="546">
        <v>5</v>
      </c>
      <c r="BE69" s="356" t="s">
        <v>145</v>
      </c>
      <c r="BF69" s="421" t="s">
        <v>1807</v>
      </c>
    </row>
    <row r="70" spans="1:58" ht="90">
      <c r="A70" s="356" t="s">
        <v>113</v>
      </c>
      <c r="B70" s="356"/>
      <c r="C70" s="356"/>
      <c r="D70" s="356"/>
      <c r="E70" s="356" t="s">
        <v>24</v>
      </c>
      <c r="F70" s="442" t="s">
        <v>804</v>
      </c>
      <c r="G70" s="443" t="s">
        <v>805</v>
      </c>
      <c r="H70" s="442" t="s">
        <v>806</v>
      </c>
      <c r="I70" s="442" t="s">
        <v>2265</v>
      </c>
      <c r="J70" s="442" t="s">
        <v>2266</v>
      </c>
      <c r="K70" s="442" t="s">
        <v>2232</v>
      </c>
      <c r="L70" s="444" t="s">
        <v>2233</v>
      </c>
      <c r="M70" s="444" t="s">
        <v>2234</v>
      </c>
      <c r="N70" s="442" t="s">
        <v>1804</v>
      </c>
      <c r="O70" s="442" t="s">
        <v>2117</v>
      </c>
      <c r="P70" s="444" t="s">
        <v>2118</v>
      </c>
      <c r="Q70" s="356" t="s">
        <v>1822</v>
      </c>
      <c r="R70" s="442" t="s">
        <v>1796</v>
      </c>
      <c r="S70" s="442" t="s">
        <v>1797</v>
      </c>
      <c r="T70" s="442" t="s">
        <v>2267</v>
      </c>
      <c r="U70" s="442" t="s">
        <v>2184</v>
      </c>
      <c r="V70" s="442" t="s">
        <v>2222</v>
      </c>
      <c r="W70" s="442" t="s">
        <v>2223</v>
      </c>
      <c r="X70" s="442" t="s">
        <v>2141</v>
      </c>
      <c r="Y70" s="442" t="s">
        <v>1804</v>
      </c>
      <c r="Z70" s="442" t="s">
        <v>1804</v>
      </c>
      <c r="AA70" s="442" t="s">
        <v>1804</v>
      </c>
      <c r="AB70" s="442" t="s">
        <v>1804</v>
      </c>
      <c r="AC70" s="442" t="s">
        <v>1804</v>
      </c>
      <c r="AD70" s="442" t="s">
        <v>1804</v>
      </c>
      <c r="AE70" s="442"/>
      <c r="AF70" s="386"/>
      <c r="BA70" s="356" t="s">
        <v>740</v>
      </c>
      <c r="BB70" s="546" t="s">
        <v>2142</v>
      </c>
      <c r="BC70" s="546">
        <v>1</v>
      </c>
      <c r="BD70" s="546">
        <v>5</v>
      </c>
      <c r="BE70" s="356" t="s">
        <v>145</v>
      </c>
      <c r="BF70" s="421" t="s">
        <v>1807</v>
      </c>
    </row>
    <row r="71" spans="1:58" ht="120">
      <c r="A71" s="356" t="s">
        <v>2268</v>
      </c>
      <c r="B71" s="356"/>
      <c r="C71" s="356"/>
      <c r="D71" s="356"/>
      <c r="E71" s="356" t="s">
        <v>24</v>
      </c>
      <c r="F71" s="442" t="s">
        <v>807</v>
      </c>
      <c r="G71" s="443" t="s">
        <v>808</v>
      </c>
      <c r="H71" s="442" t="s">
        <v>809</v>
      </c>
      <c r="I71" s="442" t="s">
        <v>2269</v>
      </c>
      <c r="J71" s="442" t="s">
        <v>2270</v>
      </c>
      <c r="K71" s="442" t="s">
        <v>2232</v>
      </c>
      <c r="L71" s="444" t="s">
        <v>2233</v>
      </c>
      <c r="M71" s="444" t="s">
        <v>2234</v>
      </c>
      <c r="N71" s="442" t="s">
        <v>1804</v>
      </c>
      <c r="O71" s="442" t="s">
        <v>2117</v>
      </c>
      <c r="P71" s="444" t="s">
        <v>2118</v>
      </c>
      <c r="Q71" s="356" t="s">
        <v>1822</v>
      </c>
      <c r="R71" s="442" t="s">
        <v>1796</v>
      </c>
      <c r="S71" s="442" t="s">
        <v>1797</v>
      </c>
      <c r="T71" s="442" t="s">
        <v>2271</v>
      </c>
      <c r="U71" s="442" t="s">
        <v>2184</v>
      </c>
      <c r="V71" s="442" t="s">
        <v>2222</v>
      </c>
      <c r="W71" s="442" t="s">
        <v>2223</v>
      </c>
      <c r="X71" s="442" t="s">
        <v>2141</v>
      </c>
      <c r="Y71" s="442" t="s">
        <v>1804</v>
      </c>
      <c r="Z71" s="442" t="s">
        <v>1804</v>
      </c>
      <c r="AA71" s="442" t="s">
        <v>1804</v>
      </c>
      <c r="AB71" s="442" t="s">
        <v>1804</v>
      </c>
      <c r="AC71" s="442" t="s">
        <v>1804</v>
      </c>
      <c r="AD71" s="442" t="s">
        <v>1804</v>
      </c>
      <c r="AE71" s="442"/>
      <c r="AF71" s="386"/>
      <c r="BA71" s="356" t="s">
        <v>740</v>
      </c>
      <c r="BB71" s="546" t="s">
        <v>2142</v>
      </c>
      <c r="BC71" s="546">
        <v>1</v>
      </c>
      <c r="BD71" s="546">
        <v>5</v>
      </c>
      <c r="BE71" s="356" t="s">
        <v>145</v>
      </c>
      <c r="BF71" s="421" t="s">
        <v>1807</v>
      </c>
    </row>
    <row r="72" spans="1:58" ht="120">
      <c r="A72" s="356" t="s">
        <v>2272</v>
      </c>
      <c r="B72" s="356"/>
      <c r="C72" s="356"/>
      <c r="D72" s="356"/>
      <c r="E72" s="356" t="s">
        <v>24</v>
      </c>
      <c r="F72" s="442" t="s">
        <v>810</v>
      </c>
      <c r="G72" s="443" t="s">
        <v>811</v>
      </c>
      <c r="H72" s="442" t="s">
        <v>812</v>
      </c>
      <c r="I72" s="442" t="s">
        <v>2273</v>
      </c>
      <c r="J72" s="442" t="s">
        <v>2274</v>
      </c>
      <c r="K72" s="442" t="s">
        <v>2232</v>
      </c>
      <c r="L72" s="444" t="s">
        <v>2233</v>
      </c>
      <c r="M72" s="444" t="s">
        <v>2234</v>
      </c>
      <c r="N72" s="442" t="s">
        <v>1804</v>
      </c>
      <c r="O72" s="442" t="s">
        <v>2117</v>
      </c>
      <c r="P72" s="444" t="s">
        <v>2118</v>
      </c>
      <c r="Q72" s="356" t="s">
        <v>1822</v>
      </c>
      <c r="R72" s="442" t="s">
        <v>1796</v>
      </c>
      <c r="S72" s="442" t="s">
        <v>1797</v>
      </c>
      <c r="T72" s="442" t="s">
        <v>2275</v>
      </c>
      <c r="U72" s="442" t="s">
        <v>2184</v>
      </c>
      <c r="V72" s="442" t="s">
        <v>2222</v>
      </c>
      <c r="W72" s="442" t="s">
        <v>2223</v>
      </c>
      <c r="X72" s="442" t="s">
        <v>2141</v>
      </c>
      <c r="Y72" s="442" t="s">
        <v>1804</v>
      </c>
      <c r="Z72" s="442" t="s">
        <v>1804</v>
      </c>
      <c r="AA72" s="442" t="s">
        <v>1804</v>
      </c>
      <c r="AB72" s="442" t="s">
        <v>1804</v>
      </c>
      <c r="AC72" s="442" t="s">
        <v>1804</v>
      </c>
      <c r="AD72" s="442" t="s">
        <v>1804</v>
      </c>
      <c r="AE72" s="442"/>
      <c r="AF72" s="386"/>
      <c r="BA72" s="356" t="s">
        <v>740</v>
      </c>
      <c r="BB72" s="546" t="s">
        <v>2142</v>
      </c>
      <c r="BC72" s="546">
        <v>1</v>
      </c>
      <c r="BD72" s="546">
        <v>5</v>
      </c>
      <c r="BE72" s="356" t="s">
        <v>145</v>
      </c>
      <c r="BF72" s="421" t="s">
        <v>1807</v>
      </c>
    </row>
    <row r="73" spans="1:58" ht="120">
      <c r="A73" s="356" t="s">
        <v>2276</v>
      </c>
      <c r="B73" s="356"/>
      <c r="C73" s="356"/>
      <c r="D73" s="356"/>
      <c r="E73" s="356" t="s">
        <v>24</v>
      </c>
      <c r="F73" s="442" t="s">
        <v>813</v>
      </c>
      <c r="G73" s="442" t="s">
        <v>814</v>
      </c>
      <c r="H73" s="442" t="s">
        <v>815</v>
      </c>
      <c r="I73" s="442" t="s">
        <v>2277</v>
      </c>
      <c r="J73" s="442" t="s">
        <v>2278</v>
      </c>
      <c r="K73" s="442" t="s">
        <v>2232</v>
      </c>
      <c r="L73" s="444" t="s">
        <v>2233</v>
      </c>
      <c r="M73" s="444" t="s">
        <v>2234</v>
      </c>
      <c r="N73" s="442" t="s">
        <v>1804</v>
      </c>
      <c r="O73" s="442" t="s">
        <v>2117</v>
      </c>
      <c r="P73" s="444" t="s">
        <v>2118</v>
      </c>
      <c r="Q73" s="356" t="s">
        <v>1822</v>
      </c>
      <c r="R73" s="442" t="s">
        <v>1796</v>
      </c>
      <c r="S73" s="442" t="s">
        <v>1797</v>
      </c>
      <c r="T73" s="442" t="s">
        <v>2279</v>
      </c>
      <c r="U73" s="442" t="s">
        <v>2184</v>
      </c>
      <c r="V73" s="442" t="s">
        <v>2222</v>
      </c>
      <c r="W73" s="442" t="s">
        <v>2223</v>
      </c>
      <c r="X73" s="442" t="s">
        <v>2141</v>
      </c>
      <c r="Y73" s="442" t="s">
        <v>1804</v>
      </c>
      <c r="Z73" s="442" t="s">
        <v>1804</v>
      </c>
      <c r="AA73" s="442" t="s">
        <v>1804</v>
      </c>
      <c r="AB73" s="442" t="s">
        <v>1804</v>
      </c>
      <c r="AC73" s="442" t="s">
        <v>1804</v>
      </c>
      <c r="AD73" s="442" t="s">
        <v>1804</v>
      </c>
      <c r="AE73" s="442"/>
      <c r="AF73" s="386"/>
      <c r="BA73" s="356" t="s">
        <v>740</v>
      </c>
      <c r="BB73" s="546" t="s">
        <v>2142</v>
      </c>
      <c r="BC73" s="546">
        <v>1</v>
      </c>
      <c r="BD73" s="546">
        <v>5</v>
      </c>
      <c r="BE73" s="356" t="s">
        <v>145</v>
      </c>
      <c r="BF73" s="421" t="s">
        <v>1807</v>
      </c>
    </row>
    <row r="74" spans="1:58" ht="105">
      <c r="A74" s="356" t="s">
        <v>2280</v>
      </c>
      <c r="B74" s="356"/>
      <c r="C74" s="356"/>
      <c r="D74" s="356"/>
      <c r="E74" s="356" t="s">
        <v>24</v>
      </c>
      <c r="F74" s="442" t="s">
        <v>816</v>
      </c>
      <c r="G74" s="443" t="s">
        <v>817</v>
      </c>
      <c r="H74" s="442" t="s">
        <v>818</v>
      </c>
      <c r="I74" s="442" t="s">
        <v>2281</v>
      </c>
      <c r="J74" s="442" t="s">
        <v>2282</v>
      </c>
      <c r="K74" s="442" t="s">
        <v>2232</v>
      </c>
      <c r="L74" s="444" t="s">
        <v>2233</v>
      </c>
      <c r="M74" s="444" t="s">
        <v>2234</v>
      </c>
      <c r="N74" s="442" t="s">
        <v>1804</v>
      </c>
      <c r="O74" s="442" t="s">
        <v>2117</v>
      </c>
      <c r="P74" s="444" t="s">
        <v>2118</v>
      </c>
      <c r="Q74" s="356" t="s">
        <v>1822</v>
      </c>
      <c r="R74" s="442" t="s">
        <v>1796</v>
      </c>
      <c r="S74" s="442" t="s">
        <v>1797</v>
      </c>
      <c r="T74" s="442" t="s">
        <v>2283</v>
      </c>
      <c r="U74" s="442" t="s">
        <v>2184</v>
      </c>
      <c r="V74" s="442" t="s">
        <v>2222</v>
      </c>
      <c r="W74" s="442" t="s">
        <v>2223</v>
      </c>
      <c r="X74" s="442" t="s">
        <v>2141</v>
      </c>
      <c r="Y74" s="442" t="s">
        <v>1804</v>
      </c>
      <c r="Z74" s="442" t="s">
        <v>1804</v>
      </c>
      <c r="AA74" s="442" t="s">
        <v>1804</v>
      </c>
      <c r="AB74" s="442" t="s">
        <v>1804</v>
      </c>
      <c r="AC74" s="442" t="s">
        <v>1804</v>
      </c>
      <c r="AD74" s="442" t="s">
        <v>1804</v>
      </c>
      <c r="AE74" s="442"/>
      <c r="AF74" s="386"/>
      <c r="BA74" s="356" t="s">
        <v>740</v>
      </c>
      <c r="BB74" s="546" t="s">
        <v>2142</v>
      </c>
      <c r="BC74" s="546">
        <v>1</v>
      </c>
      <c r="BD74" s="546">
        <v>5</v>
      </c>
      <c r="BE74" s="356" t="s">
        <v>145</v>
      </c>
      <c r="BF74" s="421" t="s">
        <v>1807</v>
      </c>
    </row>
    <row r="75" spans="1:58" ht="90">
      <c r="A75" s="356" t="s">
        <v>2284</v>
      </c>
      <c r="B75" s="356"/>
      <c r="C75" s="356"/>
      <c r="D75" s="356"/>
      <c r="E75" s="356" t="s">
        <v>24</v>
      </c>
      <c r="F75" s="442" t="s">
        <v>819</v>
      </c>
      <c r="G75" s="443" t="s">
        <v>820</v>
      </c>
      <c r="H75" s="442" t="s">
        <v>821</v>
      </c>
      <c r="I75" s="442" t="s">
        <v>2285</v>
      </c>
      <c r="J75" s="442" t="s">
        <v>2286</v>
      </c>
      <c r="K75" s="442" t="s">
        <v>2232</v>
      </c>
      <c r="L75" s="444" t="s">
        <v>2233</v>
      </c>
      <c r="M75" s="444" t="s">
        <v>2234</v>
      </c>
      <c r="N75" s="442" t="s">
        <v>1804</v>
      </c>
      <c r="O75" s="442" t="s">
        <v>2117</v>
      </c>
      <c r="P75" s="444" t="s">
        <v>2118</v>
      </c>
      <c r="Q75" s="356" t="s">
        <v>1822</v>
      </c>
      <c r="R75" s="442" t="s">
        <v>1796</v>
      </c>
      <c r="S75" s="442" t="s">
        <v>2094</v>
      </c>
      <c r="T75" s="442" t="s">
        <v>2287</v>
      </c>
      <c r="U75" s="442" t="s">
        <v>2184</v>
      </c>
      <c r="V75" s="442" t="s">
        <v>2222</v>
      </c>
      <c r="W75" s="442" t="s">
        <v>2223</v>
      </c>
      <c r="X75" s="442" t="s">
        <v>2141</v>
      </c>
      <c r="Y75" s="442" t="s">
        <v>1804</v>
      </c>
      <c r="Z75" s="442" t="s">
        <v>1804</v>
      </c>
      <c r="AA75" s="442" t="s">
        <v>1804</v>
      </c>
      <c r="AB75" s="442" t="s">
        <v>1804</v>
      </c>
      <c r="AC75" s="442" t="s">
        <v>1804</v>
      </c>
      <c r="AD75" s="442" t="s">
        <v>1804</v>
      </c>
      <c r="AE75" s="442"/>
      <c r="AF75" s="386"/>
      <c r="BA75" s="356" t="s">
        <v>740</v>
      </c>
      <c r="BB75" s="546" t="s">
        <v>2142</v>
      </c>
      <c r="BC75" s="546">
        <v>1</v>
      </c>
      <c r="BD75" s="546">
        <v>5</v>
      </c>
      <c r="BE75" s="356" t="s">
        <v>145</v>
      </c>
      <c r="BF75" s="421" t="s">
        <v>1807</v>
      </c>
    </row>
    <row r="76" spans="1:58" ht="105">
      <c r="A76" s="356" t="s">
        <v>2288</v>
      </c>
      <c r="B76" s="356"/>
      <c r="C76" s="356"/>
      <c r="D76" s="356"/>
      <c r="E76" s="356" t="s">
        <v>24</v>
      </c>
      <c r="F76" s="442" t="s">
        <v>822</v>
      </c>
      <c r="G76" s="443" t="s">
        <v>823</v>
      </c>
      <c r="H76" s="442" t="s">
        <v>824</v>
      </c>
      <c r="I76" s="442" t="s">
        <v>2289</v>
      </c>
      <c r="J76" s="442" t="s">
        <v>2290</v>
      </c>
      <c r="K76" s="442" t="s">
        <v>2232</v>
      </c>
      <c r="L76" s="444" t="s">
        <v>2233</v>
      </c>
      <c r="M76" s="444" t="s">
        <v>2234</v>
      </c>
      <c r="N76" s="442" t="s">
        <v>1804</v>
      </c>
      <c r="O76" s="442" t="s">
        <v>2117</v>
      </c>
      <c r="P76" s="444" t="s">
        <v>2118</v>
      </c>
      <c r="Q76" s="356" t="s">
        <v>1822</v>
      </c>
      <c r="R76" s="442" t="s">
        <v>1796</v>
      </c>
      <c r="S76" s="442" t="s">
        <v>2094</v>
      </c>
      <c r="T76" s="442" t="s">
        <v>2291</v>
      </c>
      <c r="U76" s="442" t="s">
        <v>2184</v>
      </c>
      <c r="V76" s="442" t="s">
        <v>2222</v>
      </c>
      <c r="W76" s="442" t="s">
        <v>2223</v>
      </c>
      <c r="X76" s="442" t="s">
        <v>2141</v>
      </c>
      <c r="Y76" s="442" t="s">
        <v>1804</v>
      </c>
      <c r="Z76" s="442" t="s">
        <v>1804</v>
      </c>
      <c r="AA76" s="442" t="s">
        <v>1804</v>
      </c>
      <c r="AB76" s="442" t="s">
        <v>1804</v>
      </c>
      <c r="AC76" s="442" t="s">
        <v>1804</v>
      </c>
      <c r="AD76" s="442" t="s">
        <v>1804</v>
      </c>
      <c r="AE76" s="442"/>
      <c r="AF76" s="386"/>
      <c r="BA76" s="356" t="s">
        <v>740</v>
      </c>
      <c r="BB76" s="546" t="s">
        <v>2142</v>
      </c>
      <c r="BC76" s="546">
        <v>1</v>
      </c>
      <c r="BD76" s="546">
        <v>5</v>
      </c>
      <c r="BE76" s="356" t="s">
        <v>145</v>
      </c>
      <c r="BF76" s="421" t="s">
        <v>1807</v>
      </c>
    </row>
    <row r="77" spans="1:58" ht="90">
      <c r="A77" s="356" t="s">
        <v>2292</v>
      </c>
      <c r="B77" s="356"/>
      <c r="C77" s="356"/>
      <c r="D77" s="356"/>
      <c r="E77" s="356" t="s">
        <v>24</v>
      </c>
      <c r="F77" s="442" t="s">
        <v>825</v>
      </c>
      <c r="G77" s="443" t="s">
        <v>826</v>
      </c>
      <c r="H77" s="442" t="s">
        <v>827</v>
      </c>
      <c r="I77" s="442" t="s">
        <v>2293</v>
      </c>
      <c r="J77" s="442" t="s">
        <v>2294</v>
      </c>
      <c r="K77" s="442" t="s">
        <v>2232</v>
      </c>
      <c r="L77" s="444" t="s">
        <v>2233</v>
      </c>
      <c r="M77" s="444" t="s">
        <v>2234</v>
      </c>
      <c r="N77" s="442" t="s">
        <v>1804</v>
      </c>
      <c r="O77" s="442" t="s">
        <v>2117</v>
      </c>
      <c r="P77" s="444" t="s">
        <v>2118</v>
      </c>
      <c r="Q77" s="356" t="s">
        <v>1822</v>
      </c>
      <c r="R77" s="442" t="s">
        <v>1796</v>
      </c>
      <c r="S77" s="442" t="s">
        <v>2094</v>
      </c>
      <c r="T77" s="442" t="s">
        <v>2295</v>
      </c>
      <c r="U77" s="442" t="s">
        <v>2184</v>
      </c>
      <c r="V77" s="442" t="s">
        <v>2222</v>
      </c>
      <c r="W77" s="442" t="s">
        <v>2223</v>
      </c>
      <c r="X77" s="442" t="s">
        <v>2141</v>
      </c>
      <c r="Y77" s="442" t="s">
        <v>1804</v>
      </c>
      <c r="Z77" s="442" t="s">
        <v>1804</v>
      </c>
      <c r="AA77" s="442" t="s">
        <v>1804</v>
      </c>
      <c r="AB77" s="442" t="s">
        <v>1804</v>
      </c>
      <c r="AC77" s="442" t="s">
        <v>1804</v>
      </c>
      <c r="AD77" s="442" t="s">
        <v>1804</v>
      </c>
      <c r="AE77" s="442"/>
      <c r="AF77" s="386"/>
      <c r="BA77" s="356" t="s">
        <v>740</v>
      </c>
      <c r="BB77" s="546" t="s">
        <v>2142</v>
      </c>
      <c r="BC77" s="546">
        <v>1</v>
      </c>
      <c r="BD77" s="546">
        <v>5</v>
      </c>
      <c r="BE77" s="356" t="s">
        <v>145</v>
      </c>
      <c r="BF77" s="421" t="s">
        <v>1807</v>
      </c>
    </row>
    <row r="78" spans="1:58" ht="90">
      <c r="A78" s="356" t="s">
        <v>2296</v>
      </c>
      <c r="B78" s="356"/>
      <c r="C78" s="356"/>
      <c r="D78" s="356"/>
      <c r="E78" s="356" t="s">
        <v>24</v>
      </c>
      <c r="F78" s="442" t="s">
        <v>828</v>
      </c>
      <c r="G78" s="443" t="s">
        <v>829</v>
      </c>
      <c r="H78" s="442" t="s">
        <v>830</v>
      </c>
      <c r="I78" s="442" t="s">
        <v>2297</v>
      </c>
      <c r="J78" s="442" t="s">
        <v>2298</v>
      </c>
      <c r="K78" s="442" t="s">
        <v>2232</v>
      </c>
      <c r="L78" s="444" t="s">
        <v>2233</v>
      </c>
      <c r="M78" s="444" t="s">
        <v>2234</v>
      </c>
      <c r="N78" s="442" t="s">
        <v>1804</v>
      </c>
      <c r="O78" s="442" t="s">
        <v>2117</v>
      </c>
      <c r="P78" s="444" t="s">
        <v>2118</v>
      </c>
      <c r="Q78" s="356" t="s">
        <v>1822</v>
      </c>
      <c r="R78" s="442" t="s">
        <v>1796</v>
      </c>
      <c r="S78" s="442" t="s">
        <v>2094</v>
      </c>
      <c r="T78" s="442" t="s">
        <v>2299</v>
      </c>
      <c r="U78" s="442" t="s">
        <v>2184</v>
      </c>
      <c r="V78" s="442" t="s">
        <v>2222</v>
      </c>
      <c r="W78" s="442" t="s">
        <v>2223</v>
      </c>
      <c r="X78" s="442" t="s">
        <v>2141</v>
      </c>
      <c r="Y78" s="442" t="s">
        <v>1804</v>
      </c>
      <c r="Z78" s="442" t="s">
        <v>1804</v>
      </c>
      <c r="AA78" s="442" t="s">
        <v>1804</v>
      </c>
      <c r="AB78" s="442" t="s">
        <v>1804</v>
      </c>
      <c r="AC78" s="442" t="s">
        <v>1804</v>
      </c>
      <c r="AD78" s="442" t="s">
        <v>1804</v>
      </c>
      <c r="AE78" s="442"/>
      <c r="AF78" s="386"/>
      <c r="BA78" s="356" t="s">
        <v>740</v>
      </c>
      <c r="BB78" s="546" t="s">
        <v>2142</v>
      </c>
      <c r="BC78" s="546">
        <v>1</v>
      </c>
      <c r="BD78" s="546">
        <v>5</v>
      </c>
      <c r="BE78" s="356" t="s">
        <v>145</v>
      </c>
      <c r="BF78" s="421" t="s">
        <v>1807</v>
      </c>
    </row>
    <row r="79" spans="1:58" ht="90">
      <c r="A79" s="356" t="s">
        <v>2300</v>
      </c>
      <c r="B79" s="356"/>
      <c r="C79" s="356"/>
      <c r="D79" s="356"/>
      <c r="E79" s="356" t="s">
        <v>24</v>
      </c>
      <c r="F79" s="442" t="s">
        <v>831</v>
      </c>
      <c r="G79" s="443" t="s">
        <v>832</v>
      </c>
      <c r="H79" s="442" t="s">
        <v>833</v>
      </c>
      <c r="I79" s="442" t="s">
        <v>2301</v>
      </c>
      <c r="J79" s="442" t="s">
        <v>2302</v>
      </c>
      <c r="K79" s="442" t="s">
        <v>2232</v>
      </c>
      <c r="L79" s="444" t="s">
        <v>2233</v>
      </c>
      <c r="M79" s="444" t="s">
        <v>2234</v>
      </c>
      <c r="N79" s="442" t="s">
        <v>1804</v>
      </c>
      <c r="O79" s="442" t="s">
        <v>2117</v>
      </c>
      <c r="P79" s="444" t="s">
        <v>2118</v>
      </c>
      <c r="Q79" s="356" t="s">
        <v>1822</v>
      </c>
      <c r="R79" s="442" t="s">
        <v>1796</v>
      </c>
      <c r="S79" s="442" t="s">
        <v>2094</v>
      </c>
      <c r="T79" s="442" t="s">
        <v>2303</v>
      </c>
      <c r="U79" s="442" t="s">
        <v>2184</v>
      </c>
      <c r="V79" s="442" t="s">
        <v>2222</v>
      </c>
      <c r="W79" s="442" t="s">
        <v>2223</v>
      </c>
      <c r="X79" s="442" t="s">
        <v>2141</v>
      </c>
      <c r="Y79" s="442" t="s">
        <v>1804</v>
      </c>
      <c r="Z79" s="442" t="s">
        <v>1804</v>
      </c>
      <c r="AA79" s="442" t="s">
        <v>1804</v>
      </c>
      <c r="AB79" s="442" t="s">
        <v>1804</v>
      </c>
      <c r="AC79" s="442" t="s">
        <v>1804</v>
      </c>
      <c r="AD79" s="442" t="s">
        <v>1804</v>
      </c>
      <c r="AE79" s="442"/>
      <c r="AF79" s="386"/>
      <c r="BA79" s="356" t="s">
        <v>740</v>
      </c>
      <c r="BB79" s="546" t="s">
        <v>2142</v>
      </c>
      <c r="BC79" s="546">
        <v>1</v>
      </c>
      <c r="BD79" s="546">
        <v>5</v>
      </c>
      <c r="BE79" s="356" t="s">
        <v>145</v>
      </c>
      <c r="BF79" s="421" t="s">
        <v>1807</v>
      </c>
    </row>
    <row r="80" spans="1:58" ht="90">
      <c r="A80" s="356" t="s">
        <v>2304</v>
      </c>
      <c r="B80" s="356"/>
      <c r="C80" s="356"/>
      <c r="D80" s="356"/>
      <c r="E80" s="356" t="s">
        <v>24</v>
      </c>
      <c r="F80" s="442" t="s">
        <v>834</v>
      </c>
      <c r="G80" s="443" t="s">
        <v>835</v>
      </c>
      <c r="H80" s="442" t="s">
        <v>836</v>
      </c>
      <c r="I80" s="442" t="s">
        <v>2305</v>
      </c>
      <c r="J80" s="442" t="s">
        <v>2306</v>
      </c>
      <c r="K80" s="442" t="s">
        <v>2232</v>
      </c>
      <c r="L80" s="444" t="s">
        <v>2233</v>
      </c>
      <c r="M80" s="444" t="s">
        <v>2234</v>
      </c>
      <c r="N80" s="442" t="s">
        <v>1804</v>
      </c>
      <c r="O80" s="442" t="s">
        <v>2117</v>
      </c>
      <c r="P80" s="444" t="s">
        <v>2118</v>
      </c>
      <c r="Q80" s="356" t="s">
        <v>1822</v>
      </c>
      <c r="R80" s="442" t="s">
        <v>1796</v>
      </c>
      <c r="S80" s="442" t="s">
        <v>2094</v>
      </c>
      <c r="T80" s="442" t="s">
        <v>2307</v>
      </c>
      <c r="U80" s="442" t="s">
        <v>2184</v>
      </c>
      <c r="V80" s="442" t="s">
        <v>2222</v>
      </c>
      <c r="W80" s="442" t="s">
        <v>2223</v>
      </c>
      <c r="X80" s="442" t="s">
        <v>2141</v>
      </c>
      <c r="Y80" s="442" t="s">
        <v>1804</v>
      </c>
      <c r="Z80" s="442" t="s">
        <v>1804</v>
      </c>
      <c r="AA80" s="442" t="s">
        <v>1804</v>
      </c>
      <c r="AB80" s="442" t="s">
        <v>1804</v>
      </c>
      <c r="AC80" s="442" t="s">
        <v>1804</v>
      </c>
      <c r="AD80" s="442" t="s">
        <v>1804</v>
      </c>
      <c r="AE80" s="442"/>
      <c r="AF80" s="386"/>
      <c r="BA80" s="356" t="s">
        <v>740</v>
      </c>
      <c r="BB80" s="546" t="s">
        <v>2142</v>
      </c>
      <c r="BC80" s="546">
        <v>1</v>
      </c>
      <c r="BD80" s="546">
        <v>5</v>
      </c>
      <c r="BE80" s="356" t="s">
        <v>145</v>
      </c>
      <c r="BF80" s="421" t="s">
        <v>1807</v>
      </c>
    </row>
    <row r="81" spans="1:58" ht="90">
      <c r="A81" s="356" t="s">
        <v>2308</v>
      </c>
      <c r="B81" s="356"/>
      <c r="C81" s="356"/>
      <c r="D81" s="356"/>
      <c r="E81" s="356" t="s">
        <v>24</v>
      </c>
      <c r="F81" s="442" t="s">
        <v>837</v>
      </c>
      <c r="G81" s="443" t="s">
        <v>838</v>
      </c>
      <c r="H81" s="442" t="s">
        <v>839</v>
      </c>
      <c r="I81" s="442" t="s">
        <v>2309</v>
      </c>
      <c r="J81" s="442" t="s">
        <v>2310</v>
      </c>
      <c r="K81" s="442" t="s">
        <v>2232</v>
      </c>
      <c r="L81" s="444" t="s">
        <v>2233</v>
      </c>
      <c r="M81" s="444" t="s">
        <v>2234</v>
      </c>
      <c r="N81" s="442" t="s">
        <v>1804</v>
      </c>
      <c r="O81" s="442" t="s">
        <v>2117</v>
      </c>
      <c r="P81" s="444" t="s">
        <v>2118</v>
      </c>
      <c r="Q81" s="356" t="s">
        <v>1822</v>
      </c>
      <c r="R81" s="442" t="s">
        <v>1796</v>
      </c>
      <c r="S81" s="442" t="s">
        <v>2094</v>
      </c>
      <c r="T81" s="442" t="s">
        <v>2311</v>
      </c>
      <c r="U81" s="442" t="s">
        <v>2184</v>
      </c>
      <c r="V81" s="442" t="s">
        <v>2222</v>
      </c>
      <c r="W81" s="442" t="s">
        <v>2223</v>
      </c>
      <c r="X81" s="442" t="s">
        <v>2141</v>
      </c>
      <c r="Y81" s="442" t="s">
        <v>1804</v>
      </c>
      <c r="Z81" s="442" t="s">
        <v>1804</v>
      </c>
      <c r="AA81" s="442" t="s">
        <v>1804</v>
      </c>
      <c r="AB81" s="442" t="s">
        <v>1804</v>
      </c>
      <c r="AC81" s="442" t="s">
        <v>1804</v>
      </c>
      <c r="AD81" s="442" t="s">
        <v>1804</v>
      </c>
      <c r="AE81" s="442"/>
      <c r="AF81" s="386"/>
      <c r="BA81" s="356" t="s">
        <v>740</v>
      </c>
      <c r="BB81" s="546" t="s">
        <v>2142</v>
      </c>
      <c r="BC81" s="546">
        <v>1</v>
      </c>
      <c r="BD81" s="546">
        <v>5</v>
      </c>
      <c r="BE81" s="356" t="s">
        <v>145</v>
      </c>
      <c r="BF81" s="421" t="s">
        <v>1807</v>
      </c>
    </row>
    <row r="82" spans="1:58" ht="90">
      <c r="A82" s="356" t="s">
        <v>2312</v>
      </c>
      <c r="B82" s="356"/>
      <c r="C82" s="356"/>
      <c r="D82" s="356"/>
      <c r="E82" s="356" t="s">
        <v>24</v>
      </c>
      <c r="F82" s="442" t="s">
        <v>840</v>
      </c>
      <c r="G82" s="443" t="s">
        <v>841</v>
      </c>
      <c r="H82" s="442" t="s">
        <v>842</v>
      </c>
      <c r="I82" s="442" t="s">
        <v>2313</v>
      </c>
      <c r="J82" s="442" t="s">
        <v>2314</v>
      </c>
      <c r="K82" s="442" t="s">
        <v>2232</v>
      </c>
      <c r="L82" s="444" t="s">
        <v>2233</v>
      </c>
      <c r="M82" s="444" t="s">
        <v>2234</v>
      </c>
      <c r="N82" s="442" t="s">
        <v>1804</v>
      </c>
      <c r="O82" s="442" t="s">
        <v>2117</v>
      </c>
      <c r="P82" s="444" t="s">
        <v>2118</v>
      </c>
      <c r="Q82" s="356" t="s">
        <v>1822</v>
      </c>
      <c r="R82" s="442" t="s">
        <v>1796</v>
      </c>
      <c r="S82" s="442" t="s">
        <v>2094</v>
      </c>
      <c r="T82" s="442" t="s">
        <v>2315</v>
      </c>
      <c r="U82" s="442" t="s">
        <v>2184</v>
      </c>
      <c r="V82" s="442" t="s">
        <v>2222</v>
      </c>
      <c r="W82" s="442" t="s">
        <v>2223</v>
      </c>
      <c r="X82" s="442" t="s">
        <v>2141</v>
      </c>
      <c r="Y82" s="442" t="s">
        <v>1804</v>
      </c>
      <c r="Z82" s="442" t="s">
        <v>1804</v>
      </c>
      <c r="AA82" s="442" t="s">
        <v>1804</v>
      </c>
      <c r="AB82" s="442" t="s">
        <v>1804</v>
      </c>
      <c r="AC82" s="442" t="s">
        <v>1804</v>
      </c>
      <c r="AD82" s="442" t="s">
        <v>1804</v>
      </c>
      <c r="AE82" s="442"/>
      <c r="AF82" s="386"/>
      <c r="BA82" s="356" t="s">
        <v>740</v>
      </c>
      <c r="BB82" s="546" t="s">
        <v>2142</v>
      </c>
      <c r="BC82" s="546">
        <v>1</v>
      </c>
      <c r="BD82" s="546">
        <v>5</v>
      </c>
      <c r="BE82" s="356" t="s">
        <v>145</v>
      </c>
      <c r="BF82" s="421" t="s">
        <v>1807</v>
      </c>
    </row>
    <row r="83" spans="1:58" ht="105">
      <c r="A83" s="356" t="s">
        <v>2316</v>
      </c>
      <c r="B83" s="356"/>
      <c r="C83" s="356"/>
      <c r="D83" s="356"/>
      <c r="E83" s="356" t="s">
        <v>24</v>
      </c>
      <c r="F83" s="442" t="s">
        <v>843</v>
      </c>
      <c r="G83" s="443" t="s">
        <v>844</v>
      </c>
      <c r="H83" s="442" t="s">
        <v>845</v>
      </c>
      <c r="I83" s="442" t="s">
        <v>2317</v>
      </c>
      <c r="J83" s="442" t="s">
        <v>2318</v>
      </c>
      <c r="K83" s="442" t="s">
        <v>2232</v>
      </c>
      <c r="L83" s="444" t="s">
        <v>2233</v>
      </c>
      <c r="M83" s="444" t="s">
        <v>2234</v>
      </c>
      <c r="N83" s="442" t="s">
        <v>1804</v>
      </c>
      <c r="O83" s="442" t="s">
        <v>2117</v>
      </c>
      <c r="P83" s="444" t="s">
        <v>2118</v>
      </c>
      <c r="Q83" s="356" t="s">
        <v>1822</v>
      </c>
      <c r="R83" s="442" t="s">
        <v>1796</v>
      </c>
      <c r="S83" s="442" t="s">
        <v>2094</v>
      </c>
      <c r="T83" s="442" t="s">
        <v>2319</v>
      </c>
      <c r="U83" s="442" t="s">
        <v>2184</v>
      </c>
      <c r="V83" s="442" t="s">
        <v>2222</v>
      </c>
      <c r="W83" s="442" t="s">
        <v>2223</v>
      </c>
      <c r="X83" s="442" t="s">
        <v>2141</v>
      </c>
      <c r="Y83" s="442" t="s">
        <v>1804</v>
      </c>
      <c r="Z83" s="442" t="s">
        <v>1804</v>
      </c>
      <c r="AA83" s="442" t="s">
        <v>1804</v>
      </c>
      <c r="AB83" s="442" t="s">
        <v>1804</v>
      </c>
      <c r="AC83" s="442" t="s">
        <v>1804</v>
      </c>
      <c r="AD83" s="442" t="s">
        <v>1804</v>
      </c>
      <c r="AE83" s="442"/>
      <c r="AF83" s="386"/>
      <c r="BA83" s="356" t="s">
        <v>740</v>
      </c>
      <c r="BB83" s="546" t="s">
        <v>2142</v>
      </c>
      <c r="BC83" s="546">
        <v>1</v>
      </c>
      <c r="BD83" s="546">
        <v>5</v>
      </c>
      <c r="BE83" s="356" t="s">
        <v>145</v>
      </c>
      <c r="BF83" s="421" t="s">
        <v>1807</v>
      </c>
    </row>
    <row r="84" spans="1:58" ht="75">
      <c r="A84" s="356" t="s">
        <v>2320</v>
      </c>
      <c r="B84" s="356"/>
      <c r="C84" s="356"/>
      <c r="D84" s="356"/>
      <c r="E84" s="356" t="s">
        <v>24</v>
      </c>
      <c r="F84" s="442" t="s">
        <v>846</v>
      </c>
      <c r="G84" s="443" t="s">
        <v>847</v>
      </c>
      <c r="H84" s="442" t="s">
        <v>848</v>
      </c>
      <c r="I84" s="442" t="s">
        <v>2321</v>
      </c>
      <c r="J84" s="442" t="s">
        <v>2322</v>
      </c>
      <c r="K84" s="442" t="s">
        <v>2232</v>
      </c>
      <c r="L84" s="444" t="s">
        <v>2233</v>
      </c>
      <c r="M84" s="444" t="s">
        <v>2234</v>
      </c>
      <c r="N84" s="442" t="s">
        <v>1804</v>
      </c>
      <c r="O84" s="442" t="s">
        <v>2117</v>
      </c>
      <c r="P84" s="444" t="s">
        <v>2118</v>
      </c>
      <c r="Q84" s="356" t="s">
        <v>1822</v>
      </c>
      <c r="R84" s="442" t="s">
        <v>1796</v>
      </c>
      <c r="S84" s="442" t="s">
        <v>2094</v>
      </c>
      <c r="T84" s="442" t="s">
        <v>2323</v>
      </c>
      <c r="U84" s="442" t="s">
        <v>2184</v>
      </c>
      <c r="V84" s="442" t="s">
        <v>2222</v>
      </c>
      <c r="W84" s="442" t="s">
        <v>2223</v>
      </c>
      <c r="X84" s="442" t="s">
        <v>2141</v>
      </c>
      <c r="Y84" s="442" t="s">
        <v>1804</v>
      </c>
      <c r="Z84" s="442" t="s">
        <v>1804</v>
      </c>
      <c r="AA84" s="442" t="s">
        <v>1804</v>
      </c>
      <c r="AB84" s="442" t="s">
        <v>1804</v>
      </c>
      <c r="AC84" s="442" t="s">
        <v>1804</v>
      </c>
      <c r="AD84" s="442" t="s">
        <v>1804</v>
      </c>
      <c r="AE84" s="442"/>
      <c r="AF84" s="386"/>
      <c r="BA84" s="356" t="s">
        <v>740</v>
      </c>
      <c r="BB84" s="546" t="s">
        <v>2142</v>
      </c>
      <c r="BC84" s="546">
        <v>1</v>
      </c>
      <c r="BD84" s="546">
        <v>5</v>
      </c>
      <c r="BE84" s="356" t="s">
        <v>145</v>
      </c>
      <c r="BF84" s="421" t="s">
        <v>1807</v>
      </c>
    </row>
    <row r="85" spans="1:58" ht="105">
      <c r="A85" s="356" t="s">
        <v>2324</v>
      </c>
      <c r="B85" s="356"/>
      <c r="C85" s="356"/>
      <c r="D85" s="356"/>
      <c r="E85" s="356" t="s">
        <v>24</v>
      </c>
      <c r="F85" s="442" t="s">
        <v>849</v>
      </c>
      <c r="G85" s="443" t="s">
        <v>850</v>
      </c>
      <c r="H85" s="442" t="s">
        <v>851</v>
      </c>
      <c r="I85" s="442" t="s">
        <v>2325</v>
      </c>
      <c r="J85" s="442" t="s">
        <v>2326</v>
      </c>
      <c r="K85" s="442" t="s">
        <v>2232</v>
      </c>
      <c r="L85" s="444" t="s">
        <v>2233</v>
      </c>
      <c r="M85" s="444" t="s">
        <v>2234</v>
      </c>
      <c r="N85" s="442" t="s">
        <v>1804</v>
      </c>
      <c r="O85" s="442" t="s">
        <v>2117</v>
      </c>
      <c r="P85" s="444" t="s">
        <v>2118</v>
      </c>
      <c r="Q85" s="356" t="s">
        <v>1822</v>
      </c>
      <c r="R85" s="442" t="s">
        <v>1796</v>
      </c>
      <c r="S85" s="442" t="s">
        <v>2094</v>
      </c>
      <c r="T85" s="442" t="s">
        <v>2327</v>
      </c>
      <c r="U85" s="442" t="s">
        <v>2184</v>
      </c>
      <c r="V85" s="442" t="s">
        <v>2222</v>
      </c>
      <c r="W85" s="442" t="s">
        <v>2223</v>
      </c>
      <c r="X85" s="442" t="s">
        <v>2141</v>
      </c>
      <c r="Y85" s="442" t="s">
        <v>1804</v>
      </c>
      <c r="Z85" s="442" t="s">
        <v>1804</v>
      </c>
      <c r="AA85" s="442" t="s">
        <v>1804</v>
      </c>
      <c r="AB85" s="442" t="s">
        <v>1804</v>
      </c>
      <c r="AC85" s="442" t="s">
        <v>1804</v>
      </c>
      <c r="AD85" s="442" t="s">
        <v>1804</v>
      </c>
      <c r="AE85" s="442"/>
      <c r="AF85" s="386"/>
      <c r="BA85" s="356" t="s">
        <v>740</v>
      </c>
      <c r="BB85" s="546" t="s">
        <v>2142</v>
      </c>
      <c r="BC85" s="546">
        <v>1</v>
      </c>
      <c r="BD85" s="546">
        <v>5</v>
      </c>
      <c r="BE85" s="356" t="s">
        <v>145</v>
      </c>
      <c r="BF85" s="421" t="s">
        <v>1807</v>
      </c>
    </row>
    <row r="86" spans="1:58" ht="90">
      <c r="A86" s="356" t="s">
        <v>2328</v>
      </c>
      <c r="B86" s="356"/>
      <c r="C86" s="356"/>
      <c r="D86" s="356"/>
      <c r="E86" s="356" t="s">
        <v>24</v>
      </c>
      <c r="F86" s="442" t="s">
        <v>852</v>
      </c>
      <c r="G86" s="443" t="s">
        <v>853</v>
      </c>
      <c r="H86" s="442" t="s">
        <v>854</v>
      </c>
      <c r="I86" s="442" t="s">
        <v>2329</v>
      </c>
      <c r="J86" s="442" t="s">
        <v>2330</v>
      </c>
      <c r="K86" s="442" t="s">
        <v>2232</v>
      </c>
      <c r="L86" s="444" t="s">
        <v>2233</v>
      </c>
      <c r="M86" s="444" t="s">
        <v>2234</v>
      </c>
      <c r="N86" s="442" t="s">
        <v>1804</v>
      </c>
      <c r="O86" s="442" t="s">
        <v>2117</v>
      </c>
      <c r="P86" s="444" t="s">
        <v>2118</v>
      </c>
      <c r="Q86" s="356" t="s">
        <v>1822</v>
      </c>
      <c r="R86" s="442" t="s">
        <v>1796</v>
      </c>
      <c r="S86" s="442" t="s">
        <v>2094</v>
      </c>
      <c r="T86" s="442" t="s">
        <v>2331</v>
      </c>
      <c r="U86" s="442" t="s">
        <v>2184</v>
      </c>
      <c r="V86" s="442" t="s">
        <v>2222</v>
      </c>
      <c r="W86" s="442" t="s">
        <v>2223</v>
      </c>
      <c r="X86" s="442" t="s">
        <v>2141</v>
      </c>
      <c r="Y86" s="442" t="s">
        <v>1804</v>
      </c>
      <c r="Z86" s="442" t="s">
        <v>1804</v>
      </c>
      <c r="AA86" s="442" t="s">
        <v>1804</v>
      </c>
      <c r="AB86" s="442" t="s">
        <v>1804</v>
      </c>
      <c r="AC86" s="442" t="s">
        <v>1804</v>
      </c>
      <c r="AD86" s="442" t="s">
        <v>1804</v>
      </c>
      <c r="AE86" s="442"/>
      <c r="AF86" s="386"/>
      <c r="BA86" s="356" t="s">
        <v>740</v>
      </c>
      <c r="BB86" s="546" t="s">
        <v>2142</v>
      </c>
      <c r="BC86" s="546">
        <v>1</v>
      </c>
      <c r="BD86" s="546">
        <v>5</v>
      </c>
      <c r="BE86" s="356" t="s">
        <v>145</v>
      </c>
      <c r="BF86" s="421" t="s">
        <v>1807</v>
      </c>
    </row>
    <row r="87" spans="1:58" ht="90">
      <c r="A87" s="356" t="s">
        <v>2332</v>
      </c>
      <c r="B87" s="356"/>
      <c r="C87" s="356"/>
      <c r="D87" s="356"/>
      <c r="E87" s="356" t="s">
        <v>24</v>
      </c>
      <c r="F87" s="442" t="s">
        <v>855</v>
      </c>
      <c r="G87" s="443" t="s">
        <v>856</v>
      </c>
      <c r="H87" s="442" t="s">
        <v>857</v>
      </c>
      <c r="I87" s="445" t="s">
        <v>2333</v>
      </c>
      <c r="J87" s="445" t="s">
        <v>2334</v>
      </c>
      <c r="K87" s="442" t="s">
        <v>2232</v>
      </c>
      <c r="L87" s="444" t="s">
        <v>2233</v>
      </c>
      <c r="M87" s="444" t="s">
        <v>2234</v>
      </c>
      <c r="N87" s="442" t="s">
        <v>1804</v>
      </c>
      <c r="O87" s="442" t="s">
        <v>2117</v>
      </c>
      <c r="P87" s="444" t="s">
        <v>2118</v>
      </c>
      <c r="Q87" s="356" t="s">
        <v>1822</v>
      </c>
      <c r="R87" s="442" t="s">
        <v>1796</v>
      </c>
      <c r="S87" s="442" t="s">
        <v>2094</v>
      </c>
      <c r="T87" s="442" t="s">
        <v>2335</v>
      </c>
      <c r="U87" s="442" t="s">
        <v>2184</v>
      </c>
      <c r="V87" s="442" t="s">
        <v>2222</v>
      </c>
      <c r="W87" s="442" t="s">
        <v>2223</v>
      </c>
      <c r="X87" s="442" t="s">
        <v>2141</v>
      </c>
      <c r="Y87" s="442" t="s">
        <v>1804</v>
      </c>
      <c r="Z87" s="442" t="s">
        <v>1804</v>
      </c>
      <c r="AA87" s="442" t="s">
        <v>1804</v>
      </c>
      <c r="AB87" s="442" t="s">
        <v>1804</v>
      </c>
      <c r="AC87" s="442" t="s">
        <v>1804</v>
      </c>
      <c r="AD87" s="442" t="s">
        <v>1804</v>
      </c>
      <c r="AE87" s="442"/>
      <c r="AF87" s="386"/>
      <c r="BA87" s="356" t="s">
        <v>740</v>
      </c>
      <c r="BB87" s="546" t="s">
        <v>2142</v>
      </c>
      <c r="BC87" s="546">
        <v>1</v>
      </c>
      <c r="BD87" s="546">
        <v>5</v>
      </c>
      <c r="BE87" s="356" t="s">
        <v>145</v>
      </c>
      <c r="BF87" s="421" t="s">
        <v>1807</v>
      </c>
    </row>
    <row r="88" spans="1:58" ht="90">
      <c r="A88" s="356" t="s">
        <v>2336</v>
      </c>
      <c r="B88" s="356"/>
      <c r="C88" s="356"/>
      <c r="D88" s="356"/>
      <c r="E88" s="356" t="s">
        <v>11</v>
      </c>
      <c r="F88" s="442" t="s">
        <v>858</v>
      </c>
      <c r="G88" s="443" t="s">
        <v>859</v>
      </c>
      <c r="H88" s="442" t="s">
        <v>860</v>
      </c>
      <c r="I88" s="442" t="s">
        <v>2337</v>
      </c>
      <c r="J88" s="442" t="s">
        <v>2338</v>
      </c>
      <c r="K88" s="442" t="s">
        <v>2239</v>
      </c>
      <c r="L88" s="442" t="s">
        <v>2240</v>
      </c>
      <c r="M88" s="442" t="s">
        <v>2241</v>
      </c>
      <c r="N88" s="442" t="s">
        <v>1804</v>
      </c>
      <c r="O88" s="442" t="s">
        <v>2117</v>
      </c>
      <c r="P88" s="442" t="s">
        <v>2117</v>
      </c>
      <c r="Q88" s="356" t="s">
        <v>1822</v>
      </c>
      <c r="R88" s="442" t="s">
        <v>1796</v>
      </c>
      <c r="S88" s="442" t="s">
        <v>2094</v>
      </c>
      <c r="T88" s="442" t="s">
        <v>2339</v>
      </c>
      <c r="U88" s="442" t="s">
        <v>2184</v>
      </c>
      <c r="V88" s="442" t="s">
        <v>2222</v>
      </c>
      <c r="W88" s="442" t="s">
        <v>2223</v>
      </c>
      <c r="X88" s="442" t="s">
        <v>2141</v>
      </c>
      <c r="Y88" s="442" t="s">
        <v>1804</v>
      </c>
      <c r="Z88" s="442" t="s">
        <v>1804</v>
      </c>
      <c r="AA88" s="442" t="s">
        <v>1804</v>
      </c>
      <c r="AB88" s="442" t="s">
        <v>1804</v>
      </c>
      <c r="AC88" s="442" t="s">
        <v>1804</v>
      </c>
      <c r="AD88" s="442" t="s">
        <v>1804</v>
      </c>
      <c r="AE88" s="442"/>
      <c r="AF88" s="386"/>
      <c r="BA88" s="356" t="s">
        <v>740</v>
      </c>
      <c r="BB88" s="546" t="s">
        <v>2142</v>
      </c>
      <c r="BC88" s="546">
        <v>1</v>
      </c>
      <c r="BD88" s="546">
        <v>5</v>
      </c>
      <c r="BE88" s="356" t="s">
        <v>145</v>
      </c>
      <c r="BF88" s="421" t="s">
        <v>1807</v>
      </c>
    </row>
    <row r="89" spans="1:58" ht="75">
      <c r="A89" s="356" t="s">
        <v>2340</v>
      </c>
      <c r="B89" s="356"/>
      <c r="C89" s="356"/>
      <c r="D89" s="356"/>
      <c r="E89" s="356" t="s">
        <v>24</v>
      </c>
      <c r="F89" s="442" t="s">
        <v>861</v>
      </c>
      <c r="G89" s="443" t="s">
        <v>862</v>
      </c>
      <c r="H89" s="442" t="s">
        <v>863</v>
      </c>
      <c r="I89" s="442" t="s">
        <v>2341</v>
      </c>
      <c r="J89" s="442" t="s">
        <v>2342</v>
      </c>
      <c r="K89" s="442" t="s">
        <v>2232</v>
      </c>
      <c r="L89" s="444" t="s">
        <v>2233</v>
      </c>
      <c r="M89" s="444" t="s">
        <v>2234</v>
      </c>
      <c r="N89" s="442" t="s">
        <v>1804</v>
      </c>
      <c r="O89" s="442" t="s">
        <v>2117</v>
      </c>
      <c r="P89" s="444" t="s">
        <v>2118</v>
      </c>
      <c r="Q89" s="356" t="s">
        <v>1822</v>
      </c>
      <c r="R89" s="442" t="s">
        <v>1796</v>
      </c>
      <c r="S89" s="442" t="s">
        <v>2094</v>
      </c>
      <c r="T89" s="442" t="s">
        <v>2339</v>
      </c>
      <c r="U89" s="442" t="s">
        <v>2184</v>
      </c>
      <c r="V89" s="442" t="s">
        <v>2222</v>
      </c>
      <c r="W89" s="442" t="s">
        <v>2223</v>
      </c>
      <c r="X89" s="442" t="s">
        <v>2141</v>
      </c>
      <c r="Y89" s="442" t="s">
        <v>1804</v>
      </c>
      <c r="Z89" s="442" t="s">
        <v>1804</v>
      </c>
      <c r="AA89" s="442" t="s">
        <v>1804</v>
      </c>
      <c r="AB89" s="442" t="s">
        <v>1804</v>
      </c>
      <c r="AC89" s="442" t="s">
        <v>1804</v>
      </c>
      <c r="AD89" s="442" t="s">
        <v>1804</v>
      </c>
      <c r="AE89" s="442"/>
      <c r="AF89" s="386"/>
      <c r="BA89" s="356" t="s">
        <v>740</v>
      </c>
      <c r="BB89" s="546" t="s">
        <v>2142</v>
      </c>
      <c r="BC89" s="546">
        <v>1</v>
      </c>
      <c r="BD89" s="546">
        <v>5</v>
      </c>
      <c r="BE89" s="356" t="s">
        <v>145</v>
      </c>
      <c r="BF89" s="421" t="s">
        <v>1807</v>
      </c>
    </row>
    <row r="90" spans="1:58" ht="90">
      <c r="A90" s="356" t="s">
        <v>2343</v>
      </c>
      <c r="B90" s="356"/>
      <c r="C90" s="356"/>
      <c r="D90" s="356"/>
      <c r="E90" s="356" t="s">
        <v>24</v>
      </c>
      <c r="F90" s="442" t="s">
        <v>864</v>
      </c>
      <c r="G90" s="443" t="s">
        <v>865</v>
      </c>
      <c r="H90" s="442" t="s">
        <v>866</v>
      </c>
      <c r="I90" s="442" t="s">
        <v>2344</v>
      </c>
      <c r="J90" s="442" t="s">
        <v>2345</v>
      </c>
      <c r="K90" s="442" t="s">
        <v>2232</v>
      </c>
      <c r="L90" s="444" t="s">
        <v>2233</v>
      </c>
      <c r="M90" s="444" t="s">
        <v>2234</v>
      </c>
      <c r="N90" s="442" t="s">
        <v>1804</v>
      </c>
      <c r="O90" s="442" t="s">
        <v>2117</v>
      </c>
      <c r="P90" s="444" t="s">
        <v>2118</v>
      </c>
      <c r="Q90" s="356" t="s">
        <v>1822</v>
      </c>
      <c r="R90" s="442" t="s">
        <v>1796</v>
      </c>
      <c r="S90" s="442" t="s">
        <v>2094</v>
      </c>
      <c r="T90" s="442" t="s">
        <v>2339</v>
      </c>
      <c r="U90" s="442" t="s">
        <v>2184</v>
      </c>
      <c r="V90" s="442" t="s">
        <v>2222</v>
      </c>
      <c r="W90" s="442" t="s">
        <v>2223</v>
      </c>
      <c r="X90" s="442" t="s">
        <v>2141</v>
      </c>
      <c r="Y90" s="442" t="s">
        <v>1804</v>
      </c>
      <c r="Z90" s="442" t="s">
        <v>1804</v>
      </c>
      <c r="AA90" s="442" t="s">
        <v>1804</v>
      </c>
      <c r="AB90" s="442" t="s">
        <v>1804</v>
      </c>
      <c r="AC90" s="442" t="s">
        <v>1804</v>
      </c>
      <c r="AD90" s="442" t="s">
        <v>1804</v>
      </c>
      <c r="AE90" s="442"/>
      <c r="AF90" s="386"/>
      <c r="BA90" s="356" t="s">
        <v>740</v>
      </c>
      <c r="BB90" s="546" t="s">
        <v>2142</v>
      </c>
      <c r="BC90" s="546">
        <v>1</v>
      </c>
      <c r="BD90" s="546">
        <v>5</v>
      </c>
      <c r="BE90" s="356" t="s">
        <v>145</v>
      </c>
      <c r="BF90" s="421" t="s">
        <v>1807</v>
      </c>
    </row>
    <row r="91" spans="1:58" ht="90">
      <c r="A91" s="356" t="s">
        <v>2346</v>
      </c>
      <c r="B91" s="356"/>
      <c r="C91" s="356"/>
      <c r="D91" s="356"/>
      <c r="E91" s="356" t="s">
        <v>24</v>
      </c>
      <c r="F91" s="442" t="s">
        <v>867</v>
      </c>
      <c r="G91" s="443" t="s">
        <v>868</v>
      </c>
      <c r="H91" s="442" t="s">
        <v>869</v>
      </c>
      <c r="I91" s="442" t="s">
        <v>2347</v>
      </c>
      <c r="J91" s="442" t="s">
        <v>2348</v>
      </c>
      <c r="K91" s="442" t="s">
        <v>2232</v>
      </c>
      <c r="L91" s="444" t="s">
        <v>2233</v>
      </c>
      <c r="M91" s="444" t="s">
        <v>2234</v>
      </c>
      <c r="N91" s="442" t="s">
        <v>1804</v>
      </c>
      <c r="O91" s="442" t="s">
        <v>2117</v>
      </c>
      <c r="P91" s="444" t="s">
        <v>2118</v>
      </c>
      <c r="Q91" s="356" t="s">
        <v>1822</v>
      </c>
      <c r="R91" s="442" t="s">
        <v>1796</v>
      </c>
      <c r="S91" s="442" t="s">
        <v>2094</v>
      </c>
      <c r="T91" s="442" t="s">
        <v>2339</v>
      </c>
      <c r="U91" s="442" t="s">
        <v>2184</v>
      </c>
      <c r="V91" s="442" t="s">
        <v>2222</v>
      </c>
      <c r="W91" s="442" t="s">
        <v>2223</v>
      </c>
      <c r="X91" s="442" t="s">
        <v>2141</v>
      </c>
      <c r="Y91" s="442" t="s">
        <v>1804</v>
      </c>
      <c r="Z91" s="442" t="s">
        <v>1804</v>
      </c>
      <c r="AA91" s="442" t="s">
        <v>1804</v>
      </c>
      <c r="AB91" s="442" t="s">
        <v>1804</v>
      </c>
      <c r="AC91" s="442" t="s">
        <v>1804</v>
      </c>
      <c r="AD91" s="442" t="s">
        <v>1804</v>
      </c>
      <c r="AE91" s="442"/>
      <c r="AF91" s="386"/>
      <c r="BA91" s="356" t="s">
        <v>740</v>
      </c>
      <c r="BB91" s="546" t="s">
        <v>2142</v>
      </c>
      <c r="BC91" s="546">
        <v>1</v>
      </c>
      <c r="BD91" s="546">
        <v>5</v>
      </c>
      <c r="BE91" s="356" t="s">
        <v>145</v>
      </c>
      <c r="BF91" s="421" t="s">
        <v>1807</v>
      </c>
    </row>
    <row r="92" spans="1:58" ht="90">
      <c r="A92" s="356" t="s">
        <v>2349</v>
      </c>
      <c r="B92" s="356"/>
      <c r="C92" s="356"/>
      <c r="D92" s="356"/>
      <c r="E92" s="356" t="s">
        <v>24</v>
      </c>
      <c r="F92" s="442" t="s">
        <v>870</v>
      </c>
      <c r="G92" s="443" t="s">
        <v>871</v>
      </c>
      <c r="H92" s="442" t="s">
        <v>872</v>
      </c>
      <c r="I92" s="442" t="s">
        <v>2350</v>
      </c>
      <c r="J92" s="442" t="s">
        <v>2351</v>
      </c>
      <c r="K92" s="442" t="s">
        <v>2232</v>
      </c>
      <c r="L92" s="444" t="s">
        <v>2233</v>
      </c>
      <c r="M92" s="444" t="s">
        <v>2234</v>
      </c>
      <c r="N92" s="442" t="s">
        <v>1804</v>
      </c>
      <c r="O92" s="442" t="s">
        <v>2117</v>
      </c>
      <c r="P92" s="444" t="s">
        <v>2118</v>
      </c>
      <c r="Q92" s="356" t="s">
        <v>1822</v>
      </c>
      <c r="R92" s="442" t="s">
        <v>1796</v>
      </c>
      <c r="S92" s="442" t="s">
        <v>2094</v>
      </c>
      <c r="T92" s="442" t="s">
        <v>2339</v>
      </c>
      <c r="U92" s="442" t="s">
        <v>2184</v>
      </c>
      <c r="V92" s="442" t="s">
        <v>2222</v>
      </c>
      <c r="W92" s="442" t="s">
        <v>2223</v>
      </c>
      <c r="X92" s="442" t="s">
        <v>2141</v>
      </c>
      <c r="Y92" s="442" t="s">
        <v>1804</v>
      </c>
      <c r="Z92" s="442" t="s">
        <v>1804</v>
      </c>
      <c r="AA92" s="442" t="s">
        <v>1804</v>
      </c>
      <c r="AB92" s="442" t="s">
        <v>1804</v>
      </c>
      <c r="AC92" s="442" t="s">
        <v>1804</v>
      </c>
      <c r="AD92" s="442" t="s">
        <v>1804</v>
      </c>
      <c r="AE92" s="442"/>
      <c r="AF92" s="386"/>
      <c r="BA92" s="356" t="s">
        <v>740</v>
      </c>
      <c r="BB92" s="546" t="s">
        <v>2142</v>
      </c>
      <c r="BC92" s="546">
        <v>1</v>
      </c>
      <c r="BD92" s="546">
        <v>5</v>
      </c>
      <c r="BE92" s="356" t="s">
        <v>145</v>
      </c>
      <c r="BF92" s="421" t="s">
        <v>1807</v>
      </c>
    </row>
    <row r="93" spans="1:58" ht="90">
      <c r="A93" s="356" t="s">
        <v>2352</v>
      </c>
      <c r="B93" s="356"/>
      <c r="C93" s="356"/>
      <c r="D93" s="356"/>
      <c r="E93" s="356" t="s">
        <v>24</v>
      </c>
      <c r="F93" s="442" t="s">
        <v>873</v>
      </c>
      <c r="G93" s="443" t="s">
        <v>874</v>
      </c>
      <c r="H93" s="442" t="s">
        <v>875</v>
      </c>
      <c r="I93" s="442" t="s">
        <v>2353</v>
      </c>
      <c r="J93" s="442" t="s">
        <v>2354</v>
      </c>
      <c r="K93" s="442" t="s">
        <v>2232</v>
      </c>
      <c r="L93" s="444" t="s">
        <v>2233</v>
      </c>
      <c r="M93" s="444" t="s">
        <v>2234</v>
      </c>
      <c r="N93" s="442" t="s">
        <v>1804</v>
      </c>
      <c r="O93" s="442" t="s">
        <v>2117</v>
      </c>
      <c r="P93" s="444" t="s">
        <v>2118</v>
      </c>
      <c r="Q93" s="356" t="s">
        <v>1822</v>
      </c>
      <c r="R93" s="442" t="s">
        <v>1796</v>
      </c>
      <c r="S93" s="442" t="s">
        <v>2094</v>
      </c>
      <c r="T93" s="442" t="s">
        <v>2339</v>
      </c>
      <c r="U93" s="442" t="s">
        <v>2184</v>
      </c>
      <c r="V93" s="442" t="s">
        <v>2222</v>
      </c>
      <c r="W93" s="442" t="s">
        <v>2223</v>
      </c>
      <c r="X93" s="442" t="s">
        <v>2141</v>
      </c>
      <c r="Y93" s="442" t="s">
        <v>1804</v>
      </c>
      <c r="Z93" s="442" t="s">
        <v>1804</v>
      </c>
      <c r="AA93" s="442" t="s">
        <v>1804</v>
      </c>
      <c r="AB93" s="442" t="s">
        <v>1804</v>
      </c>
      <c r="AC93" s="442" t="s">
        <v>1804</v>
      </c>
      <c r="AD93" s="442" t="s">
        <v>1804</v>
      </c>
      <c r="AE93" s="442"/>
      <c r="AF93" s="386"/>
      <c r="BA93" s="356" t="s">
        <v>740</v>
      </c>
      <c r="BB93" s="546" t="s">
        <v>2142</v>
      </c>
      <c r="BC93" s="546">
        <v>1</v>
      </c>
      <c r="BD93" s="546">
        <v>5</v>
      </c>
      <c r="BE93" s="356" t="s">
        <v>145</v>
      </c>
      <c r="BF93" s="421" t="s">
        <v>1807</v>
      </c>
    </row>
    <row r="94" spans="1:58" ht="90">
      <c r="A94" s="356" t="s">
        <v>2355</v>
      </c>
      <c r="B94" s="356"/>
      <c r="C94" s="356"/>
      <c r="D94" s="356"/>
      <c r="E94" s="356" t="s">
        <v>24</v>
      </c>
      <c r="F94" s="442" t="s">
        <v>876</v>
      </c>
      <c r="G94" s="443" t="s">
        <v>877</v>
      </c>
      <c r="H94" s="442" t="s">
        <v>878</v>
      </c>
      <c r="I94" s="442" t="s">
        <v>2356</v>
      </c>
      <c r="J94" s="442" t="s">
        <v>2357</v>
      </c>
      <c r="K94" s="442" t="s">
        <v>2232</v>
      </c>
      <c r="L94" s="444" t="s">
        <v>2233</v>
      </c>
      <c r="M94" s="444" t="s">
        <v>2234</v>
      </c>
      <c r="N94" s="442" t="s">
        <v>1804</v>
      </c>
      <c r="O94" s="442" t="s">
        <v>2117</v>
      </c>
      <c r="P94" s="444" t="s">
        <v>2118</v>
      </c>
      <c r="Q94" s="356" t="s">
        <v>1822</v>
      </c>
      <c r="R94" s="442" t="s">
        <v>1796</v>
      </c>
      <c r="S94" s="442" t="s">
        <v>2094</v>
      </c>
      <c r="T94" s="442" t="s">
        <v>2339</v>
      </c>
      <c r="U94" s="442" t="s">
        <v>2184</v>
      </c>
      <c r="V94" s="442" t="s">
        <v>2222</v>
      </c>
      <c r="W94" s="442" t="s">
        <v>2223</v>
      </c>
      <c r="X94" s="442" t="s">
        <v>2141</v>
      </c>
      <c r="Y94" s="442" t="s">
        <v>1804</v>
      </c>
      <c r="Z94" s="442" t="s">
        <v>1804</v>
      </c>
      <c r="AA94" s="442" t="s">
        <v>1804</v>
      </c>
      <c r="AB94" s="442" t="s">
        <v>1804</v>
      </c>
      <c r="AC94" s="442" t="s">
        <v>1804</v>
      </c>
      <c r="AD94" s="442" t="s">
        <v>1804</v>
      </c>
      <c r="AE94" s="442"/>
      <c r="AF94" s="386"/>
      <c r="BA94" s="356" t="s">
        <v>740</v>
      </c>
      <c r="BB94" s="546" t="s">
        <v>2142</v>
      </c>
      <c r="BC94" s="546">
        <v>1</v>
      </c>
      <c r="BD94" s="546">
        <v>5</v>
      </c>
      <c r="BE94" s="356" t="s">
        <v>145</v>
      </c>
      <c r="BF94" s="421" t="s">
        <v>1807</v>
      </c>
    </row>
    <row r="95" spans="1:58" ht="90">
      <c r="A95" s="356" t="s">
        <v>2358</v>
      </c>
      <c r="B95" s="356"/>
      <c r="C95" s="356"/>
      <c r="D95" s="356"/>
      <c r="E95" s="356" t="s">
        <v>24</v>
      </c>
      <c r="F95" s="442" t="s">
        <v>879</v>
      </c>
      <c r="G95" s="442" t="s">
        <v>880</v>
      </c>
      <c r="H95" s="442" t="s">
        <v>881</v>
      </c>
      <c r="I95" s="442" t="s">
        <v>2359</v>
      </c>
      <c r="J95" s="442" t="s">
        <v>2360</v>
      </c>
      <c r="K95" s="442" t="s">
        <v>2232</v>
      </c>
      <c r="L95" s="444" t="s">
        <v>2233</v>
      </c>
      <c r="M95" s="444" t="s">
        <v>2234</v>
      </c>
      <c r="N95" s="442" t="s">
        <v>1804</v>
      </c>
      <c r="O95" s="442" t="s">
        <v>2117</v>
      </c>
      <c r="P95" s="444" t="s">
        <v>2118</v>
      </c>
      <c r="Q95" s="356" t="s">
        <v>1822</v>
      </c>
      <c r="R95" s="442" t="s">
        <v>1796</v>
      </c>
      <c r="S95" s="442" t="s">
        <v>2094</v>
      </c>
      <c r="T95" s="442" t="s">
        <v>2339</v>
      </c>
      <c r="U95" s="442" t="s">
        <v>2184</v>
      </c>
      <c r="V95" s="442" t="s">
        <v>2222</v>
      </c>
      <c r="W95" s="442" t="s">
        <v>2223</v>
      </c>
      <c r="X95" s="442" t="s">
        <v>2141</v>
      </c>
      <c r="Y95" s="442" t="s">
        <v>1804</v>
      </c>
      <c r="Z95" s="442" t="s">
        <v>1804</v>
      </c>
      <c r="AA95" s="442" t="s">
        <v>1804</v>
      </c>
      <c r="AB95" s="442" t="s">
        <v>1804</v>
      </c>
      <c r="AC95" s="442" t="s">
        <v>1804</v>
      </c>
      <c r="AD95" s="442" t="s">
        <v>1804</v>
      </c>
      <c r="AE95" s="442"/>
      <c r="AF95" s="386"/>
      <c r="BA95" s="356" t="s">
        <v>740</v>
      </c>
      <c r="BB95" s="546" t="s">
        <v>2142</v>
      </c>
      <c r="BC95" s="546">
        <v>1</v>
      </c>
      <c r="BD95" s="546">
        <v>5</v>
      </c>
      <c r="BE95" s="356" t="s">
        <v>145</v>
      </c>
      <c r="BF95" s="421" t="s">
        <v>1807</v>
      </c>
    </row>
    <row r="96" spans="1:58" ht="90">
      <c r="A96" s="356" t="s">
        <v>2361</v>
      </c>
      <c r="B96" s="356"/>
      <c r="C96" s="356"/>
      <c r="D96" s="356"/>
      <c r="E96" s="356" t="s">
        <v>24</v>
      </c>
      <c r="F96" s="442" t="s">
        <v>882</v>
      </c>
      <c r="G96" s="443" t="s">
        <v>883</v>
      </c>
      <c r="H96" s="442" t="s">
        <v>884</v>
      </c>
      <c r="I96" s="442" t="s">
        <v>2362</v>
      </c>
      <c r="J96" s="442" t="s">
        <v>2363</v>
      </c>
      <c r="K96" s="442" t="s">
        <v>2232</v>
      </c>
      <c r="L96" s="444" t="s">
        <v>2233</v>
      </c>
      <c r="M96" s="444" t="s">
        <v>2234</v>
      </c>
      <c r="N96" s="442" t="s">
        <v>1804</v>
      </c>
      <c r="O96" s="442" t="s">
        <v>2117</v>
      </c>
      <c r="P96" s="444" t="s">
        <v>2118</v>
      </c>
      <c r="Q96" s="356" t="s">
        <v>1822</v>
      </c>
      <c r="R96" s="442" t="s">
        <v>1796</v>
      </c>
      <c r="S96" s="442" t="s">
        <v>2094</v>
      </c>
      <c r="T96" s="442" t="s">
        <v>2339</v>
      </c>
      <c r="U96" s="442" t="s">
        <v>2184</v>
      </c>
      <c r="V96" s="442" t="s">
        <v>2222</v>
      </c>
      <c r="W96" s="442" t="s">
        <v>2223</v>
      </c>
      <c r="X96" s="442" t="s">
        <v>2141</v>
      </c>
      <c r="Y96" s="442" t="s">
        <v>1804</v>
      </c>
      <c r="Z96" s="442" t="s">
        <v>1804</v>
      </c>
      <c r="AA96" s="442" t="s">
        <v>1804</v>
      </c>
      <c r="AB96" s="442" t="s">
        <v>1804</v>
      </c>
      <c r="AC96" s="442" t="s">
        <v>1804</v>
      </c>
      <c r="AD96" s="442" t="s">
        <v>1804</v>
      </c>
      <c r="AE96" s="442"/>
      <c r="AF96" s="386"/>
      <c r="BA96" s="356" t="s">
        <v>740</v>
      </c>
      <c r="BB96" s="546" t="s">
        <v>2142</v>
      </c>
      <c r="BC96" s="546">
        <v>1</v>
      </c>
      <c r="BD96" s="546">
        <v>5</v>
      </c>
      <c r="BE96" s="356" t="s">
        <v>145</v>
      </c>
      <c r="BF96" s="421" t="s">
        <v>1807</v>
      </c>
    </row>
    <row r="97" spans="1:58" ht="105">
      <c r="A97" s="356" t="s">
        <v>2364</v>
      </c>
      <c r="B97" s="356"/>
      <c r="C97" s="356"/>
      <c r="D97" s="356"/>
      <c r="E97" s="356" t="s">
        <v>24</v>
      </c>
      <c r="F97" s="442" t="s">
        <v>885</v>
      </c>
      <c r="G97" s="443" t="s">
        <v>2365</v>
      </c>
      <c r="H97" s="442" t="s">
        <v>887</v>
      </c>
      <c r="I97" s="447" t="s">
        <v>2366</v>
      </c>
      <c r="J97" s="447" t="s">
        <v>2367</v>
      </c>
      <c r="K97" s="442" t="s">
        <v>2232</v>
      </c>
      <c r="L97" s="444" t="s">
        <v>2233</v>
      </c>
      <c r="M97" s="444" t="s">
        <v>2234</v>
      </c>
      <c r="N97" s="442" t="s">
        <v>1804</v>
      </c>
      <c r="O97" s="442" t="s">
        <v>2117</v>
      </c>
      <c r="P97" s="444" t="s">
        <v>2118</v>
      </c>
      <c r="Q97" s="356" t="s">
        <v>1822</v>
      </c>
      <c r="R97" s="442" t="s">
        <v>1796</v>
      </c>
      <c r="S97" s="442" t="s">
        <v>2094</v>
      </c>
      <c r="T97" s="442" t="s">
        <v>2339</v>
      </c>
      <c r="U97" s="442" t="s">
        <v>2184</v>
      </c>
      <c r="V97" s="442" t="s">
        <v>2222</v>
      </c>
      <c r="W97" s="442" t="s">
        <v>2223</v>
      </c>
      <c r="X97" s="442" t="s">
        <v>2141</v>
      </c>
      <c r="Y97" s="442" t="s">
        <v>1804</v>
      </c>
      <c r="Z97" s="442" t="s">
        <v>1804</v>
      </c>
      <c r="AA97" s="442" t="s">
        <v>1804</v>
      </c>
      <c r="AB97" s="442" t="s">
        <v>1804</v>
      </c>
      <c r="AC97" s="442" t="s">
        <v>1804</v>
      </c>
      <c r="AD97" s="442" t="s">
        <v>1804</v>
      </c>
      <c r="AE97" s="442"/>
      <c r="AF97" s="386"/>
      <c r="BA97" s="356" t="s">
        <v>740</v>
      </c>
      <c r="BB97" s="546" t="s">
        <v>2142</v>
      </c>
      <c r="BC97" s="546">
        <v>1</v>
      </c>
      <c r="BD97" s="546">
        <v>5</v>
      </c>
      <c r="BE97" s="356" t="s">
        <v>145</v>
      </c>
      <c r="BF97" s="421" t="s">
        <v>1807</v>
      </c>
    </row>
    <row r="98" spans="1:58" ht="105">
      <c r="A98" s="356" t="s">
        <v>2368</v>
      </c>
      <c r="B98" s="356"/>
      <c r="C98" s="356"/>
      <c r="D98" s="356"/>
      <c r="E98" s="356" t="s">
        <v>24</v>
      </c>
      <c r="F98" s="442" t="s">
        <v>888</v>
      </c>
      <c r="G98" s="443" t="s">
        <v>889</v>
      </c>
      <c r="H98" s="442" t="s">
        <v>890</v>
      </c>
      <c r="I98" s="442" t="s">
        <v>2369</v>
      </c>
      <c r="J98" s="442" t="s">
        <v>2370</v>
      </c>
      <c r="K98" s="442" t="s">
        <v>2232</v>
      </c>
      <c r="L98" s="444" t="s">
        <v>2233</v>
      </c>
      <c r="M98" s="444" t="s">
        <v>2234</v>
      </c>
      <c r="N98" s="442" t="s">
        <v>1804</v>
      </c>
      <c r="O98" s="442" t="s">
        <v>2117</v>
      </c>
      <c r="P98" s="444" t="s">
        <v>2118</v>
      </c>
      <c r="Q98" s="356" t="s">
        <v>1822</v>
      </c>
      <c r="R98" s="442" t="s">
        <v>1796</v>
      </c>
      <c r="S98" s="442" t="s">
        <v>2094</v>
      </c>
      <c r="T98" s="442" t="s">
        <v>2339</v>
      </c>
      <c r="U98" s="442" t="s">
        <v>2184</v>
      </c>
      <c r="V98" s="442" t="s">
        <v>2222</v>
      </c>
      <c r="W98" s="442" t="s">
        <v>2223</v>
      </c>
      <c r="X98" s="442" t="s">
        <v>2141</v>
      </c>
      <c r="Y98" s="442" t="s">
        <v>1804</v>
      </c>
      <c r="Z98" s="442" t="s">
        <v>1804</v>
      </c>
      <c r="AA98" s="442" t="s">
        <v>1804</v>
      </c>
      <c r="AB98" s="442" t="s">
        <v>1804</v>
      </c>
      <c r="AC98" s="442" t="s">
        <v>1804</v>
      </c>
      <c r="AD98" s="442" t="s">
        <v>1804</v>
      </c>
      <c r="AE98" s="442"/>
      <c r="AF98" s="386"/>
      <c r="BA98" s="356" t="s">
        <v>740</v>
      </c>
      <c r="BB98" s="546" t="s">
        <v>2142</v>
      </c>
      <c r="BC98" s="546">
        <v>1</v>
      </c>
      <c r="BD98" s="546">
        <v>5</v>
      </c>
      <c r="BE98" s="356" t="s">
        <v>145</v>
      </c>
      <c r="BF98" s="421" t="s">
        <v>1807</v>
      </c>
    </row>
    <row r="99" spans="1:58" ht="90">
      <c r="A99" s="356" t="s">
        <v>2371</v>
      </c>
      <c r="B99" s="356"/>
      <c r="C99" s="356"/>
      <c r="D99" s="356"/>
      <c r="E99" s="356" t="s">
        <v>24</v>
      </c>
      <c r="F99" s="442" t="s">
        <v>891</v>
      </c>
      <c r="G99" s="443" t="s">
        <v>892</v>
      </c>
      <c r="H99" s="442" t="s">
        <v>893</v>
      </c>
      <c r="I99" s="442" t="s">
        <v>2372</v>
      </c>
      <c r="J99" s="442" t="s">
        <v>2373</v>
      </c>
      <c r="K99" s="442" t="s">
        <v>2232</v>
      </c>
      <c r="L99" s="444" t="s">
        <v>2233</v>
      </c>
      <c r="M99" s="444" t="s">
        <v>2234</v>
      </c>
      <c r="N99" s="442" t="s">
        <v>1804</v>
      </c>
      <c r="O99" s="442" t="s">
        <v>2117</v>
      </c>
      <c r="P99" s="444" t="s">
        <v>2118</v>
      </c>
      <c r="Q99" s="356" t="s">
        <v>1822</v>
      </c>
      <c r="R99" s="442" t="s">
        <v>1796</v>
      </c>
      <c r="S99" s="442" t="s">
        <v>2094</v>
      </c>
      <c r="T99" s="442" t="s">
        <v>2374</v>
      </c>
      <c r="U99" s="442" t="s">
        <v>2184</v>
      </c>
      <c r="V99" s="442" t="s">
        <v>2222</v>
      </c>
      <c r="W99" s="442" t="s">
        <v>2223</v>
      </c>
      <c r="X99" s="442" t="s">
        <v>2141</v>
      </c>
      <c r="Y99" s="442" t="s">
        <v>1804</v>
      </c>
      <c r="Z99" s="442" t="s">
        <v>1804</v>
      </c>
      <c r="AA99" s="442" t="s">
        <v>1804</v>
      </c>
      <c r="AB99" s="442" t="s">
        <v>1804</v>
      </c>
      <c r="AC99" s="442" t="s">
        <v>1804</v>
      </c>
      <c r="AD99" s="442" t="s">
        <v>1804</v>
      </c>
      <c r="AE99" s="442"/>
      <c r="AF99" s="386"/>
      <c r="BA99" s="356" t="s">
        <v>740</v>
      </c>
      <c r="BB99" s="546" t="s">
        <v>2142</v>
      </c>
      <c r="BC99" s="546">
        <v>1</v>
      </c>
      <c r="BD99" s="546">
        <v>5</v>
      </c>
      <c r="BE99" s="356" t="s">
        <v>145</v>
      </c>
      <c r="BF99" s="421" t="s">
        <v>1807</v>
      </c>
    </row>
    <row r="100" spans="1:58" ht="90">
      <c r="A100" s="356" t="s">
        <v>2375</v>
      </c>
      <c r="B100" s="356"/>
      <c r="C100" s="356"/>
      <c r="D100" s="356"/>
      <c r="E100" s="356" t="s">
        <v>24</v>
      </c>
      <c r="F100" s="442" t="s">
        <v>894</v>
      </c>
      <c r="G100" s="443" t="s">
        <v>895</v>
      </c>
      <c r="H100" s="442" t="s">
        <v>896</v>
      </c>
      <c r="I100" s="442" t="s">
        <v>2376</v>
      </c>
      <c r="J100" s="442" t="s">
        <v>2377</v>
      </c>
      <c r="K100" s="442" t="s">
        <v>2232</v>
      </c>
      <c r="L100" s="444" t="s">
        <v>2233</v>
      </c>
      <c r="M100" s="444" t="s">
        <v>2234</v>
      </c>
      <c r="N100" s="442" t="s">
        <v>1804</v>
      </c>
      <c r="O100" s="442" t="s">
        <v>2117</v>
      </c>
      <c r="P100" s="444" t="s">
        <v>2118</v>
      </c>
      <c r="Q100" s="356" t="s">
        <v>1822</v>
      </c>
      <c r="R100" s="442" t="s">
        <v>1796</v>
      </c>
      <c r="S100" s="442" t="s">
        <v>2094</v>
      </c>
      <c r="T100" s="442" t="s">
        <v>2374</v>
      </c>
      <c r="U100" s="442" t="s">
        <v>2184</v>
      </c>
      <c r="V100" s="442" t="s">
        <v>2222</v>
      </c>
      <c r="W100" s="442" t="s">
        <v>2223</v>
      </c>
      <c r="X100" s="442" t="s">
        <v>2141</v>
      </c>
      <c r="Y100" s="442" t="s">
        <v>1804</v>
      </c>
      <c r="Z100" s="442" t="s">
        <v>1804</v>
      </c>
      <c r="AA100" s="442" t="s">
        <v>1804</v>
      </c>
      <c r="AB100" s="442" t="s">
        <v>1804</v>
      </c>
      <c r="AC100" s="442" t="s">
        <v>1804</v>
      </c>
      <c r="AD100" s="442" t="s">
        <v>1804</v>
      </c>
      <c r="AE100" s="442"/>
      <c r="AF100" s="386"/>
      <c r="BA100" s="356" t="s">
        <v>740</v>
      </c>
      <c r="BB100" s="546" t="s">
        <v>2142</v>
      </c>
      <c r="BC100" s="546">
        <v>1</v>
      </c>
      <c r="BD100" s="546">
        <v>5</v>
      </c>
      <c r="BE100" s="356" t="s">
        <v>145</v>
      </c>
      <c r="BF100" s="421" t="s">
        <v>1807</v>
      </c>
    </row>
    <row r="101" spans="1:58" ht="90">
      <c r="A101" s="356" t="s">
        <v>2378</v>
      </c>
      <c r="B101" s="356"/>
      <c r="C101" s="356"/>
      <c r="D101" s="356"/>
      <c r="E101" s="356" t="s">
        <v>24</v>
      </c>
      <c r="F101" s="442" t="s">
        <v>2379</v>
      </c>
      <c r="G101" s="443" t="s">
        <v>898</v>
      </c>
      <c r="H101" s="442" t="s">
        <v>899</v>
      </c>
      <c r="I101" s="447" t="s">
        <v>2380</v>
      </c>
      <c r="J101" s="447" t="s">
        <v>2381</v>
      </c>
      <c r="K101" s="442" t="s">
        <v>2232</v>
      </c>
      <c r="L101" s="444" t="s">
        <v>2233</v>
      </c>
      <c r="M101" s="444" t="s">
        <v>2234</v>
      </c>
      <c r="N101" s="442" t="s">
        <v>1804</v>
      </c>
      <c r="O101" s="442" t="s">
        <v>2117</v>
      </c>
      <c r="P101" s="444" t="s">
        <v>2118</v>
      </c>
      <c r="Q101" s="356" t="s">
        <v>1822</v>
      </c>
      <c r="R101" s="442" t="s">
        <v>1796</v>
      </c>
      <c r="S101" s="442" t="s">
        <v>2094</v>
      </c>
      <c r="T101" s="442" t="s">
        <v>2374</v>
      </c>
      <c r="U101" s="442" t="s">
        <v>2184</v>
      </c>
      <c r="V101" s="442" t="s">
        <v>2222</v>
      </c>
      <c r="W101" s="442" t="s">
        <v>2223</v>
      </c>
      <c r="X101" s="442" t="s">
        <v>2141</v>
      </c>
      <c r="Y101" s="442" t="s">
        <v>1804</v>
      </c>
      <c r="Z101" s="442" t="s">
        <v>1804</v>
      </c>
      <c r="AA101" s="442" t="s">
        <v>1804</v>
      </c>
      <c r="AB101" s="442" t="s">
        <v>1804</v>
      </c>
      <c r="AC101" s="442" t="s">
        <v>1804</v>
      </c>
      <c r="AD101" s="442" t="s">
        <v>1804</v>
      </c>
      <c r="AE101" s="442"/>
      <c r="AF101" s="386"/>
      <c r="BA101" s="356" t="s">
        <v>740</v>
      </c>
      <c r="BB101" s="546" t="s">
        <v>2142</v>
      </c>
      <c r="BC101" s="546">
        <v>1</v>
      </c>
      <c r="BD101" s="546">
        <v>5</v>
      </c>
      <c r="BE101" s="356" t="s">
        <v>145</v>
      </c>
      <c r="BF101" s="421" t="s">
        <v>1807</v>
      </c>
    </row>
    <row r="102" spans="1:58" ht="75">
      <c r="A102" s="356" t="s">
        <v>2382</v>
      </c>
      <c r="B102" s="356"/>
      <c r="C102" s="356"/>
      <c r="D102" s="356"/>
      <c r="E102" s="356" t="s">
        <v>24</v>
      </c>
      <c r="F102" s="442" t="s">
        <v>900</v>
      </c>
      <c r="G102" s="443" t="s">
        <v>901</v>
      </c>
      <c r="H102" s="442" t="s">
        <v>902</v>
      </c>
      <c r="I102" s="447" t="s">
        <v>2383</v>
      </c>
      <c r="J102" s="447" t="s">
        <v>2384</v>
      </c>
      <c r="K102" s="442" t="s">
        <v>2232</v>
      </c>
      <c r="L102" s="444" t="s">
        <v>2233</v>
      </c>
      <c r="M102" s="444" t="s">
        <v>2234</v>
      </c>
      <c r="N102" s="442" t="s">
        <v>1804</v>
      </c>
      <c r="O102" s="442" t="s">
        <v>2117</v>
      </c>
      <c r="P102" s="444" t="s">
        <v>2118</v>
      </c>
      <c r="Q102" s="356" t="s">
        <v>1822</v>
      </c>
      <c r="R102" s="442" t="s">
        <v>1796</v>
      </c>
      <c r="S102" s="442" t="s">
        <v>2094</v>
      </c>
      <c r="T102" s="442" t="s">
        <v>2374</v>
      </c>
      <c r="U102" s="442" t="s">
        <v>2184</v>
      </c>
      <c r="V102" s="442" t="s">
        <v>2222</v>
      </c>
      <c r="W102" s="442" t="s">
        <v>2223</v>
      </c>
      <c r="X102" s="442" t="s">
        <v>2141</v>
      </c>
      <c r="Y102" s="442" t="s">
        <v>1804</v>
      </c>
      <c r="Z102" s="442" t="s">
        <v>1804</v>
      </c>
      <c r="AA102" s="442" t="s">
        <v>1804</v>
      </c>
      <c r="AB102" s="442" t="s">
        <v>1804</v>
      </c>
      <c r="AC102" s="442" t="s">
        <v>1804</v>
      </c>
      <c r="AD102" s="442" t="s">
        <v>1804</v>
      </c>
      <c r="AE102" s="442"/>
      <c r="AF102" s="386"/>
      <c r="BA102" s="356" t="s">
        <v>740</v>
      </c>
      <c r="BB102" s="546" t="s">
        <v>2142</v>
      </c>
      <c r="BC102" s="546">
        <v>1</v>
      </c>
      <c r="BD102" s="546">
        <v>5</v>
      </c>
      <c r="BE102" s="356" t="s">
        <v>145</v>
      </c>
      <c r="BF102" s="421" t="s">
        <v>1807</v>
      </c>
    </row>
    <row r="103" spans="1:58" ht="90">
      <c r="A103" s="356" t="s">
        <v>2385</v>
      </c>
      <c r="B103" s="356"/>
      <c r="C103" s="356"/>
      <c r="D103" s="356"/>
      <c r="E103" s="356" t="s">
        <v>24</v>
      </c>
      <c r="F103" s="442" t="s">
        <v>903</v>
      </c>
      <c r="G103" s="443" t="s">
        <v>904</v>
      </c>
      <c r="H103" s="442" t="s">
        <v>905</v>
      </c>
      <c r="I103" s="442" t="s">
        <v>2386</v>
      </c>
      <c r="J103" s="442" t="s">
        <v>2387</v>
      </c>
      <c r="K103" s="442" t="s">
        <v>2232</v>
      </c>
      <c r="L103" s="444" t="s">
        <v>2233</v>
      </c>
      <c r="M103" s="444" t="s">
        <v>2234</v>
      </c>
      <c r="N103" s="442" t="s">
        <v>1804</v>
      </c>
      <c r="O103" s="442" t="s">
        <v>2117</v>
      </c>
      <c r="P103" s="444" t="s">
        <v>2118</v>
      </c>
      <c r="Q103" s="356" t="s">
        <v>1822</v>
      </c>
      <c r="R103" s="442" t="s">
        <v>1796</v>
      </c>
      <c r="S103" s="442" t="s">
        <v>2094</v>
      </c>
      <c r="T103" s="442" t="s">
        <v>2374</v>
      </c>
      <c r="U103" s="442" t="s">
        <v>2184</v>
      </c>
      <c r="V103" s="442" t="s">
        <v>2222</v>
      </c>
      <c r="W103" s="442" t="s">
        <v>2223</v>
      </c>
      <c r="X103" s="442" t="s">
        <v>2141</v>
      </c>
      <c r="Y103" s="442" t="s">
        <v>1804</v>
      </c>
      <c r="Z103" s="442" t="s">
        <v>1804</v>
      </c>
      <c r="AA103" s="442" t="s">
        <v>1804</v>
      </c>
      <c r="AB103" s="442" t="s">
        <v>1804</v>
      </c>
      <c r="AC103" s="442" t="s">
        <v>1804</v>
      </c>
      <c r="AD103" s="442" t="s">
        <v>1804</v>
      </c>
      <c r="AE103" s="442"/>
      <c r="AF103" s="386"/>
      <c r="BA103" s="356" t="s">
        <v>740</v>
      </c>
      <c r="BB103" s="546" t="s">
        <v>2142</v>
      </c>
      <c r="BC103" s="546">
        <v>1</v>
      </c>
      <c r="BD103" s="546">
        <v>5</v>
      </c>
      <c r="BE103" s="356" t="s">
        <v>145</v>
      </c>
      <c r="BF103" s="421" t="s">
        <v>1807</v>
      </c>
    </row>
    <row r="104" spans="1:58" ht="90">
      <c r="A104" s="356" t="s">
        <v>2388</v>
      </c>
      <c r="B104" s="356"/>
      <c r="C104" s="356"/>
      <c r="D104" s="356"/>
      <c r="E104" s="356" t="s">
        <v>24</v>
      </c>
      <c r="F104" s="442" t="s">
        <v>906</v>
      </c>
      <c r="G104" s="443" t="s">
        <v>907</v>
      </c>
      <c r="H104" s="442" t="s">
        <v>908</v>
      </c>
      <c r="I104" s="442" t="s">
        <v>2389</v>
      </c>
      <c r="J104" s="442" t="s">
        <v>2390</v>
      </c>
      <c r="K104" s="442" t="s">
        <v>2232</v>
      </c>
      <c r="L104" s="444" t="s">
        <v>2233</v>
      </c>
      <c r="M104" s="444" t="s">
        <v>2234</v>
      </c>
      <c r="N104" s="442" t="s">
        <v>1804</v>
      </c>
      <c r="O104" s="442" t="s">
        <v>2117</v>
      </c>
      <c r="P104" s="444" t="s">
        <v>2118</v>
      </c>
      <c r="Q104" s="356" t="s">
        <v>1822</v>
      </c>
      <c r="R104" s="442" t="s">
        <v>1796</v>
      </c>
      <c r="S104" s="442" t="s">
        <v>2094</v>
      </c>
      <c r="T104" s="442" t="s">
        <v>2374</v>
      </c>
      <c r="U104" s="442" t="s">
        <v>2184</v>
      </c>
      <c r="V104" s="442" t="s">
        <v>2222</v>
      </c>
      <c r="W104" s="442" t="s">
        <v>2223</v>
      </c>
      <c r="X104" s="442" t="s">
        <v>2141</v>
      </c>
      <c r="Y104" s="442" t="s">
        <v>1804</v>
      </c>
      <c r="Z104" s="442" t="s">
        <v>1804</v>
      </c>
      <c r="AA104" s="442" t="s">
        <v>1804</v>
      </c>
      <c r="AB104" s="442" t="s">
        <v>1804</v>
      </c>
      <c r="AC104" s="442" t="s">
        <v>1804</v>
      </c>
      <c r="AD104" s="442" t="s">
        <v>1804</v>
      </c>
      <c r="AE104" s="442"/>
      <c r="AF104" s="386"/>
      <c r="BA104" s="356" t="s">
        <v>740</v>
      </c>
      <c r="BB104" s="546" t="s">
        <v>2142</v>
      </c>
      <c r="BC104" s="546">
        <v>1</v>
      </c>
      <c r="BD104" s="546">
        <v>5</v>
      </c>
      <c r="BE104" s="356" t="s">
        <v>145</v>
      </c>
      <c r="BF104" s="421" t="s">
        <v>1807</v>
      </c>
    </row>
    <row r="105" spans="1:58" s="541" customFormat="1" ht="90">
      <c r="A105" s="557" t="s">
        <v>2391</v>
      </c>
      <c r="B105" s="557"/>
      <c r="C105" s="557"/>
      <c r="D105" s="557"/>
      <c r="E105" s="557" t="s">
        <v>24</v>
      </c>
      <c r="F105" s="564" t="s">
        <v>909</v>
      </c>
      <c r="G105" s="571" t="s">
        <v>910</v>
      </c>
      <c r="H105" s="564" t="s">
        <v>911</v>
      </c>
      <c r="I105" s="564" t="s">
        <v>2392</v>
      </c>
      <c r="J105" s="564" t="s">
        <v>2393</v>
      </c>
      <c r="K105" s="564" t="s">
        <v>2232</v>
      </c>
      <c r="L105" s="574" t="s">
        <v>2233</v>
      </c>
      <c r="M105" s="574" t="s">
        <v>2234</v>
      </c>
      <c r="N105" s="564" t="s">
        <v>1804</v>
      </c>
      <c r="O105" s="564" t="s">
        <v>2117</v>
      </c>
      <c r="P105" s="574" t="s">
        <v>2118</v>
      </c>
      <c r="Q105" s="557" t="s">
        <v>1822</v>
      </c>
      <c r="R105" s="564" t="s">
        <v>1796</v>
      </c>
      <c r="S105" s="564" t="s">
        <v>2094</v>
      </c>
      <c r="T105" s="564" t="s">
        <v>2374</v>
      </c>
      <c r="U105" s="564" t="s">
        <v>2184</v>
      </c>
      <c r="V105" s="564" t="s">
        <v>2222</v>
      </c>
      <c r="W105" s="564" t="s">
        <v>2223</v>
      </c>
      <c r="X105" s="564" t="s">
        <v>2141</v>
      </c>
      <c r="Y105" s="564" t="s">
        <v>1804</v>
      </c>
      <c r="Z105" s="564" t="s">
        <v>1804</v>
      </c>
      <c r="AA105" s="564" t="s">
        <v>1804</v>
      </c>
      <c r="AB105" s="564" t="s">
        <v>1804</v>
      </c>
      <c r="AC105" s="564" t="s">
        <v>1804</v>
      </c>
      <c r="AD105" s="564" t="s">
        <v>1804</v>
      </c>
      <c r="AE105" s="564"/>
      <c r="AF105" s="565"/>
      <c r="BA105" s="557" t="s">
        <v>740</v>
      </c>
      <c r="BB105" s="587" t="s">
        <v>2142</v>
      </c>
      <c r="BC105" s="587">
        <v>1</v>
      </c>
      <c r="BD105" s="587">
        <v>5</v>
      </c>
      <c r="BE105" s="557" t="s">
        <v>145</v>
      </c>
      <c r="BF105" s="568" t="s">
        <v>1807</v>
      </c>
    </row>
    <row r="106" spans="1:58" s="541" customFormat="1" ht="60">
      <c r="A106" s="557" t="s">
        <v>2394</v>
      </c>
      <c r="B106" s="557"/>
      <c r="C106" s="557"/>
      <c r="D106" s="557"/>
      <c r="E106" s="557" t="s">
        <v>24</v>
      </c>
      <c r="F106" s="564" t="s">
        <v>2395</v>
      </c>
      <c r="G106" s="571" t="s">
        <v>913</v>
      </c>
      <c r="H106" s="564" t="s">
        <v>914</v>
      </c>
      <c r="I106" s="564" t="s">
        <v>2396</v>
      </c>
      <c r="J106" s="564" t="s">
        <v>2397</v>
      </c>
      <c r="K106" s="564" t="s">
        <v>2232</v>
      </c>
      <c r="L106" s="574" t="s">
        <v>2233</v>
      </c>
      <c r="M106" s="574" t="s">
        <v>2234</v>
      </c>
      <c r="N106" s="564" t="s">
        <v>1804</v>
      </c>
      <c r="O106" s="564" t="s">
        <v>2117</v>
      </c>
      <c r="P106" s="574" t="s">
        <v>2118</v>
      </c>
      <c r="Q106" s="557" t="s">
        <v>1822</v>
      </c>
      <c r="R106" s="564" t="s">
        <v>1796</v>
      </c>
      <c r="S106" s="564" t="s">
        <v>2094</v>
      </c>
      <c r="T106" s="564" t="s">
        <v>2398</v>
      </c>
      <c r="U106" s="564" t="s">
        <v>2184</v>
      </c>
      <c r="V106" s="564" t="s">
        <v>2222</v>
      </c>
      <c r="W106" s="564" t="s">
        <v>2223</v>
      </c>
      <c r="X106" s="564" t="s">
        <v>2141</v>
      </c>
      <c r="Y106" s="564" t="s">
        <v>1804</v>
      </c>
      <c r="Z106" s="564" t="s">
        <v>1804</v>
      </c>
      <c r="AA106" s="564" t="s">
        <v>1804</v>
      </c>
      <c r="AB106" s="564" t="s">
        <v>1804</v>
      </c>
      <c r="AC106" s="564" t="s">
        <v>1804</v>
      </c>
      <c r="AD106" s="564" t="s">
        <v>1804</v>
      </c>
      <c r="AE106" s="564"/>
      <c r="AF106" s="565"/>
      <c r="BA106" s="557" t="s">
        <v>740</v>
      </c>
      <c r="BB106" s="587" t="s">
        <v>2142</v>
      </c>
      <c r="BC106" s="587">
        <v>1</v>
      </c>
      <c r="BD106" s="587">
        <v>5</v>
      </c>
      <c r="BE106" s="557" t="s">
        <v>145</v>
      </c>
      <c r="BF106" s="568" t="s">
        <v>1807</v>
      </c>
    </row>
    <row r="107" spans="1:58" s="541" customFormat="1" ht="60">
      <c r="A107" s="557" t="s">
        <v>2399</v>
      </c>
      <c r="B107" s="557"/>
      <c r="C107" s="557"/>
      <c r="D107" s="557"/>
      <c r="E107" s="557" t="s">
        <v>24</v>
      </c>
      <c r="F107" s="564" t="s">
        <v>915</v>
      </c>
      <c r="G107" s="571" t="s">
        <v>916</v>
      </c>
      <c r="H107" s="564" t="s">
        <v>917</v>
      </c>
      <c r="I107" s="564" t="s">
        <v>2400</v>
      </c>
      <c r="J107" s="588" t="s">
        <v>2401</v>
      </c>
      <c r="K107" s="564" t="s">
        <v>2232</v>
      </c>
      <c r="L107" s="574" t="s">
        <v>2233</v>
      </c>
      <c r="M107" s="574" t="s">
        <v>2234</v>
      </c>
      <c r="N107" s="564" t="s">
        <v>1804</v>
      </c>
      <c r="O107" s="564" t="s">
        <v>2117</v>
      </c>
      <c r="P107" s="574" t="s">
        <v>2118</v>
      </c>
      <c r="Q107" s="557" t="s">
        <v>1822</v>
      </c>
      <c r="R107" s="564" t="s">
        <v>1796</v>
      </c>
      <c r="S107" s="564" t="s">
        <v>2094</v>
      </c>
      <c r="T107" s="564" t="s">
        <v>2402</v>
      </c>
      <c r="U107" s="564" t="s">
        <v>2184</v>
      </c>
      <c r="V107" s="564" t="s">
        <v>2222</v>
      </c>
      <c r="W107" s="564" t="s">
        <v>2223</v>
      </c>
      <c r="X107" s="564" t="s">
        <v>2141</v>
      </c>
      <c r="Y107" s="564" t="s">
        <v>1804</v>
      </c>
      <c r="Z107" s="564" t="s">
        <v>1804</v>
      </c>
      <c r="AA107" s="564" t="s">
        <v>1804</v>
      </c>
      <c r="AB107" s="564" t="s">
        <v>1804</v>
      </c>
      <c r="AC107" s="564" t="s">
        <v>1804</v>
      </c>
      <c r="AD107" s="564" t="s">
        <v>1804</v>
      </c>
      <c r="AE107" s="564"/>
      <c r="AF107" s="565"/>
      <c r="BA107" s="557" t="s">
        <v>740</v>
      </c>
      <c r="BB107" s="587" t="s">
        <v>2142</v>
      </c>
      <c r="BC107" s="587">
        <v>1</v>
      </c>
      <c r="BD107" s="587">
        <v>5</v>
      </c>
      <c r="BE107" s="557" t="s">
        <v>145</v>
      </c>
      <c r="BF107" s="568" t="s">
        <v>1807</v>
      </c>
    </row>
    <row r="108" spans="1:58" s="541" customFormat="1" ht="60">
      <c r="A108" s="557" t="s">
        <v>2403</v>
      </c>
      <c r="B108" s="557"/>
      <c r="C108" s="557"/>
      <c r="D108" s="557"/>
      <c r="E108" s="557" t="s">
        <v>24</v>
      </c>
      <c r="F108" s="564" t="s">
        <v>918</v>
      </c>
      <c r="G108" s="571" t="s">
        <v>919</v>
      </c>
      <c r="H108" s="564" t="s">
        <v>920</v>
      </c>
      <c r="I108" s="589" t="s">
        <v>2404</v>
      </c>
      <c r="J108" s="573" t="s">
        <v>2405</v>
      </c>
      <c r="K108" s="564" t="s">
        <v>2232</v>
      </c>
      <c r="L108" s="574" t="s">
        <v>2233</v>
      </c>
      <c r="M108" s="574" t="s">
        <v>2234</v>
      </c>
      <c r="N108" s="564" t="s">
        <v>1804</v>
      </c>
      <c r="O108" s="564" t="s">
        <v>2117</v>
      </c>
      <c r="P108" s="574" t="s">
        <v>2118</v>
      </c>
      <c r="Q108" s="557" t="s">
        <v>1822</v>
      </c>
      <c r="R108" s="564" t="s">
        <v>1796</v>
      </c>
      <c r="S108" s="564" t="s">
        <v>2094</v>
      </c>
      <c r="T108" s="564" t="s">
        <v>2406</v>
      </c>
      <c r="U108" s="564" t="s">
        <v>2184</v>
      </c>
      <c r="V108" s="564" t="s">
        <v>2222</v>
      </c>
      <c r="W108" s="564" t="s">
        <v>2223</v>
      </c>
      <c r="X108" s="564" t="s">
        <v>2141</v>
      </c>
      <c r="Y108" s="564" t="s">
        <v>1804</v>
      </c>
      <c r="Z108" s="564" t="s">
        <v>1804</v>
      </c>
      <c r="AA108" s="564" t="s">
        <v>1804</v>
      </c>
      <c r="AB108" s="564" t="s">
        <v>1804</v>
      </c>
      <c r="AC108" s="564" t="s">
        <v>1804</v>
      </c>
      <c r="AD108" s="564" t="s">
        <v>1804</v>
      </c>
      <c r="AE108" s="564"/>
      <c r="AF108" s="565"/>
      <c r="BA108" s="557" t="s">
        <v>740</v>
      </c>
      <c r="BB108" s="587" t="s">
        <v>2142</v>
      </c>
      <c r="BC108" s="587">
        <v>1</v>
      </c>
      <c r="BD108" s="587">
        <v>5</v>
      </c>
      <c r="BE108" s="557" t="s">
        <v>145</v>
      </c>
      <c r="BF108" s="568" t="s">
        <v>1807</v>
      </c>
    </row>
    <row r="109" spans="1:58" s="541" customFormat="1" ht="60">
      <c r="A109" s="557" t="s">
        <v>2407</v>
      </c>
      <c r="B109" s="557"/>
      <c r="C109" s="557"/>
      <c r="D109" s="557"/>
      <c r="E109" s="557" t="s">
        <v>24</v>
      </c>
      <c r="F109" s="564" t="s">
        <v>921</v>
      </c>
      <c r="G109" s="571" t="s">
        <v>922</v>
      </c>
      <c r="H109" s="564" t="s">
        <v>923</v>
      </c>
      <c r="I109" s="564" t="s">
        <v>2408</v>
      </c>
      <c r="J109" s="564" t="s">
        <v>2409</v>
      </c>
      <c r="K109" s="564" t="s">
        <v>2410</v>
      </c>
      <c r="L109" s="564" t="s">
        <v>2411</v>
      </c>
      <c r="M109" s="564" t="s">
        <v>1791</v>
      </c>
      <c r="N109" s="564" t="s">
        <v>1804</v>
      </c>
      <c r="O109" s="564" t="s">
        <v>1804</v>
      </c>
      <c r="P109" s="564" t="s">
        <v>1804</v>
      </c>
      <c r="Q109" s="557" t="s">
        <v>1822</v>
      </c>
      <c r="R109" s="564" t="s">
        <v>1796</v>
      </c>
      <c r="S109" s="564" t="s">
        <v>2094</v>
      </c>
      <c r="T109" s="564" t="s">
        <v>2412</v>
      </c>
      <c r="U109" s="564" t="s">
        <v>2096</v>
      </c>
      <c r="V109" s="564" t="s">
        <v>2413</v>
      </c>
      <c r="W109" s="564" t="s">
        <v>2414</v>
      </c>
      <c r="X109" s="564" t="s">
        <v>2096</v>
      </c>
      <c r="Y109" s="564" t="s">
        <v>2415</v>
      </c>
      <c r="Z109" s="564" t="s">
        <v>2415</v>
      </c>
      <c r="AA109" s="564" t="s">
        <v>2414</v>
      </c>
      <c r="AB109" s="564" t="s">
        <v>2414</v>
      </c>
      <c r="AC109" s="564" t="s">
        <v>2416</v>
      </c>
      <c r="AD109" s="564" t="s">
        <v>1804</v>
      </c>
      <c r="AE109" s="564" t="s">
        <v>2417</v>
      </c>
      <c r="AF109" s="557" t="s">
        <v>211</v>
      </c>
      <c r="BA109" s="557" t="s">
        <v>925</v>
      </c>
      <c r="BB109" s="567" t="s">
        <v>1805</v>
      </c>
      <c r="BC109" s="567" t="s">
        <v>33</v>
      </c>
      <c r="BD109" s="567" t="s">
        <v>1806</v>
      </c>
      <c r="BE109" s="557" t="s">
        <v>145</v>
      </c>
      <c r="BF109" s="568" t="s">
        <v>1807</v>
      </c>
    </row>
    <row r="110" spans="1:58" s="541" customFormat="1" ht="60">
      <c r="A110" s="557" t="s">
        <v>2418</v>
      </c>
      <c r="B110" s="557"/>
      <c r="C110" s="557"/>
      <c r="D110" s="557"/>
      <c r="E110" s="557" t="s">
        <v>24</v>
      </c>
      <c r="F110" s="564" t="s">
        <v>926</v>
      </c>
      <c r="G110" s="571" t="s">
        <v>927</v>
      </c>
      <c r="H110" s="564" t="s">
        <v>928</v>
      </c>
      <c r="I110" s="590" t="s">
        <v>2419</v>
      </c>
      <c r="J110" s="564" t="s">
        <v>2420</v>
      </c>
      <c r="K110" s="564" t="s">
        <v>2410</v>
      </c>
      <c r="L110" s="564" t="s">
        <v>2411</v>
      </c>
      <c r="M110" s="564" t="s">
        <v>1791</v>
      </c>
      <c r="N110" s="591" t="s">
        <v>1804</v>
      </c>
      <c r="O110" s="564" t="s">
        <v>1804</v>
      </c>
      <c r="P110" s="564" t="s">
        <v>1804</v>
      </c>
      <c r="Q110" s="557" t="s">
        <v>1822</v>
      </c>
      <c r="R110" s="564" t="s">
        <v>1796</v>
      </c>
      <c r="S110" s="564" t="s">
        <v>2094</v>
      </c>
      <c r="T110" s="564" t="s">
        <v>2412</v>
      </c>
      <c r="U110" s="564" t="s">
        <v>2421</v>
      </c>
      <c r="V110" s="564" t="s">
        <v>2413</v>
      </c>
      <c r="W110" s="564" t="s">
        <v>2414</v>
      </c>
      <c r="X110" s="564" t="s">
        <v>2096</v>
      </c>
      <c r="Y110" s="564" t="s">
        <v>2415</v>
      </c>
      <c r="Z110" s="564" t="s">
        <v>2415</v>
      </c>
      <c r="AA110" s="564" t="s">
        <v>2414</v>
      </c>
      <c r="AB110" s="564" t="s">
        <v>2414</v>
      </c>
      <c r="AC110" s="564" t="s">
        <v>2416</v>
      </c>
      <c r="AD110" s="564" t="s">
        <v>1804</v>
      </c>
      <c r="AE110" s="564" t="s">
        <v>2422</v>
      </c>
      <c r="AF110" s="565"/>
      <c r="BA110" s="557" t="s">
        <v>925</v>
      </c>
      <c r="BB110" s="567" t="s">
        <v>1805</v>
      </c>
      <c r="BC110" s="567" t="s">
        <v>33</v>
      </c>
      <c r="BD110" s="567" t="s">
        <v>1806</v>
      </c>
      <c r="BE110" s="557" t="s">
        <v>145</v>
      </c>
      <c r="BF110" s="568" t="s">
        <v>1807</v>
      </c>
    </row>
    <row r="111" spans="1:58" s="541" customFormat="1" ht="60">
      <c r="A111" s="557" t="s">
        <v>2423</v>
      </c>
      <c r="B111" s="557"/>
      <c r="C111" s="557"/>
      <c r="D111" s="557"/>
      <c r="E111" s="557" t="s">
        <v>24</v>
      </c>
      <c r="F111" s="564" t="s">
        <v>929</v>
      </c>
      <c r="G111" s="571" t="s">
        <v>930</v>
      </c>
      <c r="H111" s="564" t="s">
        <v>931</v>
      </c>
      <c r="I111" s="564" t="s">
        <v>2424</v>
      </c>
      <c r="J111" s="564" t="s">
        <v>2425</v>
      </c>
      <c r="K111" s="564" t="s">
        <v>2410</v>
      </c>
      <c r="L111" s="564" t="s">
        <v>2411</v>
      </c>
      <c r="M111" s="564" t="s">
        <v>1791</v>
      </c>
      <c r="N111" s="564" t="s">
        <v>1804</v>
      </c>
      <c r="O111" s="564" t="s">
        <v>1804</v>
      </c>
      <c r="P111" s="564" t="s">
        <v>1804</v>
      </c>
      <c r="Q111" s="557" t="s">
        <v>1822</v>
      </c>
      <c r="R111" s="564" t="s">
        <v>1796</v>
      </c>
      <c r="S111" s="564" t="s">
        <v>2094</v>
      </c>
      <c r="T111" s="564" t="s">
        <v>2412</v>
      </c>
      <c r="U111" s="564" t="s">
        <v>2096</v>
      </c>
      <c r="V111" s="564" t="s">
        <v>2413</v>
      </c>
      <c r="W111" s="564" t="s">
        <v>2414</v>
      </c>
      <c r="X111" s="564" t="s">
        <v>2096</v>
      </c>
      <c r="Y111" s="564" t="s">
        <v>2415</v>
      </c>
      <c r="Z111" s="564" t="s">
        <v>2415</v>
      </c>
      <c r="AA111" s="564" t="s">
        <v>2414</v>
      </c>
      <c r="AB111" s="564" t="s">
        <v>2414</v>
      </c>
      <c r="AC111" s="564" t="s">
        <v>2416</v>
      </c>
      <c r="AD111" s="564" t="s">
        <v>1804</v>
      </c>
      <c r="AE111" s="564" t="s">
        <v>2426</v>
      </c>
      <c r="AF111" s="565"/>
      <c r="BA111" s="557" t="s">
        <v>925</v>
      </c>
      <c r="BB111" s="567" t="s">
        <v>1805</v>
      </c>
      <c r="BC111" s="567" t="s">
        <v>33</v>
      </c>
      <c r="BD111" s="567" t="s">
        <v>1806</v>
      </c>
      <c r="BE111" s="557" t="s">
        <v>145</v>
      </c>
      <c r="BF111" s="568" t="s">
        <v>1807</v>
      </c>
    </row>
    <row r="112" spans="1:58" s="541" customFormat="1" ht="60">
      <c r="A112" s="557" t="s">
        <v>2427</v>
      </c>
      <c r="B112" s="557"/>
      <c r="C112" s="557"/>
      <c r="D112" s="557"/>
      <c r="E112" s="557" t="s">
        <v>24</v>
      </c>
      <c r="F112" s="564" t="s">
        <v>932</v>
      </c>
      <c r="G112" s="571" t="s">
        <v>933</v>
      </c>
      <c r="H112" s="564" t="s">
        <v>934</v>
      </c>
      <c r="I112" s="564" t="s">
        <v>2428</v>
      </c>
      <c r="J112" s="564" t="s">
        <v>2429</v>
      </c>
      <c r="K112" s="564" t="s">
        <v>2410</v>
      </c>
      <c r="L112" s="564" t="s">
        <v>2411</v>
      </c>
      <c r="M112" s="564" t="s">
        <v>1791</v>
      </c>
      <c r="N112" s="564" t="s">
        <v>1804</v>
      </c>
      <c r="O112" s="564" t="s">
        <v>1804</v>
      </c>
      <c r="P112" s="564" t="s">
        <v>1804</v>
      </c>
      <c r="Q112" s="557" t="s">
        <v>1822</v>
      </c>
      <c r="R112" s="564" t="s">
        <v>1796</v>
      </c>
      <c r="S112" s="564" t="s">
        <v>2094</v>
      </c>
      <c r="T112" s="564" t="s">
        <v>2412</v>
      </c>
      <c r="U112" s="564" t="s">
        <v>2096</v>
      </c>
      <c r="V112" s="564" t="s">
        <v>2413</v>
      </c>
      <c r="W112" s="564" t="s">
        <v>2414</v>
      </c>
      <c r="X112" s="564" t="s">
        <v>2096</v>
      </c>
      <c r="Y112" s="564" t="s">
        <v>2415</v>
      </c>
      <c r="Z112" s="564" t="s">
        <v>2415</v>
      </c>
      <c r="AA112" s="564" t="s">
        <v>2414</v>
      </c>
      <c r="AB112" s="564" t="s">
        <v>2414</v>
      </c>
      <c r="AC112" s="564" t="s">
        <v>2416</v>
      </c>
      <c r="AD112" s="564" t="s">
        <v>1804</v>
      </c>
      <c r="AE112" s="564" t="s">
        <v>2430</v>
      </c>
      <c r="AF112" s="565"/>
      <c r="BA112" s="557" t="s">
        <v>925</v>
      </c>
      <c r="BB112" s="567" t="s">
        <v>1805</v>
      </c>
      <c r="BC112" s="567" t="s">
        <v>33</v>
      </c>
      <c r="BD112" s="567" t="s">
        <v>1806</v>
      </c>
      <c r="BE112" s="557" t="s">
        <v>145</v>
      </c>
      <c r="BF112" s="568" t="s">
        <v>1807</v>
      </c>
    </row>
    <row r="113" spans="1:58" s="541" customFormat="1" ht="60">
      <c r="A113" s="557" t="s">
        <v>2431</v>
      </c>
      <c r="B113" s="557"/>
      <c r="C113" s="557"/>
      <c r="D113" s="557"/>
      <c r="E113" s="557" t="s">
        <v>24</v>
      </c>
      <c r="F113" s="564" t="s">
        <v>935</v>
      </c>
      <c r="G113" s="571" t="s">
        <v>936</v>
      </c>
      <c r="H113" s="564" t="s">
        <v>937</v>
      </c>
      <c r="I113" s="564" t="s">
        <v>2432</v>
      </c>
      <c r="J113" s="564" t="s">
        <v>2433</v>
      </c>
      <c r="K113" s="564" t="s">
        <v>2410</v>
      </c>
      <c r="L113" s="564" t="s">
        <v>2411</v>
      </c>
      <c r="M113" s="564" t="s">
        <v>1791</v>
      </c>
      <c r="N113" s="564" t="s">
        <v>1804</v>
      </c>
      <c r="O113" s="564" t="s">
        <v>1804</v>
      </c>
      <c r="P113" s="564" t="s">
        <v>1804</v>
      </c>
      <c r="Q113" s="557" t="s">
        <v>1822</v>
      </c>
      <c r="R113" s="564" t="s">
        <v>1796</v>
      </c>
      <c r="S113" s="564" t="s">
        <v>2094</v>
      </c>
      <c r="T113" s="564" t="s">
        <v>2412</v>
      </c>
      <c r="U113" s="564" t="s">
        <v>2096</v>
      </c>
      <c r="V113" s="564" t="s">
        <v>2413</v>
      </c>
      <c r="W113" s="564" t="s">
        <v>2414</v>
      </c>
      <c r="X113" s="564" t="s">
        <v>2096</v>
      </c>
      <c r="Y113" s="564" t="s">
        <v>2415</v>
      </c>
      <c r="Z113" s="564" t="s">
        <v>2415</v>
      </c>
      <c r="AA113" s="564" t="s">
        <v>2414</v>
      </c>
      <c r="AB113" s="564" t="s">
        <v>2414</v>
      </c>
      <c r="AC113" s="564" t="s">
        <v>2416</v>
      </c>
      <c r="AD113" s="564" t="s">
        <v>1804</v>
      </c>
      <c r="AE113" s="564" t="s">
        <v>2434</v>
      </c>
      <c r="AF113" s="565"/>
      <c r="BA113" s="557" t="s">
        <v>925</v>
      </c>
      <c r="BB113" s="567" t="s">
        <v>1805</v>
      </c>
      <c r="BC113" s="567" t="s">
        <v>33</v>
      </c>
      <c r="BD113" s="567" t="s">
        <v>1806</v>
      </c>
      <c r="BE113" s="557" t="s">
        <v>145</v>
      </c>
      <c r="BF113" s="568" t="s">
        <v>1807</v>
      </c>
    </row>
    <row r="114" spans="1:58" s="541" customFormat="1" ht="60">
      <c r="A114" s="557" t="s">
        <v>2435</v>
      </c>
      <c r="B114" s="557"/>
      <c r="C114" s="557"/>
      <c r="D114" s="557"/>
      <c r="E114" s="557" t="s">
        <v>24</v>
      </c>
      <c r="F114" s="564" t="s">
        <v>938</v>
      </c>
      <c r="G114" s="571" t="s">
        <v>939</v>
      </c>
      <c r="H114" s="564" t="s">
        <v>940</v>
      </c>
      <c r="I114" s="564" t="s">
        <v>2436</v>
      </c>
      <c r="J114" s="564" t="s">
        <v>2437</v>
      </c>
      <c r="K114" s="564" t="s">
        <v>2410</v>
      </c>
      <c r="L114" s="564" t="s">
        <v>2411</v>
      </c>
      <c r="M114" s="564" t="s">
        <v>1791</v>
      </c>
      <c r="N114" s="564" t="s">
        <v>1804</v>
      </c>
      <c r="O114" s="564" t="s">
        <v>1804</v>
      </c>
      <c r="P114" s="564" t="s">
        <v>1804</v>
      </c>
      <c r="Q114" s="557" t="s">
        <v>1822</v>
      </c>
      <c r="R114" s="564" t="s">
        <v>1796</v>
      </c>
      <c r="S114" s="564" t="s">
        <v>2094</v>
      </c>
      <c r="T114" s="564" t="s">
        <v>2412</v>
      </c>
      <c r="U114" s="564" t="s">
        <v>2096</v>
      </c>
      <c r="V114" s="564" t="s">
        <v>2413</v>
      </c>
      <c r="W114" s="564" t="s">
        <v>2414</v>
      </c>
      <c r="X114" s="564" t="s">
        <v>2096</v>
      </c>
      <c r="Y114" s="564" t="s">
        <v>2415</v>
      </c>
      <c r="Z114" s="564" t="s">
        <v>2415</v>
      </c>
      <c r="AA114" s="564" t="s">
        <v>2414</v>
      </c>
      <c r="AB114" s="564" t="s">
        <v>2414</v>
      </c>
      <c r="AC114" s="564" t="s">
        <v>2416</v>
      </c>
      <c r="AD114" s="564" t="s">
        <v>1804</v>
      </c>
      <c r="AE114" s="564" t="s">
        <v>2438</v>
      </c>
      <c r="AF114" s="565"/>
      <c r="BA114" s="557" t="s">
        <v>925</v>
      </c>
      <c r="BB114" s="567" t="s">
        <v>1805</v>
      </c>
      <c r="BC114" s="567" t="s">
        <v>33</v>
      </c>
      <c r="BD114" s="567" t="s">
        <v>1806</v>
      </c>
      <c r="BE114" s="557" t="s">
        <v>145</v>
      </c>
      <c r="BF114" s="568" t="s">
        <v>1807</v>
      </c>
    </row>
    <row r="115" spans="1:58" s="541" customFormat="1" ht="60">
      <c r="A115" s="557" t="s">
        <v>2439</v>
      </c>
      <c r="B115" s="557"/>
      <c r="C115" s="557"/>
      <c r="D115" s="557"/>
      <c r="E115" s="557" t="s">
        <v>24</v>
      </c>
      <c r="F115" s="564" t="s">
        <v>941</v>
      </c>
      <c r="G115" s="571" t="s">
        <v>942</v>
      </c>
      <c r="H115" s="564" t="s">
        <v>943</v>
      </c>
      <c r="I115" s="564" t="s">
        <v>2440</v>
      </c>
      <c r="J115" s="564" t="s">
        <v>2441</v>
      </c>
      <c r="K115" s="564" t="s">
        <v>2410</v>
      </c>
      <c r="L115" s="564" t="s">
        <v>2411</v>
      </c>
      <c r="M115" s="564" t="s">
        <v>1791</v>
      </c>
      <c r="N115" s="564" t="s">
        <v>1804</v>
      </c>
      <c r="O115" s="564" t="s">
        <v>1804</v>
      </c>
      <c r="P115" s="564" t="s">
        <v>1804</v>
      </c>
      <c r="Q115" s="557" t="s">
        <v>1822</v>
      </c>
      <c r="R115" s="564" t="s">
        <v>1796</v>
      </c>
      <c r="S115" s="564" t="s">
        <v>2094</v>
      </c>
      <c r="T115" s="564" t="s">
        <v>2412</v>
      </c>
      <c r="U115" s="564" t="s">
        <v>2096</v>
      </c>
      <c r="V115" s="564" t="s">
        <v>2413</v>
      </c>
      <c r="W115" s="564" t="s">
        <v>2414</v>
      </c>
      <c r="X115" s="564" t="s">
        <v>2096</v>
      </c>
      <c r="Y115" s="564" t="s">
        <v>2415</v>
      </c>
      <c r="Z115" s="564" t="s">
        <v>2415</v>
      </c>
      <c r="AA115" s="564" t="s">
        <v>2414</v>
      </c>
      <c r="AB115" s="564" t="s">
        <v>2414</v>
      </c>
      <c r="AC115" s="564" t="s">
        <v>2416</v>
      </c>
      <c r="AD115" s="564" t="s">
        <v>1804</v>
      </c>
      <c r="AE115" s="564" t="s">
        <v>2442</v>
      </c>
      <c r="AF115" s="565"/>
      <c r="BA115" s="557" t="s">
        <v>925</v>
      </c>
      <c r="BB115" s="567" t="s">
        <v>1805</v>
      </c>
      <c r="BC115" s="567" t="s">
        <v>33</v>
      </c>
      <c r="BD115" s="567" t="s">
        <v>1806</v>
      </c>
      <c r="BE115" s="557" t="s">
        <v>145</v>
      </c>
      <c r="BF115" s="568" t="s">
        <v>1807</v>
      </c>
    </row>
    <row r="116" spans="1:58" s="541" customFormat="1" ht="31.5">
      <c r="A116" s="557" t="s">
        <v>2443</v>
      </c>
      <c r="B116" s="557"/>
      <c r="C116" s="557"/>
      <c r="D116" s="557"/>
      <c r="E116" s="557" t="s">
        <v>24</v>
      </c>
      <c r="F116" s="564" t="s">
        <v>944</v>
      </c>
      <c r="G116" s="571" t="s">
        <v>945</v>
      </c>
      <c r="H116" s="564" t="s">
        <v>622</v>
      </c>
      <c r="I116" s="564" t="s">
        <v>2444</v>
      </c>
      <c r="J116" s="564" t="s">
        <v>1815</v>
      </c>
      <c r="K116" s="564" t="s">
        <v>2445</v>
      </c>
      <c r="L116" s="564" t="s">
        <v>2446</v>
      </c>
      <c r="M116" s="564" t="s">
        <v>2447</v>
      </c>
      <c r="N116" s="564" t="s">
        <v>1819</v>
      </c>
      <c r="O116" s="572" t="s">
        <v>2448</v>
      </c>
      <c r="P116" s="564" t="s">
        <v>1821</v>
      </c>
      <c r="Q116" s="557" t="s">
        <v>1822</v>
      </c>
      <c r="R116" s="564" t="s">
        <v>1823</v>
      </c>
      <c r="S116" s="564" t="s">
        <v>1824</v>
      </c>
      <c r="T116" s="564" t="s">
        <v>1825</v>
      </c>
      <c r="U116" s="564" t="s">
        <v>1812</v>
      </c>
      <c r="V116" s="564" t="s">
        <v>1825</v>
      </c>
      <c r="W116" s="564" t="s">
        <v>1826</v>
      </c>
      <c r="X116" s="564" t="s">
        <v>1812</v>
      </c>
      <c r="Y116" s="564" t="s">
        <v>1804</v>
      </c>
      <c r="Z116" s="564" t="s">
        <v>1804</v>
      </c>
      <c r="AA116" s="564" t="s">
        <v>1804</v>
      </c>
      <c r="AB116" s="564" t="s">
        <v>1804</v>
      </c>
      <c r="AC116" s="564" t="s">
        <v>1804</v>
      </c>
      <c r="AD116" s="564" t="s">
        <v>1804</v>
      </c>
      <c r="AE116" s="564" t="s">
        <v>2449</v>
      </c>
      <c r="AF116" s="565"/>
      <c r="BA116" s="557" t="s">
        <v>925</v>
      </c>
      <c r="BB116" s="567" t="s">
        <v>1805</v>
      </c>
      <c r="BC116" s="567" t="s">
        <v>33</v>
      </c>
      <c r="BD116" s="567" t="s">
        <v>1806</v>
      </c>
      <c r="BE116" s="557" t="s">
        <v>145</v>
      </c>
      <c r="BF116" s="568" t="s">
        <v>1807</v>
      </c>
    </row>
    <row r="117" spans="1:58" s="541" customFormat="1" ht="31.5">
      <c r="A117" s="557" t="s">
        <v>2450</v>
      </c>
      <c r="B117" s="557"/>
      <c r="C117" s="557"/>
      <c r="D117" s="557"/>
      <c r="E117" s="557" t="s">
        <v>24</v>
      </c>
      <c r="F117" s="564" t="s">
        <v>946</v>
      </c>
      <c r="G117" s="571" t="s">
        <v>947</v>
      </c>
      <c r="H117" s="564" t="s">
        <v>625</v>
      </c>
      <c r="I117" s="564" t="s">
        <v>2451</v>
      </c>
      <c r="J117" s="564" t="s">
        <v>1830</v>
      </c>
      <c r="K117" s="564" t="s">
        <v>1816</v>
      </c>
      <c r="L117" s="564" t="s">
        <v>1817</v>
      </c>
      <c r="M117" s="564" t="s">
        <v>1818</v>
      </c>
      <c r="N117" s="564" t="s">
        <v>1819</v>
      </c>
      <c r="O117" s="572" t="s">
        <v>2452</v>
      </c>
      <c r="P117" s="564" t="s">
        <v>1821</v>
      </c>
      <c r="Q117" s="557" t="s">
        <v>1822</v>
      </c>
      <c r="R117" s="564" t="s">
        <v>1823</v>
      </c>
      <c r="S117" s="564" t="s">
        <v>1824</v>
      </c>
      <c r="T117" s="564" t="s">
        <v>1825</v>
      </c>
      <c r="U117" s="564" t="s">
        <v>1812</v>
      </c>
      <c r="V117" s="564" t="s">
        <v>1831</v>
      </c>
      <c r="W117" s="564" t="s">
        <v>1832</v>
      </c>
      <c r="X117" s="564" t="s">
        <v>1812</v>
      </c>
      <c r="Y117" s="564" t="s">
        <v>1804</v>
      </c>
      <c r="Z117" s="564" t="s">
        <v>1804</v>
      </c>
      <c r="AA117" s="564" t="s">
        <v>1804</v>
      </c>
      <c r="AB117" s="564" t="s">
        <v>1804</v>
      </c>
      <c r="AC117" s="564" t="s">
        <v>1804</v>
      </c>
      <c r="AD117" s="564" t="s">
        <v>1804</v>
      </c>
      <c r="AE117" s="564" t="s">
        <v>2449</v>
      </c>
      <c r="AF117" s="565"/>
      <c r="BA117" s="557" t="s">
        <v>925</v>
      </c>
      <c r="BB117" s="567" t="s">
        <v>1805</v>
      </c>
      <c r="BC117" s="567" t="s">
        <v>33</v>
      </c>
      <c r="BD117" s="567" t="s">
        <v>1806</v>
      </c>
      <c r="BE117" s="557" t="s">
        <v>145</v>
      </c>
      <c r="BF117" s="568" t="s">
        <v>1807</v>
      </c>
    </row>
    <row r="118" spans="1:58" s="541" customFormat="1" ht="45">
      <c r="A118" s="557" t="s">
        <v>2453</v>
      </c>
      <c r="B118" s="557"/>
      <c r="C118" s="557"/>
      <c r="D118" s="557"/>
      <c r="E118" s="557" t="s">
        <v>24</v>
      </c>
      <c r="F118" s="564" t="s">
        <v>948</v>
      </c>
      <c r="G118" s="571" t="s">
        <v>949</v>
      </c>
      <c r="H118" s="564" t="s">
        <v>950</v>
      </c>
      <c r="I118" s="564" t="s">
        <v>2454</v>
      </c>
      <c r="J118" s="564" t="s">
        <v>2455</v>
      </c>
      <c r="K118" s="564" t="s">
        <v>2456</v>
      </c>
      <c r="L118" s="564" t="s">
        <v>2457</v>
      </c>
      <c r="M118" s="564" t="s">
        <v>2458</v>
      </c>
      <c r="N118" s="564" t="s">
        <v>2459</v>
      </c>
      <c r="O118" s="564" t="s">
        <v>2460</v>
      </c>
      <c r="P118" s="564" t="s">
        <v>2461</v>
      </c>
      <c r="Q118" s="592" t="s">
        <v>2462</v>
      </c>
      <c r="R118" s="564" t="s">
        <v>2463</v>
      </c>
      <c r="S118" s="564" t="s">
        <v>2464</v>
      </c>
      <c r="T118" s="564" t="s">
        <v>2465</v>
      </c>
      <c r="U118" s="564" t="s">
        <v>2466</v>
      </c>
      <c r="V118" s="564" t="s">
        <v>2466</v>
      </c>
      <c r="W118" s="564" t="s">
        <v>2467</v>
      </c>
      <c r="X118" s="564" t="s">
        <v>2466</v>
      </c>
      <c r="Y118" s="564" t="s">
        <v>1804</v>
      </c>
      <c r="Z118" s="564" t="s">
        <v>1804</v>
      </c>
      <c r="AA118" s="564" t="s">
        <v>1804</v>
      </c>
      <c r="AB118" s="564" t="s">
        <v>1804</v>
      </c>
      <c r="AC118" s="564" t="s">
        <v>1804</v>
      </c>
      <c r="AD118" s="564" t="s">
        <v>1804</v>
      </c>
      <c r="AE118" s="564"/>
      <c r="AF118" s="565"/>
      <c r="BA118" s="557" t="s">
        <v>925</v>
      </c>
      <c r="BB118" s="567" t="s">
        <v>1805</v>
      </c>
      <c r="BC118" s="567" t="s">
        <v>33</v>
      </c>
      <c r="BD118" s="567" t="s">
        <v>1806</v>
      </c>
      <c r="BE118" s="557" t="s">
        <v>145</v>
      </c>
      <c r="BF118" s="568" t="s">
        <v>1807</v>
      </c>
    </row>
    <row r="119" spans="1:58" s="541" customFormat="1" ht="45">
      <c r="A119" s="557" t="s">
        <v>2468</v>
      </c>
      <c r="B119" s="557"/>
      <c r="C119" s="557"/>
      <c r="D119" s="557"/>
      <c r="E119" s="557" t="s">
        <v>24</v>
      </c>
      <c r="F119" s="564" t="s">
        <v>951</v>
      </c>
      <c r="G119" s="571" t="s">
        <v>952</v>
      </c>
      <c r="H119" s="564" t="s">
        <v>953</v>
      </c>
      <c r="I119" s="564" t="s">
        <v>2469</v>
      </c>
      <c r="J119" s="564" t="s">
        <v>2470</v>
      </c>
      <c r="K119" s="564" t="s">
        <v>2456</v>
      </c>
      <c r="L119" s="564" t="s">
        <v>2457</v>
      </c>
      <c r="M119" s="564" t="s">
        <v>2458</v>
      </c>
      <c r="N119" s="564" t="s">
        <v>2459</v>
      </c>
      <c r="O119" s="564" t="s">
        <v>2460</v>
      </c>
      <c r="P119" s="564" t="s">
        <v>2461</v>
      </c>
      <c r="Q119" s="592" t="s">
        <v>2462</v>
      </c>
      <c r="R119" s="564" t="s">
        <v>2463</v>
      </c>
      <c r="S119" s="564" t="s">
        <v>2464</v>
      </c>
      <c r="T119" s="564" t="s">
        <v>2471</v>
      </c>
      <c r="U119" s="564" t="s">
        <v>2466</v>
      </c>
      <c r="V119" s="564" t="s">
        <v>2466</v>
      </c>
      <c r="W119" s="564" t="s">
        <v>2472</v>
      </c>
      <c r="X119" s="564" t="s">
        <v>2466</v>
      </c>
      <c r="Y119" s="564" t="s">
        <v>1804</v>
      </c>
      <c r="Z119" s="564" t="s">
        <v>1804</v>
      </c>
      <c r="AA119" s="564" t="s">
        <v>1804</v>
      </c>
      <c r="AB119" s="564" t="s">
        <v>1804</v>
      </c>
      <c r="AC119" s="564" t="s">
        <v>1804</v>
      </c>
      <c r="AD119" s="564" t="s">
        <v>1804</v>
      </c>
      <c r="AE119" s="564"/>
      <c r="AF119" s="565"/>
      <c r="BA119" s="557" t="s">
        <v>925</v>
      </c>
      <c r="BB119" s="567" t="s">
        <v>1805</v>
      </c>
      <c r="BC119" s="567" t="s">
        <v>33</v>
      </c>
      <c r="BD119" s="567" t="s">
        <v>1806</v>
      </c>
      <c r="BE119" s="557" t="s">
        <v>145</v>
      </c>
      <c r="BF119" s="568" t="s">
        <v>1807</v>
      </c>
    </row>
    <row r="120" spans="1:58" s="541" customFormat="1" ht="90">
      <c r="A120" s="557" t="s">
        <v>2473</v>
      </c>
      <c r="B120" s="557"/>
      <c r="C120" s="557"/>
      <c r="D120" s="557"/>
      <c r="E120" s="557" t="s">
        <v>24</v>
      </c>
      <c r="F120" s="564" t="s">
        <v>954</v>
      </c>
      <c r="G120" s="571" t="s">
        <v>955</v>
      </c>
      <c r="H120" s="564" t="s">
        <v>956</v>
      </c>
      <c r="I120" s="564" t="s">
        <v>2474</v>
      </c>
      <c r="J120" s="564" t="s">
        <v>2475</v>
      </c>
      <c r="K120" s="564" t="s">
        <v>2476</v>
      </c>
      <c r="L120" s="564" t="s">
        <v>2477</v>
      </c>
      <c r="M120" s="564" t="s">
        <v>2477</v>
      </c>
      <c r="N120" s="564" t="s">
        <v>2478</v>
      </c>
      <c r="O120" s="564" t="s">
        <v>2479</v>
      </c>
      <c r="P120" s="564" t="s">
        <v>2480</v>
      </c>
      <c r="Q120" s="592" t="s">
        <v>2462</v>
      </c>
      <c r="R120" s="564" t="s">
        <v>2463</v>
      </c>
      <c r="S120" s="564" t="s">
        <v>2464</v>
      </c>
      <c r="T120" s="564" t="s">
        <v>2481</v>
      </c>
      <c r="U120" s="564" t="s">
        <v>2466</v>
      </c>
      <c r="V120" s="564" t="s">
        <v>2466</v>
      </c>
      <c r="W120" s="564" t="s">
        <v>2467</v>
      </c>
      <c r="X120" s="564" t="s">
        <v>2466</v>
      </c>
      <c r="Y120" s="564" t="s">
        <v>1804</v>
      </c>
      <c r="Z120" s="564" t="s">
        <v>1804</v>
      </c>
      <c r="AA120" s="564" t="s">
        <v>1804</v>
      </c>
      <c r="AB120" s="564" t="s">
        <v>1804</v>
      </c>
      <c r="AC120" s="564" t="s">
        <v>1804</v>
      </c>
      <c r="AD120" s="564" t="s">
        <v>1804</v>
      </c>
      <c r="AE120" s="564"/>
      <c r="AF120" s="565"/>
      <c r="BA120" s="557" t="s">
        <v>925</v>
      </c>
      <c r="BB120" s="567" t="s">
        <v>1805</v>
      </c>
      <c r="BC120" s="567" t="s">
        <v>33</v>
      </c>
      <c r="BD120" s="567" t="s">
        <v>1806</v>
      </c>
      <c r="BE120" s="557" t="s">
        <v>145</v>
      </c>
      <c r="BF120" s="568" t="s">
        <v>1807</v>
      </c>
    </row>
    <row r="121" spans="1:58" s="541" customFormat="1" ht="45">
      <c r="A121" s="557" t="s">
        <v>2482</v>
      </c>
      <c r="B121" s="557"/>
      <c r="C121" s="557"/>
      <c r="D121" s="557"/>
      <c r="E121" s="557" t="s">
        <v>24</v>
      </c>
      <c r="F121" s="564" t="s">
        <v>957</v>
      </c>
      <c r="G121" s="564" t="s">
        <v>958</v>
      </c>
      <c r="H121" s="564" t="s">
        <v>959</v>
      </c>
      <c r="I121" s="564" t="s">
        <v>2483</v>
      </c>
      <c r="J121" s="564" t="s">
        <v>2484</v>
      </c>
      <c r="K121" s="564" t="s">
        <v>2485</v>
      </c>
      <c r="L121" s="564" t="s">
        <v>2486</v>
      </c>
      <c r="M121" s="564" t="s">
        <v>2487</v>
      </c>
      <c r="N121" s="564" t="s">
        <v>2488</v>
      </c>
      <c r="O121" s="564" t="s">
        <v>2460</v>
      </c>
      <c r="P121" s="564" t="s">
        <v>2489</v>
      </c>
      <c r="Q121" s="592" t="s">
        <v>2462</v>
      </c>
      <c r="R121" s="564" t="s">
        <v>2463</v>
      </c>
      <c r="S121" s="564" t="s">
        <v>2464</v>
      </c>
      <c r="T121" s="564" t="s">
        <v>2490</v>
      </c>
      <c r="U121" s="564" t="s">
        <v>2466</v>
      </c>
      <c r="V121" s="564" t="s">
        <v>2466</v>
      </c>
      <c r="W121" s="564" t="s">
        <v>2467</v>
      </c>
      <c r="X121" s="564" t="s">
        <v>2466</v>
      </c>
      <c r="Y121" s="564" t="s">
        <v>1804</v>
      </c>
      <c r="Z121" s="564" t="s">
        <v>1804</v>
      </c>
      <c r="AA121" s="564" t="s">
        <v>1804</v>
      </c>
      <c r="AB121" s="564" t="s">
        <v>1804</v>
      </c>
      <c r="AC121" s="564" t="s">
        <v>1804</v>
      </c>
      <c r="AD121" s="564" t="s">
        <v>1804</v>
      </c>
      <c r="AE121" s="564"/>
      <c r="AF121" s="565"/>
      <c r="BA121" s="557" t="s">
        <v>925</v>
      </c>
      <c r="BB121" s="567" t="s">
        <v>1805</v>
      </c>
      <c r="BC121" s="567" t="s">
        <v>33</v>
      </c>
      <c r="BD121" s="567" t="s">
        <v>1806</v>
      </c>
      <c r="BE121" s="557" t="s">
        <v>145</v>
      </c>
      <c r="BF121" s="568" t="s">
        <v>1807</v>
      </c>
    </row>
    <row r="122" spans="1:58" s="541" customFormat="1" ht="78.75">
      <c r="A122" s="557" t="s">
        <v>2491</v>
      </c>
      <c r="B122" s="557"/>
      <c r="C122" s="557"/>
      <c r="D122" s="557"/>
      <c r="E122" s="557" t="s">
        <v>24</v>
      </c>
      <c r="F122" s="564" t="s">
        <v>960</v>
      </c>
      <c r="G122" s="571" t="s">
        <v>961</v>
      </c>
      <c r="H122" s="564" t="s">
        <v>962</v>
      </c>
      <c r="I122" s="564" t="s">
        <v>2492</v>
      </c>
      <c r="J122" s="564" t="s">
        <v>2493</v>
      </c>
      <c r="K122" s="564" t="s">
        <v>2494</v>
      </c>
      <c r="L122" s="564" t="s">
        <v>2495</v>
      </c>
      <c r="M122" s="564" t="s">
        <v>2496</v>
      </c>
      <c r="N122" s="564" t="s">
        <v>2497</v>
      </c>
      <c r="O122" s="564" t="s">
        <v>2498</v>
      </c>
      <c r="P122" s="564" t="s">
        <v>2499</v>
      </c>
      <c r="Q122" s="592" t="s">
        <v>2462</v>
      </c>
      <c r="R122" s="564" t="s">
        <v>2463</v>
      </c>
      <c r="S122" s="564" t="s">
        <v>1797</v>
      </c>
      <c r="T122" s="564" t="s">
        <v>2500</v>
      </c>
      <c r="U122" s="564" t="s">
        <v>2501</v>
      </c>
      <c r="V122" s="564" t="s">
        <v>2501</v>
      </c>
      <c r="W122" s="564" t="s">
        <v>2502</v>
      </c>
      <c r="X122" s="564" t="s">
        <v>2501</v>
      </c>
      <c r="Y122" s="564" t="s">
        <v>2503</v>
      </c>
      <c r="Z122" s="564" t="s">
        <v>1804</v>
      </c>
      <c r="AA122" s="564" t="s">
        <v>1804</v>
      </c>
      <c r="AB122" s="564" t="s">
        <v>1804</v>
      </c>
      <c r="AC122" s="564" t="s">
        <v>1804</v>
      </c>
      <c r="AD122" s="564" t="s">
        <v>1804</v>
      </c>
      <c r="AE122" s="564"/>
      <c r="AF122" s="565"/>
      <c r="BA122" s="557" t="s">
        <v>925</v>
      </c>
      <c r="BB122" s="567" t="s">
        <v>1805</v>
      </c>
      <c r="BC122" s="567" t="s">
        <v>33</v>
      </c>
      <c r="BD122" s="567" t="s">
        <v>1806</v>
      </c>
      <c r="BE122" s="557" t="s">
        <v>145</v>
      </c>
      <c r="BF122" s="568" t="s">
        <v>1807</v>
      </c>
    </row>
    <row r="123" spans="1:58" s="541" customFormat="1" ht="45">
      <c r="A123" s="557" t="s">
        <v>2504</v>
      </c>
      <c r="B123" s="557"/>
      <c r="C123" s="557"/>
      <c r="D123" s="557"/>
      <c r="E123" s="557" t="s">
        <v>24</v>
      </c>
      <c r="F123" s="564" t="s">
        <v>963</v>
      </c>
      <c r="G123" s="571" t="s">
        <v>964</v>
      </c>
      <c r="H123" s="564" t="s">
        <v>965</v>
      </c>
      <c r="I123" s="564" t="s">
        <v>2505</v>
      </c>
      <c r="J123" s="564" t="s">
        <v>2506</v>
      </c>
      <c r="K123" s="564" t="s">
        <v>2507</v>
      </c>
      <c r="L123" s="564" t="s">
        <v>2508</v>
      </c>
      <c r="M123" s="564" t="s">
        <v>2509</v>
      </c>
      <c r="N123" s="564" t="s">
        <v>2459</v>
      </c>
      <c r="O123" s="564" t="s">
        <v>2510</v>
      </c>
      <c r="P123" s="564" t="s">
        <v>2461</v>
      </c>
      <c r="Q123" s="592" t="s">
        <v>2462</v>
      </c>
      <c r="R123" s="564" t="s">
        <v>2463</v>
      </c>
      <c r="S123" s="564" t="s">
        <v>2511</v>
      </c>
      <c r="T123" s="564" t="s">
        <v>2512</v>
      </c>
      <c r="U123" s="564" t="s">
        <v>2501</v>
      </c>
      <c r="V123" s="564" t="s">
        <v>2501</v>
      </c>
      <c r="W123" s="564" t="s">
        <v>2513</v>
      </c>
      <c r="X123" s="564" t="s">
        <v>2501</v>
      </c>
      <c r="Y123" s="564" t="s">
        <v>2514</v>
      </c>
      <c r="Z123" s="564" t="s">
        <v>1804</v>
      </c>
      <c r="AA123" s="564" t="s">
        <v>1804</v>
      </c>
      <c r="AB123" s="564" t="s">
        <v>1804</v>
      </c>
      <c r="AC123" s="564" t="s">
        <v>1804</v>
      </c>
      <c r="AD123" s="564" t="s">
        <v>1804</v>
      </c>
      <c r="AE123" s="564"/>
      <c r="AF123" s="565"/>
      <c r="BA123" s="557" t="s">
        <v>925</v>
      </c>
      <c r="BB123" s="567" t="s">
        <v>1805</v>
      </c>
      <c r="BC123" s="567" t="s">
        <v>33</v>
      </c>
      <c r="BD123" s="567" t="s">
        <v>1806</v>
      </c>
      <c r="BE123" s="557" t="s">
        <v>145</v>
      </c>
      <c r="BF123" s="568" t="s">
        <v>1807</v>
      </c>
    </row>
    <row r="124" spans="1:58" s="541" customFormat="1" ht="45">
      <c r="A124" s="557" t="s">
        <v>2515</v>
      </c>
      <c r="B124" s="557"/>
      <c r="C124" s="557"/>
      <c r="D124" s="557"/>
      <c r="E124" s="557" t="s">
        <v>24</v>
      </c>
      <c r="F124" s="564" t="s">
        <v>966</v>
      </c>
      <c r="G124" s="571" t="s">
        <v>967</v>
      </c>
      <c r="H124" s="564" t="s">
        <v>968</v>
      </c>
      <c r="I124" s="564" t="s">
        <v>2516</v>
      </c>
      <c r="J124" s="564" t="s">
        <v>2517</v>
      </c>
      <c r="K124" s="564" t="s">
        <v>2518</v>
      </c>
      <c r="L124" s="564" t="s">
        <v>2519</v>
      </c>
      <c r="M124" s="564" t="s">
        <v>2520</v>
      </c>
      <c r="N124" s="564" t="s">
        <v>2459</v>
      </c>
      <c r="O124" s="564" t="s">
        <v>2510</v>
      </c>
      <c r="P124" s="564" t="s">
        <v>2461</v>
      </c>
      <c r="Q124" s="592" t="s">
        <v>2462</v>
      </c>
      <c r="R124" s="564" t="s">
        <v>2463</v>
      </c>
      <c r="S124" s="564" t="s">
        <v>2511</v>
      </c>
      <c r="T124" s="564" t="s">
        <v>2512</v>
      </c>
      <c r="U124" s="564" t="s">
        <v>2501</v>
      </c>
      <c r="V124" s="564" t="s">
        <v>2501</v>
      </c>
      <c r="W124" s="564" t="s">
        <v>2513</v>
      </c>
      <c r="X124" s="564" t="s">
        <v>2501</v>
      </c>
      <c r="Y124" s="564" t="s">
        <v>2514</v>
      </c>
      <c r="Z124" s="564" t="s">
        <v>1804</v>
      </c>
      <c r="AA124" s="564" t="s">
        <v>1804</v>
      </c>
      <c r="AB124" s="564" t="s">
        <v>1804</v>
      </c>
      <c r="AC124" s="564" t="s">
        <v>1804</v>
      </c>
      <c r="AD124" s="564" t="s">
        <v>1804</v>
      </c>
      <c r="AE124" s="564"/>
      <c r="AF124" s="565"/>
      <c r="BA124" s="557" t="s">
        <v>925</v>
      </c>
      <c r="BB124" s="567" t="s">
        <v>1805</v>
      </c>
      <c r="BC124" s="567" t="s">
        <v>33</v>
      </c>
      <c r="BD124" s="567" t="s">
        <v>1806</v>
      </c>
      <c r="BE124" s="557" t="s">
        <v>145</v>
      </c>
      <c r="BF124" s="568" t="s">
        <v>1807</v>
      </c>
    </row>
    <row r="125" spans="1:58" s="541" customFormat="1" ht="45">
      <c r="A125" s="557" t="s">
        <v>2521</v>
      </c>
      <c r="B125" s="557"/>
      <c r="C125" s="557"/>
      <c r="D125" s="557"/>
      <c r="E125" s="557" t="s">
        <v>24</v>
      </c>
      <c r="F125" s="564" t="s">
        <v>969</v>
      </c>
      <c r="G125" s="571" t="s">
        <v>970</v>
      </c>
      <c r="H125" s="564" t="s">
        <v>971</v>
      </c>
      <c r="I125" s="564" t="s">
        <v>2522</v>
      </c>
      <c r="J125" s="564" t="s">
        <v>2523</v>
      </c>
      <c r="K125" s="564" t="s">
        <v>2524</v>
      </c>
      <c r="L125" s="564" t="s">
        <v>2525</v>
      </c>
      <c r="M125" s="564" t="s">
        <v>2526</v>
      </c>
      <c r="N125" s="564" t="s">
        <v>2459</v>
      </c>
      <c r="O125" s="564" t="s">
        <v>2510</v>
      </c>
      <c r="P125" s="564" t="s">
        <v>2461</v>
      </c>
      <c r="Q125" s="592" t="s">
        <v>2462</v>
      </c>
      <c r="R125" s="564" t="s">
        <v>2463</v>
      </c>
      <c r="S125" s="564" t="s">
        <v>2511</v>
      </c>
      <c r="T125" s="564" t="s">
        <v>2512</v>
      </c>
      <c r="U125" s="564" t="s">
        <v>2501</v>
      </c>
      <c r="V125" s="564" t="s">
        <v>2501</v>
      </c>
      <c r="W125" s="564" t="s">
        <v>2513</v>
      </c>
      <c r="X125" s="564" t="s">
        <v>2501</v>
      </c>
      <c r="Y125" s="564" t="s">
        <v>2514</v>
      </c>
      <c r="Z125" s="564" t="s">
        <v>1804</v>
      </c>
      <c r="AA125" s="564" t="s">
        <v>1804</v>
      </c>
      <c r="AB125" s="564" t="s">
        <v>1804</v>
      </c>
      <c r="AC125" s="564" t="s">
        <v>1804</v>
      </c>
      <c r="AD125" s="564" t="s">
        <v>1804</v>
      </c>
      <c r="AE125" s="564"/>
      <c r="AF125" s="565"/>
      <c r="BA125" s="557" t="s">
        <v>925</v>
      </c>
      <c r="BB125" s="567" t="s">
        <v>1805</v>
      </c>
      <c r="BC125" s="567" t="s">
        <v>33</v>
      </c>
      <c r="BD125" s="567" t="s">
        <v>1806</v>
      </c>
      <c r="BE125" s="557" t="s">
        <v>145</v>
      </c>
      <c r="BF125" s="568" t="s">
        <v>1807</v>
      </c>
    </row>
    <row r="126" spans="1:58" s="541" customFormat="1" ht="45">
      <c r="A126" s="557" t="s">
        <v>2527</v>
      </c>
      <c r="B126" s="557"/>
      <c r="C126" s="557"/>
      <c r="D126" s="557"/>
      <c r="E126" s="557" t="s">
        <v>24</v>
      </c>
      <c r="F126" s="564" t="s">
        <v>972</v>
      </c>
      <c r="G126" s="571" t="s">
        <v>973</v>
      </c>
      <c r="H126" s="564" t="s">
        <v>974</v>
      </c>
      <c r="I126" s="564" t="s">
        <v>2528</v>
      </c>
      <c r="J126" s="564" t="s">
        <v>2529</v>
      </c>
      <c r="K126" s="564" t="s">
        <v>2530</v>
      </c>
      <c r="L126" s="564" t="s">
        <v>2531</v>
      </c>
      <c r="M126" s="564" t="s">
        <v>2532</v>
      </c>
      <c r="N126" s="564" t="s">
        <v>2459</v>
      </c>
      <c r="O126" s="564" t="s">
        <v>2510</v>
      </c>
      <c r="P126" s="564" t="s">
        <v>2461</v>
      </c>
      <c r="Q126" s="592" t="s">
        <v>2462</v>
      </c>
      <c r="R126" s="564" t="s">
        <v>2463</v>
      </c>
      <c r="S126" s="564" t="s">
        <v>2464</v>
      </c>
      <c r="T126" s="564" t="s">
        <v>2533</v>
      </c>
      <c r="U126" s="564" t="s">
        <v>2501</v>
      </c>
      <c r="V126" s="564" t="s">
        <v>2501</v>
      </c>
      <c r="W126" s="564" t="s">
        <v>2534</v>
      </c>
      <c r="X126" s="564" t="s">
        <v>2501</v>
      </c>
      <c r="Y126" s="564" t="s">
        <v>2503</v>
      </c>
      <c r="Z126" s="564" t="s">
        <v>1804</v>
      </c>
      <c r="AA126" s="564" t="s">
        <v>1804</v>
      </c>
      <c r="AB126" s="564" t="s">
        <v>1804</v>
      </c>
      <c r="AC126" s="564" t="s">
        <v>1804</v>
      </c>
      <c r="AD126" s="564" t="s">
        <v>1804</v>
      </c>
      <c r="AE126" s="564"/>
      <c r="AF126" s="565"/>
      <c r="BA126" s="557" t="s">
        <v>925</v>
      </c>
      <c r="BB126" s="567" t="s">
        <v>1805</v>
      </c>
      <c r="BC126" s="567" t="s">
        <v>33</v>
      </c>
      <c r="BD126" s="567" t="s">
        <v>1806</v>
      </c>
      <c r="BE126" s="557" t="s">
        <v>145</v>
      </c>
      <c r="BF126" s="568" t="s">
        <v>1807</v>
      </c>
    </row>
    <row r="127" spans="1:58" s="541" customFormat="1" ht="45">
      <c r="A127" s="557" t="s">
        <v>2535</v>
      </c>
      <c r="B127" s="557"/>
      <c r="C127" s="557"/>
      <c r="D127" s="557"/>
      <c r="E127" s="557" t="s">
        <v>24</v>
      </c>
      <c r="F127" s="564" t="s">
        <v>975</v>
      </c>
      <c r="G127" s="571" t="s">
        <v>976</v>
      </c>
      <c r="H127" s="564" t="s">
        <v>977</v>
      </c>
      <c r="I127" s="564" t="s">
        <v>2536</v>
      </c>
      <c r="J127" s="564" t="s">
        <v>2537</v>
      </c>
      <c r="K127" s="564" t="s">
        <v>2538</v>
      </c>
      <c r="L127" s="564" t="s">
        <v>2539</v>
      </c>
      <c r="M127" s="564" t="s">
        <v>2540</v>
      </c>
      <c r="N127" s="564" t="s">
        <v>2459</v>
      </c>
      <c r="O127" s="564" t="s">
        <v>2510</v>
      </c>
      <c r="P127" s="564" t="s">
        <v>2461</v>
      </c>
      <c r="Q127" s="592" t="s">
        <v>2462</v>
      </c>
      <c r="R127" s="564" t="s">
        <v>2463</v>
      </c>
      <c r="S127" s="564" t="s">
        <v>2464</v>
      </c>
      <c r="T127" s="564" t="s">
        <v>2541</v>
      </c>
      <c r="U127" s="564" t="s">
        <v>2501</v>
      </c>
      <c r="V127" s="564" t="s">
        <v>2501</v>
      </c>
      <c r="W127" s="564" t="s">
        <v>2542</v>
      </c>
      <c r="X127" s="564" t="s">
        <v>2501</v>
      </c>
      <c r="Y127" s="564" t="s">
        <v>2503</v>
      </c>
      <c r="Z127" s="564" t="s">
        <v>1804</v>
      </c>
      <c r="AA127" s="564" t="s">
        <v>1804</v>
      </c>
      <c r="AB127" s="564" t="s">
        <v>1804</v>
      </c>
      <c r="AC127" s="564" t="s">
        <v>1804</v>
      </c>
      <c r="AD127" s="564" t="s">
        <v>1804</v>
      </c>
      <c r="AE127" s="564"/>
      <c r="AF127" s="565"/>
      <c r="BA127" s="557" t="s">
        <v>925</v>
      </c>
      <c r="BB127" s="567" t="s">
        <v>1805</v>
      </c>
      <c r="BC127" s="567" t="s">
        <v>33</v>
      </c>
      <c r="BD127" s="567" t="s">
        <v>1806</v>
      </c>
      <c r="BE127" s="557" t="s">
        <v>145</v>
      </c>
      <c r="BF127" s="568" t="s">
        <v>1807</v>
      </c>
    </row>
    <row r="128" spans="1:58" s="541" customFormat="1" ht="66.75" customHeight="1">
      <c r="A128" s="557" t="s">
        <v>2543</v>
      </c>
      <c r="B128" s="557"/>
      <c r="C128" s="557"/>
      <c r="D128" s="557"/>
      <c r="E128" s="557" t="s">
        <v>24</v>
      </c>
      <c r="F128" s="564" t="s">
        <v>978</v>
      </c>
      <c r="G128" s="571" t="s">
        <v>979</v>
      </c>
      <c r="H128" s="564" t="s">
        <v>980</v>
      </c>
      <c r="I128" s="564" t="s">
        <v>2544</v>
      </c>
      <c r="J128" s="564" t="s">
        <v>2545</v>
      </c>
      <c r="K128" s="564" t="s">
        <v>2546</v>
      </c>
      <c r="L128" s="564" t="s">
        <v>2547</v>
      </c>
      <c r="M128" s="564" t="s">
        <v>2548</v>
      </c>
      <c r="N128" s="564" t="s">
        <v>2459</v>
      </c>
      <c r="O128" s="564" t="s">
        <v>2510</v>
      </c>
      <c r="P128" s="564" t="s">
        <v>2461</v>
      </c>
      <c r="Q128" s="592" t="s">
        <v>2462</v>
      </c>
      <c r="R128" s="564" t="s">
        <v>2463</v>
      </c>
      <c r="S128" s="564" t="s">
        <v>2464</v>
      </c>
      <c r="T128" s="564" t="s">
        <v>2549</v>
      </c>
      <c r="U128" s="564" t="s">
        <v>2501</v>
      </c>
      <c r="V128" s="564" t="s">
        <v>2501</v>
      </c>
      <c r="W128" s="564" t="s">
        <v>2550</v>
      </c>
      <c r="X128" s="564" t="s">
        <v>2501</v>
      </c>
      <c r="Y128" s="564" t="s">
        <v>2503</v>
      </c>
      <c r="Z128" s="564" t="s">
        <v>1804</v>
      </c>
      <c r="AA128" s="564" t="s">
        <v>1804</v>
      </c>
      <c r="AB128" s="564" t="s">
        <v>1804</v>
      </c>
      <c r="AC128" s="564" t="s">
        <v>1804</v>
      </c>
      <c r="AD128" s="564" t="s">
        <v>1804</v>
      </c>
      <c r="AE128" s="564"/>
      <c r="AF128" s="565"/>
      <c r="BA128" s="557" t="s">
        <v>925</v>
      </c>
      <c r="BB128" s="567" t="s">
        <v>1805</v>
      </c>
      <c r="BC128" s="567" t="s">
        <v>33</v>
      </c>
      <c r="BD128" s="567" t="s">
        <v>1806</v>
      </c>
      <c r="BE128" s="557" t="s">
        <v>145</v>
      </c>
      <c r="BF128" s="568" t="s">
        <v>1807</v>
      </c>
    </row>
    <row r="129" spans="1:101" s="541" customFormat="1" ht="60.75" customHeight="1">
      <c r="A129" s="557" t="s">
        <v>2551</v>
      </c>
      <c r="B129" s="557"/>
      <c r="C129" s="557"/>
      <c r="D129" s="557"/>
      <c r="E129" s="557" t="s">
        <v>24</v>
      </c>
      <c r="F129" s="564" t="s">
        <v>981</v>
      </c>
      <c r="G129" s="571" t="s">
        <v>982</v>
      </c>
      <c r="H129" s="564" t="s">
        <v>983</v>
      </c>
      <c r="I129" s="564" t="s">
        <v>2552</v>
      </c>
      <c r="J129" s="564" t="s">
        <v>2553</v>
      </c>
      <c r="K129" s="564" t="s">
        <v>2546</v>
      </c>
      <c r="L129" s="564" t="s">
        <v>2547</v>
      </c>
      <c r="M129" s="564" t="s">
        <v>2548</v>
      </c>
      <c r="N129" s="564" t="s">
        <v>2459</v>
      </c>
      <c r="O129" s="564" t="s">
        <v>2510</v>
      </c>
      <c r="P129" s="564" t="s">
        <v>2461</v>
      </c>
      <c r="Q129" s="592" t="s">
        <v>2462</v>
      </c>
      <c r="R129" s="564" t="s">
        <v>2463</v>
      </c>
      <c r="S129" s="564" t="s">
        <v>2511</v>
      </c>
      <c r="T129" s="564" t="s">
        <v>2512</v>
      </c>
      <c r="U129" s="564" t="s">
        <v>2501</v>
      </c>
      <c r="V129" s="564" t="s">
        <v>2501</v>
      </c>
      <c r="W129" s="564" t="s">
        <v>2550</v>
      </c>
      <c r="X129" s="564" t="s">
        <v>2501</v>
      </c>
      <c r="Y129" s="564" t="s">
        <v>2503</v>
      </c>
      <c r="Z129" s="564" t="s">
        <v>1804</v>
      </c>
      <c r="AA129" s="564" t="s">
        <v>1804</v>
      </c>
      <c r="AB129" s="564" t="s">
        <v>1804</v>
      </c>
      <c r="AC129" s="564" t="s">
        <v>1804</v>
      </c>
      <c r="AD129" s="564" t="s">
        <v>1804</v>
      </c>
      <c r="AE129" s="564"/>
      <c r="AF129" s="565"/>
      <c r="BA129" s="557" t="s">
        <v>925</v>
      </c>
      <c r="BB129" s="567" t="s">
        <v>1805</v>
      </c>
      <c r="BC129" s="567" t="s">
        <v>33</v>
      </c>
      <c r="BD129" s="567" t="s">
        <v>1806</v>
      </c>
      <c r="BE129" s="557" t="s">
        <v>145</v>
      </c>
      <c r="BF129" s="568" t="s">
        <v>1807</v>
      </c>
    </row>
    <row r="130" spans="1:101" s="541" customFormat="1" ht="45">
      <c r="A130" s="557" t="s">
        <v>2554</v>
      </c>
      <c r="B130" s="565"/>
      <c r="C130" s="565"/>
      <c r="D130" s="565"/>
      <c r="E130" s="557" t="s">
        <v>24</v>
      </c>
      <c r="F130" s="571" t="s">
        <v>984</v>
      </c>
      <c r="G130" s="571" t="s">
        <v>985</v>
      </c>
      <c r="H130" s="571" t="s">
        <v>986</v>
      </c>
      <c r="I130" s="571" t="s">
        <v>2555</v>
      </c>
      <c r="J130" s="571" t="s">
        <v>2556</v>
      </c>
      <c r="K130" s="571" t="s">
        <v>2557</v>
      </c>
      <c r="L130" s="571" t="s">
        <v>2558</v>
      </c>
      <c r="M130" s="571" t="s">
        <v>2559</v>
      </c>
      <c r="N130" s="571" t="s">
        <v>2459</v>
      </c>
      <c r="O130" s="564" t="s">
        <v>2510</v>
      </c>
      <c r="P130" s="571" t="s">
        <v>2461</v>
      </c>
      <c r="Q130" s="592" t="s">
        <v>2462</v>
      </c>
      <c r="R130" s="571" t="s">
        <v>2463</v>
      </c>
      <c r="S130" s="571" t="s">
        <v>2464</v>
      </c>
      <c r="T130" s="571" t="s">
        <v>2560</v>
      </c>
      <c r="U130" s="571" t="s">
        <v>2466</v>
      </c>
      <c r="V130" s="571"/>
      <c r="W130" s="571"/>
      <c r="X130" s="571"/>
      <c r="Y130" s="564" t="s">
        <v>2503</v>
      </c>
      <c r="Z130" s="564" t="s">
        <v>1804</v>
      </c>
      <c r="AA130" s="564" t="s">
        <v>1804</v>
      </c>
      <c r="AB130" s="564" t="s">
        <v>1804</v>
      </c>
      <c r="AC130" s="564" t="s">
        <v>1804</v>
      </c>
      <c r="AD130" s="564" t="s">
        <v>1804</v>
      </c>
      <c r="AE130" s="564"/>
      <c r="AF130" s="565"/>
      <c r="BA130" s="557" t="s">
        <v>925</v>
      </c>
      <c r="BB130" s="567" t="s">
        <v>1805</v>
      </c>
      <c r="BC130" s="567" t="s">
        <v>33</v>
      </c>
      <c r="BD130" s="567" t="s">
        <v>1806</v>
      </c>
      <c r="BE130" s="557" t="s">
        <v>145</v>
      </c>
      <c r="BF130" s="568" t="s">
        <v>1807</v>
      </c>
    </row>
    <row r="131" spans="1:101" s="541" customFormat="1" ht="60">
      <c r="A131" s="557" t="s">
        <v>2561</v>
      </c>
      <c r="B131" s="571"/>
      <c r="C131" s="571"/>
      <c r="D131" s="571"/>
      <c r="E131" s="557" t="s">
        <v>24</v>
      </c>
      <c r="F131" s="593" t="s">
        <v>987</v>
      </c>
      <c r="G131" s="593" t="s">
        <v>988</v>
      </c>
      <c r="H131" s="564" t="s">
        <v>923</v>
      </c>
      <c r="I131" s="594" t="s">
        <v>2408</v>
      </c>
      <c r="J131" s="594" t="s">
        <v>2562</v>
      </c>
      <c r="K131" s="594" t="s">
        <v>2410</v>
      </c>
      <c r="L131" s="594" t="s">
        <v>2411</v>
      </c>
      <c r="M131" s="594" t="s">
        <v>1791</v>
      </c>
      <c r="N131" s="594" t="s">
        <v>1804</v>
      </c>
      <c r="O131" s="594" t="s">
        <v>1804</v>
      </c>
      <c r="P131" s="594" t="s">
        <v>1804</v>
      </c>
      <c r="Q131" s="584" t="s">
        <v>2563</v>
      </c>
      <c r="R131" s="594" t="s">
        <v>1796</v>
      </c>
      <c r="S131" s="594" t="s">
        <v>2094</v>
      </c>
      <c r="T131" s="594" t="s">
        <v>2412</v>
      </c>
      <c r="U131" s="594" t="s">
        <v>2096</v>
      </c>
      <c r="V131" s="594" t="s">
        <v>2413</v>
      </c>
      <c r="W131" s="594" t="s">
        <v>2414</v>
      </c>
      <c r="X131" s="594" t="s">
        <v>2096</v>
      </c>
      <c r="Y131" s="594" t="s">
        <v>2415</v>
      </c>
      <c r="Z131" s="594" t="s">
        <v>2415</v>
      </c>
      <c r="AA131" s="594" t="s">
        <v>2414</v>
      </c>
      <c r="AB131" s="594" t="s">
        <v>2414</v>
      </c>
      <c r="AC131" s="564" t="s">
        <v>2416</v>
      </c>
      <c r="AD131" s="564" t="s">
        <v>1804</v>
      </c>
      <c r="AE131" s="564" t="s">
        <v>2417</v>
      </c>
      <c r="AF131" s="557" t="s">
        <v>211</v>
      </c>
      <c r="BA131" s="557" t="s">
        <v>925</v>
      </c>
      <c r="BB131" s="567" t="s">
        <v>1805</v>
      </c>
      <c r="BC131" s="567" t="s">
        <v>33</v>
      </c>
      <c r="BD131" s="567" t="s">
        <v>1806</v>
      </c>
      <c r="BE131" s="557" t="s">
        <v>2564</v>
      </c>
      <c r="BF131" s="568" t="s">
        <v>2565</v>
      </c>
    </row>
    <row r="132" spans="1:101" s="541" customFormat="1" ht="60">
      <c r="A132" s="557" t="s">
        <v>2566</v>
      </c>
      <c r="B132" s="571"/>
      <c r="C132" s="571"/>
      <c r="D132" s="571"/>
      <c r="E132" s="557" t="s">
        <v>24</v>
      </c>
      <c r="F132" s="593" t="s">
        <v>990</v>
      </c>
      <c r="G132" s="593" t="s">
        <v>991</v>
      </c>
      <c r="H132" s="564" t="s">
        <v>928</v>
      </c>
      <c r="I132" s="594" t="s">
        <v>2419</v>
      </c>
      <c r="J132" s="594" t="s">
        <v>2420</v>
      </c>
      <c r="K132" s="594" t="s">
        <v>2410</v>
      </c>
      <c r="L132" s="594" t="s">
        <v>2411</v>
      </c>
      <c r="M132" s="594" t="s">
        <v>1791</v>
      </c>
      <c r="N132" s="594" t="s">
        <v>1804</v>
      </c>
      <c r="O132" s="594" t="s">
        <v>1804</v>
      </c>
      <c r="P132" s="594" t="s">
        <v>1804</v>
      </c>
      <c r="Q132" s="584" t="s">
        <v>2563</v>
      </c>
      <c r="R132" s="594" t="s">
        <v>1796</v>
      </c>
      <c r="S132" s="594" t="s">
        <v>2094</v>
      </c>
      <c r="T132" s="594" t="s">
        <v>2412</v>
      </c>
      <c r="U132" s="594" t="s">
        <v>2096</v>
      </c>
      <c r="V132" s="594" t="s">
        <v>2413</v>
      </c>
      <c r="W132" s="594" t="s">
        <v>2414</v>
      </c>
      <c r="X132" s="594" t="s">
        <v>2096</v>
      </c>
      <c r="Y132" s="594" t="s">
        <v>2415</v>
      </c>
      <c r="Z132" s="594" t="s">
        <v>2415</v>
      </c>
      <c r="AA132" s="594" t="s">
        <v>2414</v>
      </c>
      <c r="AB132" s="594" t="s">
        <v>2414</v>
      </c>
      <c r="AC132" s="564" t="s">
        <v>2416</v>
      </c>
      <c r="AD132" s="564" t="s">
        <v>1804</v>
      </c>
      <c r="AE132" s="564" t="s">
        <v>2422</v>
      </c>
      <c r="AF132" s="565"/>
      <c r="BA132" s="557" t="s">
        <v>925</v>
      </c>
      <c r="BB132" s="567" t="s">
        <v>1805</v>
      </c>
      <c r="BC132" s="567" t="s">
        <v>33</v>
      </c>
      <c r="BD132" s="567" t="s">
        <v>1806</v>
      </c>
      <c r="BE132" s="557" t="s">
        <v>2564</v>
      </c>
      <c r="BF132" s="568" t="s">
        <v>2565</v>
      </c>
    </row>
    <row r="133" spans="1:101" s="541" customFormat="1" ht="60">
      <c r="A133" s="557" t="s">
        <v>2567</v>
      </c>
      <c r="B133" s="571"/>
      <c r="C133" s="571"/>
      <c r="D133" s="571"/>
      <c r="E133" s="557" t="s">
        <v>24</v>
      </c>
      <c r="F133" s="593" t="s">
        <v>992</v>
      </c>
      <c r="G133" s="593" t="s">
        <v>993</v>
      </c>
      <c r="H133" s="564" t="s">
        <v>931</v>
      </c>
      <c r="I133" s="594" t="s">
        <v>2424</v>
      </c>
      <c r="J133" s="594" t="s">
        <v>2425</v>
      </c>
      <c r="K133" s="594" t="s">
        <v>2410</v>
      </c>
      <c r="L133" s="594" t="s">
        <v>2411</v>
      </c>
      <c r="M133" s="594" t="s">
        <v>1791</v>
      </c>
      <c r="N133" s="594" t="s">
        <v>1804</v>
      </c>
      <c r="O133" s="594" t="s">
        <v>1804</v>
      </c>
      <c r="P133" s="594" t="s">
        <v>1804</v>
      </c>
      <c r="Q133" s="584" t="s">
        <v>509</v>
      </c>
      <c r="R133" s="594" t="s">
        <v>1796</v>
      </c>
      <c r="S133" s="594" t="s">
        <v>2094</v>
      </c>
      <c r="T133" s="594" t="s">
        <v>2412</v>
      </c>
      <c r="U133" s="594" t="s">
        <v>2096</v>
      </c>
      <c r="V133" s="594" t="s">
        <v>2413</v>
      </c>
      <c r="W133" s="594" t="s">
        <v>2414</v>
      </c>
      <c r="X133" s="594" t="s">
        <v>2096</v>
      </c>
      <c r="Y133" s="594" t="s">
        <v>2415</v>
      </c>
      <c r="Z133" s="594" t="s">
        <v>2415</v>
      </c>
      <c r="AA133" s="594" t="s">
        <v>2414</v>
      </c>
      <c r="AB133" s="594" t="s">
        <v>2414</v>
      </c>
      <c r="AC133" s="564" t="s">
        <v>2416</v>
      </c>
      <c r="AD133" s="564" t="s">
        <v>1804</v>
      </c>
      <c r="AE133" s="564" t="s">
        <v>2426</v>
      </c>
      <c r="AF133" s="565"/>
      <c r="BA133" s="557" t="s">
        <v>925</v>
      </c>
      <c r="BB133" s="567" t="s">
        <v>1805</v>
      </c>
      <c r="BC133" s="567" t="s">
        <v>33</v>
      </c>
      <c r="BD133" s="567" t="s">
        <v>1806</v>
      </c>
      <c r="BE133" s="557" t="s">
        <v>2564</v>
      </c>
      <c r="BF133" s="568" t="s">
        <v>2565</v>
      </c>
    </row>
    <row r="134" spans="1:101" s="541" customFormat="1" ht="62.25" customHeight="1">
      <c r="A134" s="557" t="s">
        <v>2568</v>
      </c>
      <c r="B134" s="571"/>
      <c r="C134" s="571"/>
      <c r="D134" s="571"/>
      <c r="E134" s="557" t="s">
        <v>24</v>
      </c>
      <c r="F134" s="593" t="s">
        <v>994</v>
      </c>
      <c r="G134" s="593" t="s">
        <v>995</v>
      </c>
      <c r="H134" s="564" t="s">
        <v>934</v>
      </c>
      <c r="I134" s="594" t="s">
        <v>2428</v>
      </c>
      <c r="J134" s="594" t="s">
        <v>2429</v>
      </c>
      <c r="K134" s="594" t="s">
        <v>2410</v>
      </c>
      <c r="L134" s="594" t="s">
        <v>2411</v>
      </c>
      <c r="M134" s="594" t="s">
        <v>1791</v>
      </c>
      <c r="N134" s="594" t="s">
        <v>1804</v>
      </c>
      <c r="O134" s="594" t="s">
        <v>1804</v>
      </c>
      <c r="P134" s="594" t="s">
        <v>1804</v>
      </c>
      <c r="Q134" s="584" t="s">
        <v>509</v>
      </c>
      <c r="R134" s="594" t="s">
        <v>1796</v>
      </c>
      <c r="S134" s="594" t="s">
        <v>2094</v>
      </c>
      <c r="T134" s="594" t="s">
        <v>2412</v>
      </c>
      <c r="U134" s="594" t="s">
        <v>2096</v>
      </c>
      <c r="V134" s="594" t="s">
        <v>2413</v>
      </c>
      <c r="W134" s="594" t="s">
        <v>2414</v>
      </c>
      <c r="X134" s="594" t="s">
        <v>2096</v>
      </c>
      <c r="Y134" s="594" t="s">
        <v>2415</v>
      </c>
      <c r="Z134" s="594" t="s">
        <v>2415</v>
      </c>
      <c r="AA134" s="594" t="s">
        <v>2414</v>
      </c>
      <c r="AB134" s="594" t="s">
        <v>2414</v>
      </c>
      <c r="AC134" s="564" t="s">
        <v>2416</v>
      </c>
      <c r="AD134" s="564" t="s">
        <v>1804</v>
      </c>
      <c r="AE134" s="564" t="s">
        <v>2430</v>
      </c>
      <c r="AF134" s="565"/>
      <c r="BA134" s="557" t="s">
        <v>925</v>
      </c>
      <c r="BB134" s="567" t="s">
        <v>1805</v>
      </c>
      <c r="BC134" s="567" t="s">
        <v>33</v>
      </c>
      <c r="BD134" s="567" t="s">
        <v>1806</v>
      </c>
      <c r="BE134" s="557" t="s">
        <v>2564</v>
      </c>
      <c r="BF134" s="568" t="s">
        <v>2565</v>
      </c>
    </row>
    <row r="135" spans="1:101" s="541" customFormat="1" ht="24" customHeight="1">
      <c r="A135" s="557" t="s">
        <v>2569</v>
      </c>
      <c r="B135" s="571"/>
      <c r="C135" s="571"/>
      <c r="D135" s="571"/>
      <c r="E135" s="557" t="s">
        <v>24</v>
      </c>
      <c r="F135" s="593" t="s">
        <v>996</v>
      </c>
      <c r="G135" s="593" t="s">
        <v>997</v>
      </c>
      <c r="H135" s="564" t="s">
        <v>937</v>
      </c>
      <c r="I135" s="594" t="s">
        <v>2432</v>
      </c>
      <c r="J135" s="594" t="s">
        <v>2433</v>
      </c>
      <c r="K135" s="594" t="s">
        <v>2410</v>
      </c>
      <c r="L135" s="594" t="s">
        <v>2411</v>
      </c>
      <c r="M135" s="594" t="s">
        <v>1791</v>
      </c>
      <c r="N135" s="594" t="s">
        <v>1804</v>
      </c>
      <c r="O135" s="594" t="s">
        <v>1804</v>
      </c>
      <c r="P135" s="594" t="s">
        <v>1804</v>
      </c>
      <c r="Q135" s="584" t="s">
        <v>509</v>
      </c>
      <c r="R135" s="594" t="s">
        <v>1796</v>
      </c>
      <c r="S135" s="594" t="s">
        <v>2094</v>
      </c>
      <c r="T135" s="594" t="s">
        <v>2412</v>
      </c>
      <c r="U135" s="594" t="s">
        <v>2096</v>
      </c>
      <c r="V135" s="594" t="s">
        <v>2413</v>
      </c>
      <c r="W135" s="594" t="s">
        <v>2414</v>
      </c>
      <c r="X135" s="594" t="s">
        <v>2096</v>
      </c>
      <c r="Y135" s="594" t="s">
        <v>2415</v>
      </c>
      <c r="Z135" s="594" t="s">
        <v>2415</v>
      </c>
      <c r="AA135" s="594" t="s">
        <v>2414</v>
      </c>
      <c r="AB135" s="594" t="s">
        <v>2414</v>
      </c>
      <c r="AC135" s="564" t="s">
        <v>2416</v>
      </c>
      <c r="AD135" s="564" t="s">
        <v>1804</v>
      </c>
      <c r="AE135" s="564" t="s">
        <v>2434</v>
      </c>
      <c r="AF135" s="565"/>
      <c r="BA135" s="557" t="s">
        <v>925</v>
      </c>
      <c r="BB135" s="567" t="s">
        <v>1805</v>
      </c>
      <c r="BC135" s="567" t="s">
        <v>33</v>
      </c>
      <c r="BD135" s="567" t="s">
        <v>1806</v>
      </c>
      <c r="BE135" s="557" t="s">
        <v>2564</v>
      </c>
      <c r="BF135" s="568" t="s">
        <v>2565</v>
      </c>
    </row>
    <row r="136" spans="1:101" s="541" customFormat="1" ht="71.25" customHeight="1">
      <c r="A136" s="557" t="s">
        <v>2570</v>
      </c>
      <c r="B136" s="571"/>
      <c r="C136" s="571"/>
      <c r="D136" s="571"/>
      <c r="E136" s="557" t="s">
        <v>24</v>
      </c>
      <c r="F136" s="593" t="s">
        <v>998</v>
      </c>
      <c r="G136" s="593" t="s">
        <v>999</v>
      </c>
      <c r="H136" s="564" t="s">
        <v>940</v>
      </c>
      <c r="I136" s="594" t="s">
        <v>2436</v>
      </c>
      <c r="J136" s="594" t="s">
        <v>2437</v>
      </c>
      <c r="K136" s="594" t="s">
        <v>2410</v>
      </c>
      <c r="L136" s="594" t="s">
        <v>2411</v>
      </c>
      <c r="M136" s="594" t="s">
        <v>1791</v>
      </c>
      <c r="N136" s="594" t="s">
        <v>1804</v>
      </c>
      <c r="O136" s="594" t="s">
        <v>1804</v>
      </c>
      <c r="P136" s="594" t="s">
        <v>1804</v>
      </c>
      <c r="Q136" s="584" t="s">
        <v>509</v>
      </c>
      <c r="R136" s="594" t="s">
        <v>1796</v>
      </c>
      <c r="S136" s="594" t="s">
        <v>2094</v>
      </c>
      <c r="T136" s="594" t="s">
        <v>2412</v>
      </c>
      <c r="U136" s="594" t="s">
        <v>2096</v>
      </c>
      <c r="V136" s="594" t="s">
        <v>2413</v>
      </c>
      <c r="W136" s="594" t="s">
        <v>2414</v>
      </c>
      <c r="X136" s="594" t="s">
        <v>2096</v>
      </c>
      <c r="Y136" s="594" t="s">
        <v>2415</v>
      </c>
      <c r="Z136" s="594" t="s">
        <v>2415</v>
      </c>
      <c r="AA136" s="594" t="s">
        <v>2414</v>
      </c>
      <c r="AB136" s="594" t="s">
        <v>2414</v>
      </c>
      <c r="AC136" s="564" t="s">
        <v>2416</v>
      </c>
      <c r="AD136" s="564" t="s">
        <v>1804</v>
      </c>
      <c r="AE136" s="564" t="s">
        <v>2438</v>
      </c>
      <c r="AF136" s="565"/>
      <c r="BA136" s="557" t="s">
        <v>925</v>
      </c>
      <c r="BB136" s="567" t="s">
        <v>1805</v>
      </c>
      <c r="BC136" s="567" t="s">
        <v>33</v>
      </c>
      <c r="BD136" s="567" t="s">
        <v>1806</v>
      </c>
      <c r="BE136" s="557" t="s">
        <v>2564</v>
      </c>
      <c r="BF136" s="568" t="s">
        <v>2565</v>
      </c>
    </row>
    <row r="137" spans="1:101" s="541" customFormat="1" ht="132" customHeight="1">
      <c r="A137" s="557" t="s">
        <v>2571</v>
      </c>
      <c r="B137" s="571"/>
      <c r="C137" s="571"/>
      <c r="D137" s="571"/>
      <c r="E137" s="557" t="s">
        <v>24</v>
      </c>
      <c r="F137" s="593" t="s">
        <v>1000</v>
      </c>
      <c r="G137" s="593" t="s">
        <v>1001</v>
      </c>
      <c r="H137" s="564" t="s">
        <v>943</v>
      </c>
      <c r="I137" s="594" t="s">
        <v>2440</v>
      </c>
      <c r="J137" s="594" t="s">
        <v>2441</v>
      </c>
      <c r="K137" s="594" t="s">
        <v>2410</v>
      </c>
      <c r="L137" s="594" t="s">
        <v>2411</v>
      </c>
      <c r="M137" s="594" t="s">
        <v>1791</v>
      </c>
      <c r="N137" s="594" t="s">
        <v>1804</v>
      </c>
      <c r="O137" s="594" t="s">
        <v>1804</v>
      </c>
      <c r="P137" s="594" t="s">
        <v>1804</v>
      </c>
      <c r="Q137" s="584" t="s">
        <v>509</v>
      </c>
      <c r="R137" s="594" t="s">
        <v>1796</v>
      </c>
      <c r="S137" s="594" t="s">
        <v>2094</v>
      </c>
      <c r="T137" s="594" t="s">
        <v>2412</v>
      </c>
      <c r="U137" s="594" t="s">
        <v>2096</v>
      </c>
      <c r="V137" s="594" t="s">
        <v>2413</v>
      </c>
      <c r="W137" s="594" t="s">
        <v>2414</v>
      </c>
      <c r="X137" s="594" t="s">
        <v>2096</v>
      </c>
      <c r="Y137" s="594" t="s">
        <v>2415</v>
      </c>
      <c r="Z137" s="594" t="s">
        <v>2415</v>
      </c>
      <c r="AA137" s="594" t="s">
        <v>2414</v>
      </c>
      <c r="AB137" s="594" t="s">
        <v>2414</v>
      </c>
      <c r="AC137" s="564" t="s">
        <v>2416</v>
      </c>
      <c r="AD137" s="564" t="s">
        <v>1804</v>
      </c>
      <c r="AE137" s="564" t="s">
        <v>2572</v>
      </c>
      <c r="AF137" s="565"/>
      <c r="BA137" s="557" t="s">
        <v>925</v>
      </c>
      <c r="BB137" s="567" t="s">
        <v>1805</v>
      </c>
      <c r="BC137" s="567" t="s">
        <v>33</v>
      </c>
      <c r="BD137" s="567" t="s">
        <v>1806</v>
      </c>
      <c r="BE137" s="557" t="s">
        <v>2564</v>
      </c>
      <c r="BF137" s="568" t="s">
        <v>2565</v>
      </c>
    </row>
    <row r="138" spans="1:101" s="541" customFormat="1" ht="60">
      <c r="A138" s="557" t="s">
        <v>2573</v>
      </c>
      <c r="B138" s="571"/>
      <c r="C138" s="571"/>
      <c r="D138" s="571"/>
      <c r="E138" s="557" t="s">
        <v>24</v>
      </c>
      <c r="F138" s="593" t="s">
        <v>1002</v>
      </c>
      <c r="G138" s="593" t="s">
        <v>1003</v>
      </c>
      <c r="H138" s="564" t="s">
        <v>2574</v>
      </c>
      <c r="I138" s="594" t="s">
        <v>2575</v>
      </c>
      <c r="J138" s="594" t="s">
        <v>2576</v>
      </c>
      <c r="K138" s="594" t="s">
        <v>2410</v>
      </c>
      <c r="L138" s="594" t="s">
        <v>2411</v>
      </c>
      <c r="M138" s="594" t="s">
        <v>1791</v>
      </c>
      <c r="N138" s="594" t="s">
        <v>1804</v>
      </c>
      <c r="O138" s="594" t="s">
        <v>1804</v>
      </c>
      <c r="P138" s="594" t="s">
        <v>1804</v>
      </c>
      <c r="Q138" s="584" t="s">
        <v>509</v>
      </c>
      <c r="R138" s="594" t="s">
        <v>1796</v>
      </c>
      <c r="S138" s="594" t="s">
        <v>2094</v>
      </c>
      <c r="T138" s="594" t="s">
        <v>2412</v>
      </c>
      <c r="U138" s="594" t="s">
        <v>2096</v>
      </c>
      <c r="V138" s="594" t="s">
        <v>2413</v>
      </c>
      <c r="W138" s="594" t="s">
        <v>2414</v>
      </c>
      <c r="X138" s="594" t="s">
        <v>2096</v>
      </c>
      <c r="Y138" s="594" t="s">
        <v>2415</v>
      </c>
      <c r="Z138" s="594" t="s">
        <v>2415</v>
      </c>
      <c r="AA138" s="594" t="s">
        <v>2414</v>
      </c>
      <c r="AB138" s="594" t="s">
        <v>2414</v>
      </c>
      <c r="AC138" s="564" t="s">
        <v>2416</v>
      </c>
      <c r="AD138" s="564" t="s">
        <v>1804</v>
      </c>
      <c r="AE138" s="564"/>
      <c r="AF138" s="565"/>
      <c r="BA138" s="557" t="s">
        <v>925</v>
      </c>
      <c r="BB138" s="567" t="s">
        <v>1805</v>
      </c>
      <c r="BC138" s="567" t="s">
        <v>33</v>
      </c>
      <c r="BD138" s="567" t="s">
        <v>1806</v>
      </c>
      <c r="BE138" s="557" t="s">
        <v>2564</v>
      </c>
      <c r="BF138" s="568" t="s">
        <v>2565</v>
      </c>
    </row>
    <row r="139" spans="1:101" s="541" customFormat="1" ht="94.5">
      <c r="A139" s="557" t="s">
        <v>2577</v>
      </c>
      <c r="B139" s="568"/>
      <c r="C139" s="568"/>
      <c r="D139" s="568"/>
      <c r="E139" s="568" t="s">
        <v>24</v>
      </c>
      <c r="F139" s="595" t="s">
        <v>2578</v>
      </c>
      <c r="G139" s="595" t="s">
        <v>2579</v>
      </c>
      <c r="H139" s="595" t="s">
        <v>2580</v>
      </c>
      <c r="I139" s="595" t="s">
        <v>2581</v>
      </c>
      <c r="J139" s="595" t="s">
        <v>2582</v>
      </c>
      <c r="K139" s="595" t="s">
        <v>2583</v>
      </c>
      <c r="L139" s="595" t="s">
        <v>2584</v>
      </c>
      <c r="M139" s="595" t="s">
        <v>2585</v>
      </c>
      <c r="N139" s="595" t="s">
        <v>2586</v>
      </c>
      <c r="O139" s="595" t="s">
        <v>2587</v>
      </c>
      <c r="P139" s="595" t="s">
        <v>2588</v>
      </c>
      <c r="Q139" s="592" t="s">
        <v>2462</v>
      </c>
      <c r="R139" s="595" t="s">
        <v>1796</v>
      </c>
      <c r="S139" s="595" t="s">
        <v>2094</v>
      </c>
      <c r="T139" s="596" t="s">
        <v>2589</v>
      </c>
      <c r="U139" s="596" t="s">
        <v>2590</v>
      </c>
      <c r="V139" s="596" t="s">
        <v>2589</v>
      </c>
      <c r="W139" s="596" t="s">
        <v>2591</v>
      </c>
      <c r="X139" s="596" t="s">
        <v>2590</v>
      </c>
      <c r="Y139" s="596" t="s">
        <v>2592</v>
      </c>
      <c r="Z139" s="596" t="s">
        <v>2592</v>
      </c>
      <c r="AA139" s="596" t="s">
        <v>2592</v>
      </c>
      <c r="AB139" s="596" t="s">
        <v>2592</v>
      </c>
      <c r="AC139" s="596" t="s">
        <v>2593</v>
      </c>
      <c r="AD139" s="595" t="s">
        <v>1804</v>
      </c>
      <c r="AE139" s="597" t="s">
        <v>2594</v>
      </c>
      <c r="AF139" s="597"/>
      <c r="AG139" s="598"/>
      <c r="AH139" s="598"/>
      <c r="AI139" s="598"/>
      <c r="AJ139" s="598"/>
      <c r="AK139" s="598"/>
      <c r="AL139" s="598"/>
      <c r="AM139" s="598"/>
      <c r="AN139" s="598"/>
      <c r="AO139" s="598"/>
      <c r="AP139" s="598"/>
      <c r="AQ139" s="598"/>
      <c r="AR139" s="598"/>
      <c r="AS139" s="598"/>
      <c r="AT139" s="598"/>
      <c r="AU139" s="598"/>
      <c r="AV139" s="598"/>
      <c r="AW139" s="598"/>
      <c r="AX139" s="598"/>
      <c r="AY139" s="598"/>
      <c r="AZ139" s="598"/>
      <c r="BA139" s="557" t="s">
        <v>925</v>
      </c>
      <c r="BB139" s="567" t="s">
        <v>1805</v>
      </c>
      <c r="BC139" s="567" t="s">
        <v>33</v>
      </c>
      <c r="BD139" s="567" t="s">
        <v>2595</v>
      </c>
      <c r="BE139" s="568" t="s">
        <v>145</v>
      </c>
      <c r="BF139" s="568" t="s">
        <v>2565</v>
      </c>
      <c r="BG139" s="598"/>
      <c r="BH139" s="598"/>
      <c r="BI139" s="598"/>
      <c r="BJ139" s="598"/>
      <c r="BK139" s="598"/>
      <c r="BL139" s="598"/>
      <c r="BM139" s="598"/>
      <c r="BN139" s="598"/>
      <c r="BO139" s="598"/>
      <c r="BP139" s="598"/>
      <c r="BQ139" s="598"/>
      <c r="BR139" s="598"/>
      <c r="BS139" s="598"/>
      <c r="BT139" s="598"/>
      <c r="BU139" s="598"/>
      <c r="BV139" s="598"/>
      <c r="BW139" s="598"/>
      <c r="BX139" s="598"/>
      <c r="BY139" s="598"/>
      <c r="BZ139" s="598"/>
      <c r="CA139" s="598"/>
      <c r="CB139" s="598"/>
      <c r="CC139" s="598"/>
      <c r="CD139" s="598"/>
      <c r="CE139" s="598"/>
      <c r="CF139" s="598"/>
      <c r="CG139" s="598"/>
      <c r="CH139" s="598"/>
      <c r="CI139" s="598"/>
      <c r="CJ139" s="598"/>
      <c r="CK139" s="598"/>
      <c r="CL139" s="598"/>
      <c r="CM139" s="598"/>
      <c r="CN139" s="598"/>
      <c r="CO139" s="598"/>
      <c r="CP139" s="598"/>
      <c r="CQ139" s="598"/>
      <c r="CR139" s="598"/>
      <c r="CS139" s="598"/>
      <c r="CT139" s="598"/>
      <c r="CU139" s="598"/>
      <c r="CV139" s="598"/>
      <c r="CW139" s="598"/>
    </row>
    <row r="140" spans="1:101" s="541" customFormat="1" ht="94.5">
      <c r="A140" s="557" t="s">
        <v>2596</v>
      </c>
      <c r="B140" s="568"/>
      <c r="C140" s="568"/>
      <c r="D140" s="568"/>
      <c r="E140" s="568" t="s">
        <v>24</v>
      </c>
      <c r="F140" s="595" t="s">
        <v>2597</v>
      </c>
      <c r="G140" s="595" t="s">
        <v>2598</v>
      </c>
      <c r="H140" s="595" t="s">
        <v>1010</v>
      </c>
      <c r="I140" s="595" t="s">
        <v>2599</v>
      </c>
      <c r="J140" s="595" t="s">
        <v>2600</v>
      </c>
      <c r="K140" s="595" t="s">
        <v>2583</v>
      </c>
      <c r="L140" s="595" t="s">
        <v>2584</v>
      </c>
      <c r="M140" s="595" t="s">
        <v>2585</v>
      </c>
      <c r="N140" s="595" t="s">
        <v>2586</v>
      </c>
      <c r="O140" s="595" t="s">
        <v>2587</v>
      </c>
      <c r="P140" s="595" t="s">
        <v>2588</v>
      </c>
      <c r="Q140" s="592" t="s">
        <v>2462</v>
      </c>
      <c r="R140" s="595" t="s">
        <v>1796</v>
      </c>
      <c r="S140" s="595" t="s">
        <v>2094</v>
      </c>
      <c r="T140" s="596" t="s">
        <v>2589</v>
      </c>
      <c r="U140" s="596" t="s">
        <v>2590</v>
      </c>
      <c r="V140" s="596" t="s">
        <v>2589</v>
      </c>
      <c r="W140" s="596" t="s">
        <v>2591</v>
      </c>
      <c r="X140" s="596" t="s">
        <v>2590</v>
      </c>
      <c r="Y140" s="596" t="s">
        <v>2592</v>
      </c>
      <c r="Z140" s="596" t="s">
        <v>2592</v>
      </c>
      <c r="AA140" s="596" t="s">
        <v>2592</v>
      </c>
      <c r="AB140" s="596" t="s">
        <v>2592</v>
      </c>
      <c r="AC140" s="596" t="s">
        <v>2593</v>
      </c>
      <c r="AD140" s="595" t="s">
        <v>1804</v>
      </c>
      <c r="AE140" s="597" t="s">
        <v>2594</v>
      </c>
      <c r="AF140" s="597"/>
      <c r="AG140" s="598"/>
      <c r="AH140" s="598"/>
      <c r="AI140" s="598"/>
      <c r="AJ140" s="598"/>
      <c r="AK140" s="598"/>
      <c r="AL140" s="598"/>
      <c r="AM140" s="598"/>
      <c r="AN140" s="598"/>
      <c r="AO140" s="598"/>
      <c r="AP140" s="598"/>
      <c r="AQ140" s="598"/>
      <c r="AR140" s="598"/>
      <c r="AS140" s="598"/>
      <c r="AT140" s="598"/>
      <c r="AU140" s="598"/>
      <c r="AV140" s="598"/>
      <c r="AW140" s="598"/>
      <c r="AX140" s="598"/>
      <c r="AY140" s="598"/>
      <c r="AZ140" s="598"/>
      <c r="BA140" s="557" t="s">
        <v>925</v>
      </c>
      <c r="BB140" s="567" t="s">
        <v>1805</v>
      </c>
      <c r="BC140" s="567" t="s">
        <v>33</v>
      </c>
      <c r="BD140" s="567" t="s">
        <v>2595</v>
      </c>
      <c r="BE140" s="568" t="s">
        <v>145</v>
      </c>
      <c r="BF140" s="568" t="s">
        <v>2565</v>
      </c>
      <c r="BG140" s="598"/>
      <c r="BH140" s="598"/>
      <c r="BI140" s="598"/>
      <c r="BJ140" s="598"/>
      <c r="BK140" s="598"/>
      <c r="BL140" s="598"/>
      <c r="BM140" s="598"/>
      <c r="BN140" s="598"/>
      <c r="BO140" s="598"/>
      <c r="BP140" s="598"/>
      <c r="BQ140" s="598"/>
      <c r="BR140" s="598"/>
      <c r="BS140" s="598"/>
      <c r="BT140" s="598"/>
      <c r="BU140" s="598"/>
      <c r="BV140" s="598"/>
      <c r="BW140" s="598"/>
      <c r="BX140" s="598"/>
      <c r="BY140" s="598"/>
      <c r="BZ140" s="598"/>
      <c r="CA140" s="598"/>
      <c r="CB140" s="598"/>
      <c r="CC140" s="598"/>
      <c r="CD140" s="598"/>
      <c r="CE140" s="598"/>
      <c r="CF140" s="598"/>
      <c r="CG140" s="598"/>
      <c r="CH140" s="598"/>
      <c r="CI140" s="598"/>
      <c r="CJ140" s="598"/>
      <c r="CK140" s="598"/>
      <c r="CL140" s="598"/>
      <c r="CM140" s="598"/>
      <c r="CN140" s="598"/>
      <c r="CO140" s="598"/>
      <c r="CP140" s="598"/>
      <c r="CQ140" s="598"/>
      <c r="CR140" s="598"/>
      <c r="CS140" s="598"/>
      <c r="CT140" s="598"/>
      <c r="CU140" s="598"/>
      <c r="CV140" s="598"/>
      <c r="CW140" s="598"/>
    </row>
    <row r="141" spans="1:101" s="541" customFormat="1" ht="94.5">
      <c r="A141" s="557" t="s">
        <v>2601</v>
      </c>
      <c r="B141" s="568"/>
      <c r="C141" s="568"/>
      <c r="D141" s="568"/>
      <c r="E141" s="568" t="s">
        <v>24</v>
      </c>
      <c r="F141" s="595" t="s">
        <v>2602</v>
      </c>
      <c r="G141" s="595" t="s">
        <v>2603</v>
      </c>
      <c r="H141" s="595" t="s">
        <v>1013</v>
      </c>
      <c r="I141" s="595" t="s">
        <v>2604</v>
      </c>
      <c r="J141" s="595" t="s">
        <v>2605</v>
      </c>
      <c r="K141" s="595" t="s">
        <v>2583</v>
      </c>
      <c r="L141" s="595" t="s">
        <v>2584</v>
      </c>
      <c r="M141" s="595" t="s">
        <v>2585</v>
      </c>
      <c r="N141" s="595" t="s">
        <v>2586</v>
      </c>
      <c r="O141" s="595" t="s">
        <v>2587</v>
      </c>
      <c r="P141" s="595" t="s">
        <v>2588</v>
      </c>
      <c r="Q141" s="592" t="s">
        <v>2462</v>
      </c>
      <c r="R141" s="595" t="s">
        <v>1796</v>
      </c>
      <c r="S141" s="595" t="s">
        <v>2094</v>
      </c>
      <c r="T141" s="596" t="s">
        <v>2589</v>
      </c>
      <c r="U141" s="596" t="s">
        <v>2590</v>
      </c>
      <c r="V141" s="596" t="s">
        <v>2589</v>
      </c>
      <c r="W141" s="596" t="s">
        <v>2591</v>
      </c>
      <c r="X141" s="596" t="s">
        <v>2590</v>
      </c>
      <c r="Y141" s="596" t="s">
        <v>2592</v>
      </c>
      <c r="Z141" s="596" t="s">
        <v>2592</v>
      </c>
      <c r="AA141" s="596" t="s">
        <v>2592</v>
      </c>
      <c r="AB141" s="596" t="s">
        <v>2592</v>
      </c>
      <c r="AC141" s="596" t="s">
        <v>2593</v>
      </c>
      <c r="AD141" s="595" t="s">
        <v>1804</v>
      </c>
      <c r="AE141" s="597" t="s">
        <v>2594</v>
      </c>
      <c r="AF141" s="597"/>
      <c r="AG141" s="598"/>
      <c r="AH141" s="598"/>
      <c r="AI141" s="598"/>
      <c r="AJ141" s="598"/>
      <c r="AK141" s="598"/>
      <c r="AL141" s="598"/>
      <c r="AM141" s="598"/>
      <c r="AN141" s="598"/>
      <c r="AO141" s="598"/>
      <c r="AP141" s="598"/>
      <c r="AQ141" s="598"/>
      <c r="AR141" s="598"/>
      <c r="AS141" s="598"/>
      <c r="AT141" s="598"/>
      <c r="AU141" s="598"/>
      <c r="AV141" s="598"/>
      <c r="AW141" s="598"/>
      <c r="AX141" s="598"/>
      <c r="AY141" s="598"/>
      <c r="AZ141" s="598"/>
      <c r="BA141" s="557" t="s">
        <v>925</v>
      </c>
      <c r="BB141" s="567" t="s">
        <v>1805</v>
      </c>
      <c r="BC141" s="567" t="s">
        <v>33</v>
      </c>
      <c r="BD141" s="567" t="s">
        <v>2595</v>
      </c>
      <c r="BE141" s="568" t="s">
        <v>145</v>
      </c>
      <c r="BF141" s="568" t="s">
        <v>2565</v>
      </c>
      <c r="BG141" s="598"/>
      <c r="BH141" s="598"/>
      <c r="BI141" s="598"/>
      <c r="BJ141" s="598"/>
      <c r="BK141" s="598"/>
      <c r="BL141" s="598"/>
      <c r="BM141" s="598"/>
      <c r="BN141" s="598"/>
      <c r="BO141" s="598"/>
      <c r="BP141" s="598"/>
      <c r="BQ141" s="598"/>
      <c r="BR141" s="598"/>
      <c r="BS141" s="598"/>
      <c r="BT141" s="598"/>
      <c r="BU141" s="598"/>
      <c r="BV141" s="598"/>
      <c r="BW141" s="598"/>
      <c r="BX141" s="598"/>
      <c r="BY141" s="598"/>
      <c r="BZ141" s="598"/>
      <c r="CA141" s="598"/>
      <c r="CB141" s="598"/>
      <c r="CC141" s="598"/>
      <c r="CD141" s="598"/>
      <c r="CE141" s="598"/>
      <c r="CF141" s="598"/>
      <c r="CG141" s="598"/>
      <c r="CH141" s="598"/>
      <c r="CI141" s="598"/>
      <c r="CJ141" s="598"/>
      <c r="CK141" s="598"/>
      <c r="CL141" s="598"/>
      <c r="CM141" s="598"/>
      <c r="CN141" s="598"/>
      <c r="CO141" s="598"/>
      <c r="CP141" s="598"/>
      <c r="CQ141" s="598"/>
      <c r="CR141" s="598"/>
      <c r="CS141" s="598"/>
      <c r="CT141" s="598"/>
      <c r="CU141" s="598"/>
      <c r="CV141" s="598"/>
      <c r="CW141" s="598"/>
    </row>
    <row r="142" spans="1:101" s="541" customFormat="1" ht="94.5">
      <c r="A142" s="557" t="s">
        <v>2606</v>
      </c>
      <c r="B142" s="568"/>
      <c r="C142" s="568"/>
      <c r="D142" s="568"/>
      <c r="E142" s="568" t="s">
        <v>24</v>
      </c>
      <c r="F142" s="595" t="s">
        <v>2607</v>
      </c>
      <c r="G142" s="595" t="s">
        <v>2608</v>
      </c>
      <c r="H142" s="595" t="s">
        <v>1016</v>
      </c>
      <c r="I142" s="595" t="s">
        <v>2609</v>
      </c>
      <c r="J142" s="595" t="s">
        <v>2610</v>
      </c>
      <c r="K142" s="595" t="s">
        <v>2583</v>
      </c>
      <c r="L142" s="595" t="s">
        <v>2584</v>
      </c>
      <c r="M142" s="595" t="s">
        <v>2585</v>
      </c>
      <c r="N142" s="595" t="s">
        <v>2586</v>
      </c>
      <c r="O142" s="595" t="s">
        <v>2587</v>
      </c>
      <c r="P142" s="595" t="s">
        <v>2588</v>
      </c>
      <c r="Q142" s="592" t="s">
        <v>2462</v>
      </c>
      <c r="R142" s="595" t="s">
        <v>1796</v>
      </c>
      <c r="S142" s="595" t="s">
        <v>2094</v>
      </c>
      <c r="T142" s="596" t="s">
        <v>2589</v>
      </c>
      <c r="U142" s="596" t="s">
        <v>2590</v>
      </c>
      <c r="V142" s="596" t="s">
        <v>2589</v>
      </c>
      <c r="W142" s="596" t="s">
        <v>2591</v>
      </c>
      <c r="X142" s="596" t="s">
        <v>2590</v>
      </c>
      <c r="Y142" s="596" t="s">
        <v>2592</v>
      </c>
      <c r="Z142" s="596" t="s">
        <v>2592</v>
      </c>
      <c r="AA142" s="596" t="s">
        <v>2592</v>
      </c>
      <c r="AB142" s="596" t="s">
        <v>2592</v>
      </c>
      <c r="AC142" s="596" t="s">
        <v>2593</v>
      </c>
      <c r="AD142" s="595" t="s">
        <v>1804</v>
      </c>
      <c r="AE142" s="597" t="s">
        <v>2594</v>
      </c>
      <c r="AF142" s="597"/>
      <c r="AG142" s="598"/>
      <c r="AH142" s="598"/>
      <c r="AI142" s="598"/>
      <c r="AJ142" s="598"/>
      <c r="AK142" s="598"/>
      <c r="AL142" s="598"/>
      <c r="AM142" s="598"/>
      <c r="AN142" s="598"/>
      <c r="AO142" s="598"/>
      <c r="AP142" s="598"/>
      <c r="AQ142" s="598"/>
      <c r="AR142" s="598"/>
      <c r="AS142" s="598"/>
      <c r="AT142" s="598"/>
      <c r="AU142" s="598"/>
      <c r="AV142" s="598"/>
      <c r="AW142" s="598"/>
      <c r="AX142" s="598"/>
      <c r="AY142" s="598"/>
      <c r="AZ142" s="598"/>
      <c r="BA142" s="557" t="s">
        <v>925</v>
      </c>
      <c r="BB142" s="567" t="s">
        <v>1805</v>
      </c>
      <c r="BC142" s="567" t="s">
        <v>33</v>
      </c>
      <c r="BD142" s="567" t="s">
        <v>2595</v>
      </c>
      <c r="BE142" s="568" t="s">
        <v>145</v>
      </c>
      <c r="BF142" s="568" t="s">
        <v>2565</v>
      </c>
      <c r="BG142" s="598"/>
      <c r="BH142" s="598"/>
      <c r="BI142" s="598"/>
      <c r="BJ142" s="598"/>
      <c r="BK142" s="598"/>
      <c r="BL142" s="598"/>
      <c r="BM142" s="598"/>
      <c r="BN142" s="598"/>
      <c r="BO142" s="598"/>
      <c r="BP142" s="598"/>
      <c r="BQ142" s="598"/>
      <c r="BR142" s="598"/>
      <c r="BS142" s="598"/>
      <c r="BT142" s="598"/>
      <c r="BU142" s="598"/>
      <c r="BV142" s="598"/>
      <c r="BW142" s="598"/>
      <c r="BX142" s="598"/>
      <c r="BY142" s="598"/>
      <c r="BZ142" s="598"/>
      <c r="CA142" s="598"/>
      <c r="CB142" s="598"/>
      <c r="CC142" s="598"/>
      <c r="CD142" s="598"/>
      <c r="CE142" s="598"/>
      <c r="CF142" s="598"/>
      <c r="CG142" s="598"/>
      <c r="CH142" s="598"/>
      <c r="CI142" s="598"/>
      <c r="CJ142" s="598"/>
      <c r="CK142" s="598"/>
      <c r="CL142" s="598"/>
      <c r="CM142" s="598"/>
      <c r="CN142" s="598"/>
      <c r="CO142" s="598"/>
      <c r="CP142" s="598"/>
      <c r="CQ142" s="598"/>
      <c r="CR142" s="598"/>
      <c r="CS142" s="598"/>
      <c r="CT142" s="598"/>
      <c r="CU142" s="598"/>
      <c r="CV142" s="598"/>
      <c r="CW142" s="598"/>
    </row>
    <row r="143" spans="1:101" s="541" customFormat="1" ht="94.5">
      <c r="A143" s="557" t="s">
        <v>2611</v>
      </c>
      <c r="B143" s="568"/>
      <c r="C143" s="568"/>
      <c r="D143" s="568"/>
      <c r="E143" s="568" t="s">
        <v>24</v>
      </c>
      <c r="F143" s="595" t="s">
        <v>2612</v>
      </c>
      <c r="G143" s="595" t="s">
        <v>2613</v>
      </c>
      <c r="H143" s="595" t="s">
        <v>1019</v>
      </c>
      <c r="I143" s="595" t="s">
        <v>2614</v>
      </c>
      <c r="J143" s="595" t="s">
        <v>2615</v>
      </c>
      <c r="K143" s="595" t="s">
        <v>2583</v>
      </c>
      <c r="L143" s="595" t="s">
        <v>2584</v>
      </c>
      <c r="M143" s="595" t="s">
        <v>2585</v>
      </c>
      <c r="N143" s="595" t="s">
        <v>2586</v>
      </c>
      <c r="O143" s="595" t="s">
        <v>2587</v>
      </c>
      <c r="P143" s="595" t="s">
        <v>2588</v>
      </c>
      <c r="Q143" s="592" t="s">
        <v>2462</v>
      </c>
      <c r="R143" s="595" t="s">
        <v>1796</v>
      </c>
      <c r="S143" s="595" t="s">
        <v>2094</v>
      </c>
      <c r="T143" s="596" t="s">
        <v>2589</v>
      </c>
      <c r="U143" s="596" t="s">
        <v>2590</v>
      </c>
      <c r="V143" s="596" t="s">
        <v>2589</v>
      </c>
      <c r="W143" s="596" t="s">
        <v>2591</v>
      </c>
      <c r="X143" s="596" t="s">
        <v>2590</v>
      </c>
      <c r="Y143" s="596" t="s">
        <v>2592</v>
      </c>
      <c r="Z143" s="596" t="s">
        <v>2592</v>
      </c>
      <c r="AA143" s="596" t="s">
        <v>2592</v>
      </c>
      <c r="AB143" s="596" t="s">
        <v>2592</v>
      </c>
      <c r="AC143" s="596" t="s">
        <v>2593</v>
      </c>
      <c r="AD143" s="595" t="s">
        <v>1804</v>
      </c>
      <c r="AE143" s="597" t="s">
        <v>2594</v>
      </c>
      <c r="AF143" s="597"/>
      <c r="AG143" s="598"/>
      <c r="AH143" s="598"/>
      <c r="AI143" s="598"/>
      <c r="AJ143" s="598"/>
      <c r="AK143" s="598"/>
      <c r="AL143" s="598"/>
      <c r="AM143" s="598"/>
      <c r="AN143" s="598"/>
      <c r="AO143" s="598"/>
      <c r="AP143" s="598"/>
      <c r="AQ143" s="598"/>
      <c r="AR143" s="598"/>
      <c r="AS143" s="598"/>
      <c r="AT143" s="598"/>
      <c r="AU143" s="598"/>
      <c r="AV143" s="598"/>
      <c r="AW143" s="598"/>
      <c r="AX143" s="598"/>
      <c r="AY143" s="598"/>
      <c r="AZ143" s="598"/>
      <c r="BA143" s="557" t="s">
        <v>925</v>
      </c>
      <c r="BB143" s="567" t="s">
        <v>1805</v>
      </c>
      <c r="BC143" s="567" t="s">
        <v>33</v>
      </c>
      <c r="BD143" s="567" t="s">
        <v>2595</v>
      </c>
      <c r="BE143" s="568" t="s">
        <v>145</v>
      </c>
      <c r="BF143" s="568" t="s">
        <v>2565</v>
      </c>
      <c r="BG143" s="598"/>
      <c r="BH143" s="598"/>
      <c r="BI143" s="598"/>
      <c r="BJ143" s="598"/>
      <c r="BK143" s="598"/>
      <c r="BL143" s="598"/>
      <c r="BM143" s="598"/>
      <c r="BN143" s="598"/>
      <c r="BO143" s="598"/>
      <c r="BP143" s="598"/>
      <c r="BQ143" s="598"/>
      <c r="BR143" s="598"/>
      <c r="BS143" s="598"/>
      <c r="BT143" s="598"/>
      <c r="BU143" s="598"/>
      <c r="BV143" s="598"/>
      <c r="BW143" s="598"/>
      <c r="BX143" s="598"/>
      <c r="BY143" s="598"/>
      <c r="BZ143" s="598"/>
      <c r="CA143" s="598"/>
      <c r="CB143" s="598"/>
      <c r="CC143" s="598"/>
      <c r="CD143" s="598"/>
      <c r="CE143" s="598"/>
      <c r="CF143" s="598"/>
      <c r="CG143" s="598"/>
      <c r="CH143" s="598"/>
      <c r="CI143" s="598"/>
      <c r="CJ143" s="598"/>
      <c r="CK143" s="598"/>
      <c r="CL143" s="598"/>
      <c r="CM143" s="598"/>
      <c r="CN143" s="598"/>
      <c r="CO143" s="598"/>
      <c r="CP143" s="598"/>
      <c r="CQ143" s="598"/>
      <c r="CR143" s="598"/>
      <c r="CS143" s="598"/>
      <c r="CT143" s="598"/>
      <c r="CU143" s="598"/>
      <c r="CV143" s="598"/>
      <c r="CW143" s="598"/>
    </row>
    <row r="144" spans="1:101" s="541" customFormat="1" ht="94.5">
      <c r="A144" s="557" t="s">
        <v>2616</v>
      </c>
      <c r="B144" s="568"/>
      <c r="C144" s="568"/>
      <c r="D144" s="568"/>
      <c r="E144" s="568" t="s">
        <v>24</v>
      </c>
      <c r="F144" s="595" t="s">
        <v>2617</v>
      </c>
      <c r="G144" s="595" t="s">
        <v>2618</v>
      </c>
      <c r="H144" s="595" t="s">
        <v>1022</v>
      </c>
      <c r="I144" s="595" t="s">
        <v>2619</v>
      </c>
      <c r="J144" s="595" t="s">
        <v>2620</v>
      </c>
      <c r="K144" s="595" t="s">
        <v>2583</v>
      </c>
      <c r="L144" s="595" t="s">
        <v>2584</v>
      </c>
      <c r="M144" s="595" t="s">
        <v>2585</v>
      </c>
      <c r="N144" s="595" t="s">
        <v>2586</v>
      </c>
      <c r="O144" s="595" t="s">
        <v>2587</v>
      </c>
      <c r="P144" s="595" t="s">
        <v>2588</v>
      </c>
      <c r="Q144" s="592" t="s">
        <v>2462</v>
      </c>
      <c r="R144" s="595" t="s">
        <v>1796</v>
      </c>
      <c r="S144" s="595" t="s">
        <v>2094</v>
      </c>
      <c r="T144" s="596" t="s">
        <v>2589</v>
      </c>
      <c r="U144" s="596" t="s">
        <v>2590</v>
      </c>
      <c r="V144" s="596" t="s">
        <v>2589</v>
      </c>
      <c r="W144" s="596" t="s">
        <v>2591</v>
      </c>
      <c r="X144" s="596" t="s">
        <v>2590</v>
      </c>
      <c r="Y144" s="596" t="s">
        <v>2592</v>
      </c>
      <c r="Z144" s="596" t="s">
        <v>2592</v>
      </c>
      <c r="AA144" s="596" t="s">
        <v>2592</v>
      </c>
      <c r="AB144" s="596" t="s">
        <v>2592</v>
      </c>
      <c r="AC144" s="596" t="s">
        <v>2593</v>
      </c>
      <c r="AD144" s="595" t="s">
        <v>1804</v>
      </c>
      <c r="AE144" s="597" t="s">
        <v>2594</v>
      </c>
      <c r="AF144" s="597"/>
      <c r="AG144" s="598"/>
      <c r="AH144" s="598"/>
      <c r="AI144" s="598"/>
      <c r="AJ144" s="598"/>
      <c r="AK144" s="598"/>
      <c r="AL144" s="598"/>
      <c r="AM144" s="598"/>
      <c r="AN144" s="598"/>
      <c r="AO144" s="598"/>
      <c r="AP144" s="598"/>
      <c r="AQ144" s="598"/>
      <c r="AR144" s="598"/>
      <c r="AS144" s="598"/>
      <c r="AT144" s="598"/>
      <c r="AU144" s="598"/>
      <c r="AV144" s="598"/>
      <c r="AW144" s="598"/>
      <c r="AX144" s="598"/>
      <c r="AY144" s="598"/>
      <c r="AZ144" s="598"/>
      <c r="BA144" s="557" t="s">
        <v>925</v>
      </c>
      <c r="BB144" s="567" t="s">
        <v>1805</v>
      </c>
      <c r="BC144" s="567" t="s">
        <v>33</v>
      </c>
      <c r="BD144" s="567" t="s">
        <v>2595</v>
      </c>
      <c r="BE144" s="568" t="s">
        <v>145</v>
      </c>
      <c r="BF144" s="568" t="s">
        <v>2565</v>
      </c>
      <c r="BG144" s="598"/>
      <c r="BH144" s="598"/>
      <c r="BI144" s="598"/>
      <c r="BJ144" s="598"/>
      <c r="BK144" s="598"/>
      <c r="BL144" s="598"/>
      <c r="BM144" s="598"/>
      <c r="BN144" s="598"/>
      <c r="BO144" s="598"/>
      <c r="BP144" s="598"/>
      <c r="BQ144" s="598"/>
      <c r="BR144" s="598"/>
      <c r="BS144" s="598"/>
      <c r="BT144" s="598"/>
      <c r="BU144" s="598"/>
      <c r="BV144" s="598"/>
      <c r="BW144" s="598"/>
      <c r="BX144" s="598"/>
      <c r="BY144" s="598"/>
      <c r="BZ144" s="598"/>
      <c r="CA144" s="598"/>
      <c r="CB144" s="598"/>
      <c r="CC144" s="598"/>
      <c r="CD144" s="598"/>
      <c r="CE144" s="598"/>
      <c r="CF144" s="598"/>
      <c r="CG144" s="598"/>
      <c r="CH144" s="598"/>
      <c r="CI144" s="598"/>
      <c r="CJ144" s="598"/>
      <c r="CK144" s="598"/>
      <c r="CL144" s="598"/>
      <c r="CM144" s="598"/>
      <c r="CN144" s="598"/>
      <c r="CO144" s="598"/>
      <c r="CP144" s="598"/>
      <c r="CQ144" s="598"/>
      <c r="CR144" s="598"/>
      <c r="CS144" s="598"/>
      <c r="CT144" s="598"/>
      <c r="CU144" s="598"/>
      <c r="CV144" s="598"/>
      <c r="CW144" s="598"/>
    </row>
    <row r="145" spans="1:101" s="541" customFormat="1" ht="94.5">
      <c r="A145" s="557" t="s">
        <v>2621</v>
      </c>
      <c r="B145" s="568"/>
      <c r="C145" s="568"/>
      <c r="D145" s="568"/>
      <c r="E145" s="568" t="s">
        <v>24</v>
      </c>
      <c r="F145" s="595" t="s">
        <v>2622</v>
      </c>
      <c r="G145" s="595" t="s">
        <v>2623</v>
      </c>
      <c r="H145" s="595" t="s">
        <v>2624</v>
      </c>
      <c r="I145" s="595" t="s">
        <v>2625</v>
      </c>
      <c r="J145" s="595" t="s">
        <v>2626</v>
      </c>
      <c r="K145" s="595" t="s">
        <v>2583</v>
      </c>
      <c r="L145" s="595" t="s">
        <v>2584</v>
      </c>
      <c r="M145" s="595" t="s">
        <v>2585</v>
      </c>
      <c r="N145" s="595" t="s">
        <v>2586</v>
      </c>
      <c r="O145" s="595" t="s">
        <v>2587</v>
      </c>
      <c r="P145" s="595" t="s">
        <v>2588</v>
      </c>
      <c r="Q145" s="592" t="s">
        <v>2462</v>
      </c>
      <c r="R145" s="595" t="s">
        <v>1796</v>
      </c>
      <c r="S145" s="595" t="s">
        <v>2094</v>
      </c>
      <c r="T145" s="596" t="s">
        <v>2589</v>
      </c>
      <c r="U145" s="596" t="s">
        <v>2590</v>
      </c>
      <c r="V145" s="596" t="s">
        <v>2589</v>
      </c>
      <c r="W145" s="596" t="s">
        <v>2591</v>
      </c>
      <c r="X145" s="596" t="s">
        <v>2590</v>
      </c>
      <c r="Y145" s="596" t="s">
        <v>2592</v>
      </c>
      <c r="Z145" s="596" t="s">
        <v>2592</v>
      </c>
      <c r="AA145" s="596" t="s">
        <v>2592</v>
      </c>
      <c r="AB145" s="596" t="s">
        <v>2592</v>
      </c>
      <c r="AC145" s="596" t="s">
        <v>2593</v>
      </c>
      <c r="AD145" s="595" t="s">
        <v>1804</v>
      </c>
      <c r="AE145" s="597" t="s">
        <v>2594</v>
      </c>
      <c r="AF145" s="597"/>
      <c r="AG145" s="598"/>
      <c r="AH145" s="598"/>
      <c r="AI145" s="598"/>
      <c r="AJ145" s="598"/>
      <c r="AK145" s="598"/>
      <c r="AL145" s="598"/>
      <c r="AM145" s="598"/>
      <c r="AN145" s="598"/>
      <c r="AO145" s="598"/>
      <c r="AP145" s="598"/>
      <c r="AQ145" s="598"/>
      <c r="AR145" s="598"/>
      <c r="AS145" s="598"/>
      <c r="AT145" s="598"/>
      <c r="AU145" s="598"/>
      <c r="AV145" s="598"/>
      <c r="AW145" s="598"/>
      <c r="AX145" s="598"/>
      <c r="AY145" s="598"/>
      <c r="AZ145" s="598"/>
      <c r="BA145" s="557" t="s">
        <v>925</v>
      </c>
      <c r="BB145" s="567" t="s">
        <v>1805</v>
      </c>
      <c r="BC145" s="567" t="s">
        <v>33</v>
      </c>
      <c r="BD145" s="567" t="s">
        <v>2595</v>
      </c>
      <c r="BE145" s="568" t="s">
        <v>145</v>
      </c>
      <c r="BF145" s="568" t="s">
        <v>2565</v>
      </c>
      <c r="BG145" s="598"/>
      <c r="BH145" s="598"/>
      <c r="BI145" s="598"/>
      <c r="BJ145" s="598"/>
      <c r="BK145" s="598"/>
      <c r="BL145" s="598"/>
      <c r="BM145" s="598"/>
      <c r="BN145" s="598"/>
      <c r="BO145" s="598"/>
      <c r="BP145" s="598"/>
      <c r="BQ145" s="598"/>
      <c r="BR145" s="598"/>
      <c r="BS145" s="598"/>
      <c r="BT145" s="598"/>
      <c r="BU145" s="598"/>
      <c r="BV145" s="598"/>
      <c r="BW145" s="598"/>
      <c r="BX145" s="598"/>
      <c r="BY145" s="598"/>
      <c r="BZ145" s="598"/>
      <c r="CA145" s="598"/>
      <c r="CB145" s="598"/>
      <c r="CC145" s="598"/>
      <c r="CD145" s="598"/>
      <c r="CE145" s="598"/>
      <c r="CF145" s="598"/>
      <c r="CG145" s="598"/>
      <c r="CH145" s="598"/>
      <c r="CI145" s="598"/>
      <c r="CJ145" s="598"/>
      <c r="CK145" s="598"/>
      <c r="CL145" s="598"/>
      <c r="CM145" s="598"/>
      <c r="CN145" s="598"/>
      <c r="CO145" s="598"/>
      <c r="CP145" s="598"/>
      <c r="CQ145" s="598"/>
      <c r="CR145" s="598"/>
      <c r="CS145" s="598"/>
      <c r="CT145" s="598"/>
      <c r="CU145" s="598"/>
      <c r="CV145" s="598"/>
      <c r="CW145" s="598"/>
    </row>
    <row r="146" spans="1:101" s="541" customFormat="1" ht="94.5">
      <c r="A146" s="557" t="s">
        <v>2627</v>
      </c>
      <c r="B146" s="568"/>
      <c r="C146" s="568"/>
      <c r="D146" s="568"/>
      <c r="E146" s="568" t="s">
        <v>24</v>
      </c>
      <c r="F146" s="595" t="s">
        <v>2628</v>
      </c>
      <c r="G146" s="595" t="s">
        <v>2629</v>
      </c>
      <c r="H146" s="595" t="s">
        <v>2630</v>
      </c>
      <c r="I146" s="595" t="s">
        <v>2631</v>
      </c>
      <c r="J146" s="595" t="s">
        <v>2632</v>
      </c>
      <c r="K146" s="595" t="s">
        <v>2583</v>
      </c>
      <c r="L146" s="595" t="s">
        <v>2584</v>
      </c>
      <c r="M146" s="595" t="s">
        <v>2585</v>
      </c>
      <c r="N146" s="595" t="s">
        <v>2586</v>
      </c>
      <c r="O146" s="595" t="s">
        <v>2587</v>
      </c>
      <c r="P146" s="595" t="s">
        <v>2588</v>
      </c>
      <c r="Q146" s="592" t="s">
        <v>2462</v>
      </c>
      <c r="R146" s="595" t="s">
        <v>1796</v>
      </c>
      <c r="S146" s="595" t="s">
        <v>2094</v>
      </c>
      <c r="T146" s="596" t="s">
        <v>2589</v>
      </c>
      <c r="U146" s="596" t="s">
        <v>2590</v>
      </c>
      <c r="V146" s="596" t="s">
        <v>2589</v>
      </c>
      <c r="W146" s="596" t="s">
        <v>2591</v>
      </c>
      <c r="X146" s="596" t="s">
        <v>2590</v>
      </c>
      <c r="Y146" s="596" t="s">
        <v>2592</v>
      </c>
      <c r="Z146" s="596" t="s">
        <v>2592</v>
      </c>
      <c r="AA146" s="596" t="s">
        <v>2592</v>
      </c>
      <c r="AB146" s="596" t="s">
        <v>2592</v>
      </c>
      <c r="AC146" s="596" t="s">
        <v>2593</v>
      </c>
      <c r="AD146" s="595" t="s">
        <v>1804</v>
      </c>
      <c r="AE146" s="597" t="s">
        <v>2594</v>
      </c>
      <c r="AF146" s="597"/>
      <c r="AG146" s="598"/>
      <c r="AH146" s="598"/>
      <c r="AI146" s="598"/>
      <c r="AJ146" s="598"/>
      <c r="AK146" s="598"/>
      <c r="AL146" s="598"/>
      <c r="AM146" s="598"/>
      <c r="AN146" s="598"/>
      <c r="AO146" s="598"/>
      <c r="AP146" s="598"/>
      <c r="AQ146" s="598"/>
      <c r="AR146" s="598"/>
      <c r="AS146" s="598"/>
      <c r="AT146" s="598"/>
      <c r="AU146" s="598"/>
      <c r="AV146" s="598"/>
      <c r="AW146" s="598"/>
      <c r="AX146" s="598"/>
      <c r="AY146" s="598"/>
      <c r="AZ146" s="598"/>
      <c r="BA146" s="557" t="s">
        <v>925</v>
      </c>
      <c r="BB146" s="567" t="s">
        <v>1805</v>
      </c>
      <c r="BC146" s="567" t="s">
        <v>33</v>
      </c>
      <c r="BD146" s="567" t="s">
        <v>2595</v>
      </c>
      <c r="BE146" s="568" t="s">
        <v>145</v>
      </c>
      <c r="BF146" s="568" t="s">
        <v>2565</v>
      </c>
      <c r="BG146" s="598"/>
      <c r="BH146" s="598"/>
      <c r="BI146" s="598"/>
      <c r="BJ146" s="598"/>
      <c r="BK146" s="598"/>
      <c r="BL146" s="598"/>
      <c r="BM146" s="598"/>
      <c r="BN146" s="598"/>
      <c r="BO146" s="598"/>
      <c r="BP146" s="598"/>
      <c r="BQ146" s="598"/>
      <c r="BR146" s="598"/>
      <c r="BS146" s="598"/>
      <c r="BT146" s="598"/>
      <c r="BU146" s="598"/>
      <c r="BV146" s="598"/>
      <c r="BW146" s="598"/>
      <c r="BX146" s="598"/>
      <c r="BY146" s="598"/>
      <c r="BZ146" s="598"/>
      <c r="CA146" s="598"/>
      <c r="CB146" s="598"/>
      <c r="CC146" s="598"/>
      <c r="CD146" s="598"/>
      <c r="CE146" s="598"/>
      <c r="CF146" s="598"/>
      <c r="CG146" s="598"/>
      <c r="CH146" s="598"/>
      <c r="CI146" s="598"/>
      <c r="CJ146" s="598"/>
      <c r="CK146" s="598"/>
      <c r="CL146" s="598"/>
      <c r="CM146" s="598"/>
      <c r="CN146" s="598"/>
      <c r="CO146" s="598"/>
      <c r="CP146" s="598"/>
      <c r="CQ146" s="598"/>
      <c r="CR146" s="598"/>
      <c r="CS146" s="598"/>
      <c r="CT146" s="598"/>
      <c r="CU146" s="598"/>
      <c r="CV146" s="598"/>
      <c r="CW146" s="598"/>
    </row>
    <row r="147" spans="1:101" s="541" customFormat="1" ht="60">
      <c r="A147" s="557" t="s">
        <v>2633</v>
      </c>
      <c r="B147" s="557"/>
      <c r="C147" s="557"/>
      <c r="D147" s="557"/>
      <c r="E147" s="557" t="s">
        <v>24</v>
      </c>
      <c r="F147" s="564" t="s">
        <v>1029</v>
      </c>
      <c r="G147" s="571" t="s">
        <v>1030</v>
      </c>
      <c r="H147" s="564" t="s">
        <v>1031</v>
      </c>
      <c r="I147" s="564" t="s">
        <v>2634</v>
      </c>
      <c r="J147" s="564" t="s">
        <v>2635</v>
      </c>
      <c r="K147" s="564" t="s">
        <v>2636</v>
      </c>
      <c r="L147" s="564" t="s">
        <v>2637</v>
      </c>
      <c r="M147" s="564" t="s">
        <v>2638</v>
      </c>
      <c r="N147" s="564" t="s">
        <v>2639</v>
      </c>
      <c r="O147" s="564" t="s">
        <v>2640</v>
      </c>
      <c r="P147" s="564" t="s">
        <v>2641</v>
      </c>
      <c r="Q147" s="592" t="s">
        <v>2462</v>
      </c>
      <c r="R147" s="564" t="s">
        <v>2642</v>
      </c>
      <c r="S147" s="564" t="s">
        <v>2464</v>
      </c>
      <c r="T147" s="564" t="s">
        <v>1804</v>
      </c>
      <c r="U147" s="564" t="s">
        <v>1804</v>
      </c>
      <c r="V147" s="564" t="s">
        <v>1804</v>
      </c>
      <c r="W147" s="564" t="s">
        <v>1804</v>
      </c>
      <c r="X147" s="564" t="s">
        <v>1804</v>
      </c>
      <c r="Y147" s="564" t="s">
        <v>1804</v>
      </c>
      <c r="Z147" s="564" t="s">
        <v>1804</v>
      </c>
      <c r="AA147" s="564" t="s">
        <v>1804</v>
      </c>
      <c r="AB147" s="564" t="s">
        <v>1804</v>
      </c>
      <c r="AC147" s="564" t="s">
        <v>2643</v>
      </c>
      <c r="AD147" s="564" t="s">
        <v>1804</v>
      </c>
      <c r="AE147" s="564"/>
      <c r="AF147" s="565"/>
      <c r="BA147" s="557" t="s">
        <v>1032</v>
      </c>
      <c r="BB147" s="567" t="s">
        <v>2644</v>
      </c>
      <c r="BC147" s="567" t="s">
        <v>33</v>
      </c>
      <c r="BD147" s="567" t="s">
        <v>1804</v>
      </c>
      <c r="BE147" s="557" t="s">
        <v>145</v>
      </c>
      <c r="BF147" s="568" t="s">
        <v>1807</v>
      </c>
    </row>
    <row r="148" spans="1:101" s="541" customFormat="1" ht="60">
      <c r="A148" s="557" t="s">
        <v>2645</v>
      </c>
      <c r="B148" s="557"/>
      <c r="C148" s="557"/>
      <c r="D148" s="557"/>
      <c r="E148" s="557" t="s">
        <v>24</v>
      </c>
      <c r="F148" s="564" t="s">
        <v>1033</v>
      </c>
      <c r="G148" s="571" t="s">
        <v>1034</v>
      </c>
      <c r="H148" s="564" t="s">
        <v>1035</v>
      </c>
      <c r="I148" s="564" t="s">
        <v>2646</v>
      </c>
      <c r="J148" s="564" t="s">
        <v>2647</v>
      </c>
      <c r="K148" s="564" t="s">
        <v>2648</v>
      </c>
      <c r="L148" s="564" t="s">
        <v>2637</v>
      </c>
      <c r="M148" s="564" t="s">
        <v>2638</v>
      </c>
      <c r="N148" s="564" t="s">
        <v>2639</v>
      </c>
      <c r="O148" s="564" t="s">
        <v>2649</v>
      </c>
      <c r="P148" s="564" t="s">
        <v>2650</v>
      </c>
      <c r="Q148" s="592" t="s">
        <v>2462</v>
      </c>
      <c r="R148" s="564" t="s">
        <v>2642</v>
      </c>
      <c r="S148" s="564" t="s">
        <v>2464</v>
      </c>
      <c r="T148" s="564" t="s">
        <v>1804</v>
      </c>
      <c r="U148" s="564" t="s">
        <v>1804</v>
      </c>
      <c r="V148" s="564" t="s">
        <v>1804</v>
      </c>
      <c r="W148" s="564" t="s">
        <v>1804</v>
      </c>
      <c r="X148" s="564" t="s">
        <v>1804</v>
      </c>
      <c r="Y148" s="564" t="s">
        <v>1804</v>
      </c>
      <c r="Z148" s="564" t="s">
        <v>1804</v>
      </c>
      <c r="AA148" s="564" t="s">
        <v>1804</v>
      </c>
      <c r="AB148" s="564" t="s">
        <v>1804</v>
      </c>
      <c r="AC148" s="564" t="s">
        <v>2643</v>
      </c>
      <c r="AD148" s="564" t="s">
        <v>1804</v>
      </c>
      <c r="AE148" s="564"/>
      <c r="AF148" s="565"/>
      <c r="BA148" s="557" t="s">
        <v>1032</v>
      </c>
      <c r="BB148" s="567" t="s">
        <v>2644</v>
      </c>
      <c r="BC148" s="567" t="s">
        <v>33</v>
      </c>
      <c r="BD148" s="567" t="s">
        <v>1804</v>
      </c>
      <c r="BE148" s="557" t="s">
        <v>145</v>
      </c>
      <c r="BF148" s="568" t="s">
        <v>1807</v>
      </c>
    </row>
    <row r="149" spans="1:101" s="541" customFormat="1" ht="165">
      <c r="A149" s="557" t="s">
        <v>2651</v>
      </c>
      <c r="B149" s="557"/>
      <c r="C149" s="557"/>
      <c r="D149" s="557"/>
      <c r="E149" s="557" t="s">
        <v>24</v>
      </c>
      <c r="F149" s="564" t="s">
        <v>1036</v>
      </c>
      <c r="G149" s="571" t="s">
        <v>1037</v>
      </c>
      <c r="H149" s="564" t="s">
        <v>1038</v>
      </c>
      <c r="I149" s="564" t="s">
        <v>2652</v>
      </c>
      <c r="J149" s="564" t="s">
        <v>2653</v>
      </c>
      <c r="K149" s="564" t="s">
        <v>2654</v>
      </c>
      <c r="L149" s="564" t="s">
        <v>2655</v>
      </c>
      <c r="M149" s="564" t="s">
        <v>2656</v>
      </c>
      <c r="N149" s="564" t="s">
        <v>2657</v>
      </c>
      <c r="O149" s="564" t="s">
        <v>2658</v>
      </c>
      <c r="P149" s="564" t="s">
        <v>2659</v>
      </c>
      <c r="Q149" s="592" t="s">
        <v>2462</v>
      </c>
      <c r="R149" s="564" t="s">
        <v>2660</v>
      </c>
      <c r="S149" s="564" t="s">
        <v>2661</v>
      </c>
      <c r="T149" s="564" t="s">
        <v>1804</v>
      </c>
      <c r="U149" s="564" t="s">
        <v>1804</v>
      </c>
      <c r="V149" s="564" t="s">
        <v>1804</v>
      </c>
      <c r="W149" s="564" t="s">
        <v>1804</v>
      </c>
      <c r="X149" s="564" t="s">
        <v>1804</v>
      </c>
      <c r="Y149" s="564" t="s">
        <v>1804</v>
      </c>
      <c r="Z149" s="564" t="s">
        <v>1804</v>
      </c>
      <c r="AA149" s="564" t="s">
        <v>1804</v>
      </c>
      <c r="AB149" s="564" t="s">
        <v>1804</v>
      </c>
      <c r="AC149" s="564" t="s">
        <v>2643</v>
      </c>
      <c r="AD149" s="564" t="s">
        <v>1804</v>
      </c>
      <c r="AE149" s="564"/>
      <c r="AF149" s="565"/>
      <c r="BA149" s="557" t="s">
        <v>1032</v>
      </c>
      <c r="BB149" s="567" t="s">
        <v>2644</v>
      </c>
      <c r="BC149" s="567" t="s">
        <v>33</v>
      </c>
      <c r="BD149" s="567" t="s">
        <v>1804</v>
      </c>
      <c r="BE149" s="557" t="s">
        <v>145</v>
      </c>
      <c r="BF149" s="568" t="s">
        <v>1807</v>
      </c>
    </row>
    <row r="150" spans="1:101" ht="60">
      <c r="A150" s="356" t="s">
        <v>2662</v>
      </c>
      <c r="B150" s="356"/>
      <c r="C150" s="356"/>
      <c r="D150" s="356"/>
      <c r="E150" s="356" t="s">
        <v>24</v>
      </c>
      <c r="F150" s="442" t="s">
        <v>1039</v>
      </c>
      <c r="G150" s="443" t="s">
        <v>1040</v>
      </c>
      <c r="H150" s="442" t="s">
        <v>1041</v>
      </c>
      <c r="I150" s="442" t="s">
        <v>2663</v>
      </c>
      <c r="J150" s="442" t="s">
        <v>2664</v>
      </c>
      <c r="K150" s="442" t="s">
        <v>2665</v>
      </c>
      <c r="L150" s="442" t="s">
        <v>2666</v>
      </c>
      <c r="M150" s="442" t="s">
        <v>2665</v>
      </c>
      <c r="N150" s="442" t="s">
        <v>2667</v>
      </c>
      <c r="O150" s="442" t="s">
        <v>2668</v>
      </c>
      <c r="P150" s="442" t="s">
        <v>2669</v>
      </c>
      <c r="Q150" s="450" t="s">
        <v>2462</v>
      </c>
      <c r="R150" s="442" t="s">
        <v>2660</v>
      </c>
      <c r="S150" s="442" t="s">
        <v>2661</v>
      </c>
      <c r="T150" s="442" t="s">
        <v>1804</v>
      </c>
      <c r="U150" s="442" t="s">
        <v>1804</v>
      </c>
      <c r="V150" s="442" t="s">
        <v>1804</v>
      </c>
      <c r="W150" s="442" t="s">
        <v>1804</v>
      </c>
      <c r="X150" s="442" t="s">
        <v>1804</v>
      </c>
      <c r="Y150" s="442" t="s">
        <v>1804</v>
      </c>
      <c r="Z150" s="442" t="s">
        <v>1804</v>
      </c>
      <c r="AA150" s="442" t="s">
        <v>1804</v>
      </c>
      <c r="AB150" s="442" t="s">
        <v>1804</v>
      </c>
      <c r="AC150" s="442" t="s">
        <v>2643</v>
      </c>
      <c r="AD150" s="442" t="s">
        <v>1804</v>
      </c>
      <c r="AE150" s="442"/>
      <c r="AF150" s="386"/>
      <c r="BA150" s="356" t="s">
        <v>1032</v>
      </c>
      <c r="BB150" s="545" t="s">
        <v>2644</v>
      </c>
      <c r="BC150" s="545" t="s">
        <v>33</v>
      </c>
      <c r="BD150" s="545" t="s">
        <v>1804</v>
      </c>
      <c r="BE150" s="356" t="s">
        <v>145</v>
      </c>
      <c r="BF150" s="421" t="s">
        <v>1807</v>
      </c>
    </row>
    <row r="151" spans="1:101" ht="60">
      <c r="A151" s="356" t="s">
        <v>2670</v>
      </c>
      <c r="B151" s="356"/>
      <c r="C151" s="356"/>
      <c r="D151" s="356"/>
      <c r="E151" s="356" t="s">
        <v>24</v>
      </c>
      <c r="F151" s="442" t="s">
        <v>1042</v>
      </c>
      <c r="G151" s="443" t="s">
        <v>1043</v>
      </c>
      <c r="H151" s="442" t="s">
        <v>1044</v>
      </c>
      <c r="I151" s="442" t="s">
        <v>2671</v>
      </c>
      <c r="J151" s="442" t="s">
        <v>2672</v>
      </c>
      <c r="K151" s="442" t="s">
        <v>2673</v>
      </c>
      <c r="L151" s="442" t="s">
        <v>2674</v>
      </c>
      <c r="M151" s="442" t="s">
        <v>2675</v>
      </c>
      <c r="N151" s="442" t="s">
        <v>2676</v>
      </c>
      <c r="O151" s="442" t="s">
        <v>2649</v>
      </c>
      <c r="P151" s="442" t="s">
        <v>2650</v>
      </c>
      <c r="Q151" s="450" t="s">
        <v>2462</v>
      </c>
      <c r="R151" s="442" t="s">
        <v>2642</v>
      </c>
      <c r="S151" s="442" t="s">
        <v>2464</v>
      </c>
      <c r="T151" s="442" t="s">
        <v>1804</v>
      </c>
      <c r="U151" s="442" t="s">
        <v>1804</v>
      </c>
      <c r="V151" s="442" t="s">
        <v>1804</v>
      </c>
      <c r="W151" s="442" t="s">
        <v>1804</v>
      </c>
      <c r="X151" s="442" t="s">
        <v>1804</v>
      </c>
      <c r="Y151" s="442" t="s">
        <v>1804</v>
      </c>
      <c r="Z151" s="442" t="s">
        <v>1804</v>
      </c>
      <c r="AA151" s="442" t="s">
        <v>1804</v>
      </c>
      <c r="AB151" s="442" t="s">
        <v>1804</v>
      </c>
      <c r="AC151" s="442" t="s">
        <v>2643</v>
      </c>
      <c r="AD151" s="442" t="s">
        <v>1804</v>
      </c>
      <c r="AE151" s="442"/>
      <c r="AF151" s="386"/>
      <c r="BA151" s="356" t="s">
        <v>1032</v>
      </c>
      <c r="BB151" s="545" t="s">
        <v>2644</v>
      </c>
      <c r="BC151" s="545" t="s">
        <v>33</v>
      </c>
      <c r="BD151" s="545" t="s">
        <v>1804</v>
      </c>
      <c r="BE151" s="356" t="s">
        <v>145</v>
      </c>
      <c r="BF151" s="421" t="s">
        <v>1807</v>
      </c>
    </row>
    <row r="152" spans="1:101" ht="150">
      <c r="A152" s="356" t="s">
        <v>2677</v>
      </c>
      <c r="B152" s="356"/>
      <c r="C152" s="356"/>
      <c r="D152" s="356"/>
      <c r="E152" s="356" t="s">
        <v>24</v>
      </c>
      <c r="F152" s="442" t="s">
        <v>1045</v>
      </c>
      <c r="G152" s="443" t="s">
        <v>1046</v>
      </c>
      <c r="H152" s="442" t="s">
        <v>1047</v>
      </c>
      <c r="I152" s="442" t="s">
        <v>2678</v>
      </c>
      <c r="J152" s="442" t="s">
        <v>2679</v>
      </c>
      <c r="K152" s="442" t="s">
        <v>2680</v>
      </c>
      <c r="L152" s="442" t="s">
        <v>2681</v>
      </c>
      <c r="M152" s="442" t="s">
        <v>2682</v>
      </c>
      <c r="N152" s="442" t="s">
        <v>2683</v>
      </c>
      <c r="O152" s="442" t="s">
        <v>2684</v>
      </c>
      <c r="P152" s="442" t="s">
        <v>2685</v>
      </c>
      <c r="Q152" s="450" t="s">
        <v>2462</v>
      </c>
      <c r="R152" s="442" t="s">
        <v>2686</v>
      </c>
      <c r="S152" s="442" t="s">
        <v>2464</v>
      </c>
      <c r="T152" s="442" t="s">
        <v>1804</v>
      </c>
      <c r="U152" s="442" t="s">
        <v>1804</v>
      </c>
      <c r="V152" s="442" t="s">
        <v>1804</v>
      </c>
      <c r="W152" s="442" t="s">
        <v>1804</v>
      </c>
      <c r="X152" s="442" t="s">
        <v>1804</v>
      </c>
      <c r="Y152" s="442" t="s">
        <v>1804</v>
      </c>
      <c r="Z152" s="442" t="s">
        <v>1804</v>
      </c>
      <c r="AA152" s="442" t="s">
        <v>1804</v>
      </c>
      <c r="AB152" s="442" t="s">
        <v>1804</v>
      </c>
      <c r="AC152" s="442" t="s">
        <v>2643</v>
      </c>
      <c r="AD152" s="442" t="s">
        <v>1804</v>
      </c>
      <c r="AE152" s="442"/>
      <c r="AF152" s="386"/>
      <c r="BA152" s="356" t="s">
        <v>1032</v>
      </c>
      <c r="BB152" s="545" t="s">
        <v>2644</v>
      </c>
      <c r="BC152" s="545" t="s">
        <v>33</v>
      </c>
      <c r="BD152" s="545" t="s">
        <v>1804</v>
      </c>
      <c r="BE152" s="356" t="s">
        <v>145</v>
      </c>
      <c r="BF152" s="421" t="s">
        <v>1807</v>
      </c>
    </row>
    <row r="153" spans="1:101" ht="60">
      <c r="A153" s="356" t="s">
        <v>2687</v>
      </c>
      <c r="B153" s="356"/>
      <c r="C153" s="356"/>
      <c r="D153" s="356"/>
      <c r="E153" s="356" t="s">
        <v>24</v>
      </c>
      <c r="F153" s="442" t="s">
        <v>1048</v>
      </c>
      <c r="G153" s="443" t="s">
        <v>1049</v>
      </c>
      <c r="H153" s="442" t="s">
        <v>1050</v>
      </c>
      <c r="I153" s="442" t="s">
        <v>2688</v>
      </c>
      <c r="J153" s="442" t="s">
        <v>2689</v>
      </c>
      <c r="K153" s="442" t="s">
        <v>2690</v>
      </c>
      <c r="L153" s="442" t="s">
        <v>2691</v>
      </c>
      <c r="M153" s="442" t="s">
        <v>2692</v>
      </c>
      <c r="N153" s="442" t="s">
        <v>2676</v>
      </c>
      <c r="O153" s="442" t="s">
        <v>2649</v>
      </c>
      <c r="P153" s="442" t="s">
        <v>2650</v>
      </c>
      <c r="Q153" s="450" t="s">
        <v>2462</v>
      </c>
      <c r="R153" s="442" t="s">
        <v>2642</v>
      </c>
      <c r="S153" s="442" t="s">
        <v>2464</v>
      </c>
      <c r="T153" s="442" t="s">
        <v>1804</v>
      </c>
      <c r="U153" s="442" t="s">
        <v>1804</v>
      </c>
      <c r="V153" s="442" t="s">
        <v>1804</v>
      </c>
      <c r="W153" s="442" t="s">
        <v>1804</v>
      </c>
      <c r="X153" s="442" t="s">
        <v>1804</v>
      </c>
      <c r="Y153" s="442" t="s">
        <v>1804</v>
      </c>
      <c r="Z153" s="442" t="s">
        <v>1804</v>
      </c>
      <c r="AA153" s="442" t="s">
        <v>1804</v>
      </c>
      <c r="AB153" s="442" t="s">
        <v>1804</v>
      </c>
      <c r="AC153" s="442" t="s">
        <v>2643</v>
      </c>
      <c r="AD153" s="442" t="s">
        <v>1804</v>
      </c>
      <c r="AE153" s="442"/>
      <c r="AF153" s="386"/>
      <c r="BA153" s="356" t="s">
        <v>1032</v>
      </c>
      <c r="BB153" s="545" t="s">
        <v>2644</v>
      </c>
      <c r="BC153" s="545" t="s">
        <v>33</v>
      </c>
      <c r="BD153" s="545" t="s">
        <v>1804</v>
      </c>
      <c r="BE153" s="356" t="s">
        <v>145</v>
      </c>
      <c r="BF153" s="421" t="s">
        <v>1807</v>
      </c>
    </row>
    <row r="154" spans="1:101" ht="90">
      <c r="A154" s="356" t="s">
        <v>2693</v>
      </c>
      <c r="B154" s="443"/>
      <c r="C154" s="443"/>
      <c r="D154" s="443"/>
      <c r="E154" s="356" t="s">
        <v>24</v>
      </c>
      <c r="F154" s="454" t="s">
        <v>1051</v>
      </c>
      <c r="G154" s="455" t="s">
        <v>1052</v>
      </c>
      <c r="H154" s="443" t="s">
        <v>2694</v>
      </c>
      <c r="I154" s="456" t="s">
        <v>2695</v>
      </c>
      <c r="J154" s="456" t="s">
        <v>2696</v>
      </c>
      <c r="K154" s="443" t="s">
        <v>2697</v>
      </c>
      <c r="L154" s="456" t="s">
        <v>2696</v>
      </c>
      <c r="M154" s="457" t="s">
        <v>2698</v>
      </c>
      <c r="N154" s="458" t="s">
        <v>2699</v>
      </c>
      <c r="O154" s="443" t="s">
        <v>2700</v>
      </c>
      <c r="P154" s="443" t="s">
        <v>2700</v>
      </c>
      <c r="Q154" s="459" t="s">
        <v>1795</v>
      </c>
      <c r="R154" s="454" t="s">
        <v>2701</v>
      </c>
      <c r="S154" s="460" t="s">
        <v>2702</v>
      </c>
      <c r="T154" s="442" t="s">
        <v>2703</v>
      </c>
      <c r="U154" s="454" t="s">
        <v>2704</v>
      </c>
      <c r="V154" s="442" t="s">
        <v>2705</v>
      </c>
      <c r="W154" s="442" t="s">
        <v>2706</v>
      </c>
      <c r="X154" s="454" t="s">
        <v>2704</v>
      </c>
      <c r="Y154" s="454" t="s">
        <v>1804</v>
      </c>
      <c r="Z154" s="454" t="s">
        <v>2707</v>
      </c>
      <c r="AA154" s="454" t="s">
        <v>1804</v>
      </c>
      <c r="AB154" s="454" t="s">
        <v>1804</v>
      </c>
      <c r="AC154" s="442" t="s">
        <v>2708</v>
      </c>
      <c r="AD154" s="454" t="s">
        <v>1804</v>
      </c>
      <c r="AE154" s="454"/>
      <c r="AF154" s="386"/>
      <c r="BA154" s="356" t="s">
        <v>1054</v>
      </c>
      <c r="BB154" s="545" t="s">
        <v>1805</v>
      </c>
      <c r="BC154" s="545" t="s">
        <v>33</v>
      </c>
      <c r="BD154" s="545" t="s">
        <v>1806</v>
      </c>
      <c r="BE154" s="356" t="s">
        <v>145</v>
      </c>
      <c r="BF154" s="421" t="s">
        <v>1807</v>
      </c>
    </row>
    <row r="155" spans="1:101" ht="90">
      <c r="A155" s="356" t="s">
        <v>2709</v>
      </c>
      <c r="B155" s="356"/>
      <c r="C155" s="356"/>
      <c r="D155" s="356"/>
      <c r="E155" s="356" t="s">
        <v>24</v>
      </c>
      <c r="F155" s="442" t="s">
        <v>1055</v>
      </c>
      <c r="G155" s="443" t="s">
        <v>2710</v>
      </c>
      <c r="H155" s="442" t="s">
        <v>1057</v>
      </c>
      <c r="I155" s="442" t="s">
        <v>2711</v>
      </c>
      <c r="J155" s="442" t="s">
        <v>2712</v>
      </c>
      <c r="K155" s="442" t="s">
        <v>2713</v>
      </c>
      <c r="L155" s="442" t="s">
        <v>2714</v>
      </c>
      <c r="M155" s="442" t="s">
        <v>2715</v>
      </c>
      <c r="N155" s="442" t="s">
        <v>2716</v>
      </c>
      <c r="O155" s="461" t="s">
        <v>2717</v>
      </c>
      <c r="P155" s="447" t="s">
        <v>2718</v>
      </c>
      <c r="Q155" s="356" t="s">
        <v>1795</v>
      </c>
      <c r="R155" s="442" t="s">
        <v>2719</v>
      </c>
      <c r="S155" s="442" t="s">
        <v>1824</v>
      </c>
      <c r="T155" s="442" t="s">
        <v>2720</v>
      </c>
      <c r="U155" s="442" t="s">
        <v>2721</v>
      </c>
      <c r="V155" s="442" t="s">
        <v>2722</v>
      </c>
      <c r="W155" s="442" t="s">
        <v>2723</v>
      </c>
      <c r="X155" s="442" t="s">
        <v>2721</v>
      </c>
      <c r="Y155" s="442" t="s">
        <v>1804</v>
      </c>
      <c r="Z155" s="442" t="s">
        <v>1804</v>
      </c>
      <c r="AA155" s="442" t="s">
        <v>1804</v>
      </c>
      <c r="AB155" s="442" t="s">
        <v>1804</v>
      </c>
      <c r="AC155" s="442" t="s">
        <v>1804</v>
      </c>
      <c r="AD155" s="442" t="s">
        <v>1804</v>
      </c>
      <c r="AE155" s="442"/>
      <c r="AF155" s="386"/>
      <c r="BA155" s="356" t="s">
        <v>1058</v>
      </c>
      <c r="BB155" s="545" t="s">
        <v>1805</v>
      </c>
      <c r="BC155" s="545" t="s">
        <v>33</v>
      </c>
      <c r="BD155" s="545" t="s">
        <v>1806</v>
      </c>
      <c r="BE155" s="356" t="s">
        <v>145</v>
      </c>
      <c r="BF155" s="421" t="s">
        <v>1807</v>
      </c>
    </row>
    <row r="156" spans="1:101" ht="90">
      <c r="A156" s="356" t="s">
        <v>2724</v>
      </c>
      <c r="B156" s="356"/>
      <c r="C156" s="356"/>
      <c r="D156" s="356"/>
      <c r="E156" s="356" t="s">
        <v>24</v>
      </c>
      <c r="F156" s="442" t="s">
        <v>1059</v>
      </c>
      <c r="G156" s="443" t="s">
        <v>1060</v>
      </c>
      <c r="H156" s="442" t="s">
        <v>1061</v>
      </c>
      <c r="I156" s="442" t="s">
        <v>2725</v>
      </c>
      <c r="J156" s="442" t="s">
        <v>2726</v>
      </c>
      <c r="K156" s="442" t="s">
        <v>2713</v>
      </c>
      <c r="L156" s="442" t="s">
        <v>2714</v>
      </c>
      <c r="M156" s="442" t="s">
        <v>2715</v>
      </c>
      <c r="N156" s="442" t="s">
        <v>2727</v>
      </c>
      <c r="O156" s="461" t="s">
        <v>2728</v>
      </c>
      <c r="P156" s="447" t="s">
        <v>2729</v>
      </c>
      <c r="Q156" s="356" t="s">
        <v>1795</v>
      </c>
      <c r="R156" s="442" t="s">
        <v>2719</v>
      </c>
      <c r="S156" s="442" t="s">
        <v>1824</v>
      </c>
      <c r="T156" s="442" t="s">
        <v>2730</v>
      </c>
      <c r="U156" s="442" t="s">
        <v>2721</v>
      </c>
      <c r="V156" s="442" t="s">
        <v>2722</v>
      </c>
      <c r="W156" s="442" t="s">
        <v>2731</v>
      </c>
      <c r="X156" s="442" t="s">
        <v>2721</v>
      </c>
      <c r="Y156" s="442" t="s">
        <v>1804</v>
      </c>
      <c r="Z156" s="442" t="s">
        <v>1804</v>
      </c>
      <c r="AA156" s="442" t="s">
        <v>1804</v>
      </c>
      <c r="AB156" s="442" t="s">
        <v>1804</v>
      </c>
      <c r="AC156" s="442" t="s">
        <v>1804</v>
      </c>
      <c r="AD156" s="442" t="s">
        <v>1804</v>
      </c>
      <c r="AE156" s="442"/>
      <c r="AF156" s="386"/>
      <c r="BA156" s="356" t="s">
        <v>1058</v>
      </c>
      <c r="BB156" s="545" t="s">
        <v>1805</v>
      </c>
      <c r="BC156" s="545" t="s">
        <v>33</v>
      </c>
      <c r="BD156" s="545" t="s">
        <v>1806</v>
      </c>
      <c r="BE156" s="356" t="s">
        <v>145</v>
      </c>
      <c r="BF156" s="421" t="s">
        <v>1807</v>
      </c>
    </row>
    <row r="157" spans="1:101" ht="90">
      <c r="A157" s="356" t="s">
        <v>2732</v>
      </c>
      <c r="B157" s="356"/>
      <c r="C157" s="356"/>
      <c r="D157" s="356"/>
      <c r="E157" s="356" t="s">
        <v>24</v>
      </c>
      <c r="F157" s="442" t="s">
        <v>1062</v>
      </c>
      <c r="G157" s="443" t="s">
        <v>1063</v>
      </c>
      <c r="H157" s="442" t="s">
        <v>1064</v>
      </c>
      <c r="I157" s="442" t="s">
        <v>2733</v>
      </c>
      <c r="J157" s="442" t="s">
        <v>2734</v>
      </c>
      <c r="K157" s="442" t="s">
        <v>2713</v>
      </c>
      <c r="L157" s="442" t="s">
        <v>2714</v>
      </c>
      <c r="M157" s="442" t="s">
        <v>2715</v>
      </c>
      <c r="N157" s="442" t="s">
        <v>2735</v>
      </c>
      <c r="O157" s="461" t="s">
        <v>2736</v>
      </c>
      <c r="P157" s="447" t="s">
        <v>2737</v>
      </c>
      <c r="Q157" s="356" t="s">
        <v>1795</v>
      </c>
      <c r="R157" s="442" t="s">
        <v>2719</v>
      </c>
      <c r="S157" s="442" t="s">
        <v>1824</v>
      </c>
      <c r="T157" s="442" t="s">
        <v>2738</v>
      </c>
      <c r="U157" s="442" t="s">
        <v>2721</v>
      </c>
      <c r="V157" s="442" t="s">
        <v>2722</v>
      </c>
      <c r="W157" s="442" t="s">
        <v>2739</v>
      </c>
      <c r="X157" s="442" t="s">
        <v>2721</v>
      </c>
      <c r="Y157" s="442" t="s">
        <v>1804</v>
      </c>
      <c r="Z157" s="442" t="s">
        <v>1804</v>
      </c>
      <c r="AA157" s="442" t="s">
        <v>1804</v>
      </c>
      <c r="AB157" s="442" t="s">
        <v>1804</v>
      </c>
      <c r="AC157" s="442" t="s">
        <v>1804</v>
      </c>
      <c r="AD157" s="442" t="s">
        <v>1804</v>
      </c>
      <c r="AE157" s="442"/>
      <c r="AF157" s="386"/>
      <c r="BA157" s="356" t="s">
        <v>1058</v>
      </c>
      <c r="BB157" s="545" t="s">
        <v>1805</v>
      </c>
      <c r="BC157" s="545" t="s">
        <v>33</v>
      </c>
      <c r="BD157" s="545" t="s">
        <v>1806</v>
      </c>
      <c r="BE157" s="356" t="s">
        <v>145</v>
      </c>
      <c r="BF157" s="421" t="s">
        <v>1807</v>
      </c>
    </row>
    <row r="158" spans="1:101" ht="90">
      <c r="A158" s="356" t="s">
        <v>2740</v>
      </c>
      <c r="B158" s="356"/>
      <c r="C158" s="356"/>
      <c r="D158" s="356"/>
      <c r="E158" s="356" t="s">
        <v>24</v>
      </c>
      <c r="F158" s="442" t="s">
        <v>1065</v>
      </c>
      <c r="G158" s="443" t="s">
        <v>1066</v>
      </c>
      <c r="H158" s="442" t="s">
        <v>1067</v>
      </c>
      <c r="I158" s="442" t="s">
        <v>2741</v>
      </c>
      <c r="J158" s="442" t="s">
        <v>2742</v>
      </c>
      <c r="K158" s="442" t="s">
        <v>2713</v>
      </c>
      <c r="L158" s="442" t="s">
        <v>2714</v>
      </c>
      <c r="M158" s="442" t="s">
        <v>2715</v>
      </c>
      <c r="N158" s="442" t="s">
        <v>2743</v>
      </c>
      <c r="O158" s="461" t="s">
        <v>2744</v>
      </c>
      <c r="P158" s="447" t="s">
        <v>2745</v>
      </c>
      <c r="Q158" s="356" t="s">
        <v>1795</v>
      </c>
      <c r="R158" s="442" t="s">
        <v>2719</v>
      </c>
      <c r="S158" s="442" t="s">
        <v>1824</v>
      </c>
      <c r="T158" s="442" t="s">
        <v>2746</v>
      </c>
      <c r="U158" s="442" t="s">
        <v>2721</v>
      </c>
      <c r="V158" s="442" t="s">
        <v>2722</v>
      </c>
      <c r="W158" s="442" t="s">
        <v>2747</v>
      </c>
      <c r="X158" s="442" t="s">
        <v>2721</v>
      </c>
      <c r="Y158" s="442" t="s">
        <v>1804</v>
      </c>
      <c r="Z158" s="442" t="s">
        <v>1804</v>
      </c>
      <c r="AA158" s="442" t="s">
        <v>1804</v>
      </c>
      <c r="AB158" s="442" t="s">
        <v>1804</v>
      </c>
      <c r="AC158" s="442" t="s">
        <v>1804</v>
      </c>
      <c r="AD158" s="442" t="s">
        <v>1804</v>
      </c>
      <c r="AE158" s="442"/>
      <c r="AF158" s="386"/>
      <c r="BA158" s="356" t="s">
        <v>1058</v>
      </c>
      <c r="BB158" s="545" t="s">
        <v>1805</v>
      </c>
      <c r="BC158" s="545" t="s">
        <v>33</v>
      </c>
      <c r="BD158" s="545" t="s">
        <v>1806</v>
      </c>
      <c r="BE158" s="356" t="s">
        <v>145</v>
      </c>
      <c r="BF158" s="421" t="s">
        <v>1807</v>
      </c>
    </row>
    <row r="159" spans="1:101" ht="45">
      <c r="A159" s="356" t="s">
        <v>2748</v>
      </c>
      <c r="B159" s="356"/>
      <c r="C159" s="356"/>
      <c r="D159" s="356"/>
      <c r="E159" s="356" t="s">
        <v>24</v>
      </c>
      <c r="F159" s="442" t="s">
        <v>1068</v>
      </c>
      <c r="G159" s="443" t="s">
        <v>1069</v>
      </c>
      <c r="H159" s="442" t="s">
        <v>1070</v>
      </c>
      <c r="I159" s="442" t="s">
        <v>2749</v>
      </c>
      <c r="J159" s="442" t="s">
        <v>2750</v>
      </c>
      <c r="K159" s="442" t="s">
        <v>2751</v>
      </c>
      <c r="L159" s="442" t="s">
        <v>2752</v>
      </c>
      <c r="M159" s="442" t="s">
        <v>2753</v>
      </c>
      <c r="N159" s="445" t="s">
        <v>2754</v>
      </c>
      <c r="O159" s="445" t="s">
        <v>2754</v>
      </c>
      <c r="P159" s="445" t="s">
        <v>2754</v>
      </c>
      <c r="Q159" s="356" t="s">
        <v>1795</v>
      </c>
      <c r="R159" s="442" t="s">
        <v>2755</v>
      </c>
      <c r="S159" s="442" t="s">
        <v>1824</v>
      </c>
      <c r="T159" s="442" t="s">
        <v>2756</v>
      </c>
      <c r="U159" s="442" t="s">
        <v>2721</v>
      </c>
      <c r="V159" s="442" t="s">
        <v>2722</v>
      </c>
      <c r="W159" s="442" t="s">
        <v>2757</v>
      </c>
      <c r="X159" s="442" t="s">
        <v>2721</v>
      </c>
      <c r="Y159" s="442" t="s">
        <v>1804</v>
      </c>
      <c r="Z159" s="442" t="s">
        <v>1804</v>
      </c>
      <c r="AA159" s="442" t="s">
        <v>1804</v>
      </c>
      <c r="AB159" s="442" t="s">
        <v>1804</v>
      </c>
      <c r="AC159" s="442" t="s">
        <v>1804</v>
      </c>
      <c r="AD159" s="442" t="s">
        <v>1804</v>
      </c>
      <c r="AE159" s="442"/>
      <c r="AF159" s="386"/>
      <c r="BA159" s="356" t="s">
        <v>1058</v>
      </c>
      <c r="BB159" s="545" t="s">
        <v>1805</v>
      </c>
      <c r="BC159" s="545" t="s">
        <v>33</v>
      </c>
      <c r="BD159" s="545" t="s">
        <v>1806</v>
      </c>
      <c r="BE159" s="356" t="s">
        <v>145</v>
      </c>
      <c r="BF159" s="421" t="s">
        <v>1807</v>
      </c>
    </row>
    <row r="160" spans="1:101" ht="45">
      <c r="A160" s="356" t="s">
        <v>2758</v>
      </c>
      <c r="B160" s="356"/>
      <c r="C160" s="356"/>
      <c r="D160" s="356"/>
      <c r="E160" s="356" t="s">
        <v>24</v>
      </c>
      <c r="F160" s="442" t="s">
        <v>1071</v>
      </c>
      <c r="G160" s="443" t="s">
        <v>1072</v>
      </c>
      <c r="H160" s="442" t="s">
        <v>1073</v>
      </c>
      <c r="I160" s="442" t="s">
        <v>2759</v>
      </c>
      <c r="J160" s="442" t="s">
        <v>2760</v>
      </c>
      <c r="K160" s="442" t="s">
        <v>2751</v>
      </c>
      <c r="L160" s="442" t="s">
        <v>2752</v>
      </c>
      <c r="M160" s="442" t="s">
        <v>2753</v>
      </c>
      <c r="N160" s="445" t="s">
        <v>2754</v>
      </c>
      <c r="O160" s="445" t="s">
        <v>2754</v>
      </c>
      <c r="P160" s="445" t="s">
        <v>2754</v>
      </c>
      <c r="Q160" s="356" t="s">
        <v>1795</v>
      </c>
      <c r="R160" s="442" t="s">
        <v>2755</v>
      </c>
      <c r="S160" s="442" t="s">
        <v>1824</v>
      </c>
      <c r="T160" s="442" t="s">
        <v>2761</v>
      </c>
      <c r="U160" s="442" t="s">
        <v>2721</v>
      </c>
      <c r="V160" s="442" t="s">
        <v>2722</v>
      </c>
      <c r="W160" s="442" t="s">
        <v>2762</v>
      </c>
      <c r="X160" s="442" t="s">
        <v>2721</v>
      </c>
      <c r="Y160" s="442" t="s">
        <v>1804</v>
      </c>
      <c r="Z160" s="442" t="s">
        <v>1804</v>
      </c>
      <c r="AA160" s="442" t="s">
        <v>1804</v>
      </c>
      <c r="AB160" s="442" t="s">
        <v>1804</v>
      </c>
      <c r="AC160" s="442" t="s">
        <v>1804</v>
      </c>
      <c r="AD160" s="442" t="s">
        <v>1804</v>
      </c>
      <c r="AE160" s="442"/>
      <c r="AF160" s="386"/>
      <c r="BA160" s="356" t="s">
        <v>1058</v>
      </c>
      <c r="BB160" s="545" t="s">
        <v>1805</v>
      </c>
      <c r="BC160" s="545" t="s">
        <v>33</v>
      </c>
      <c r="BD160" s="545" t="s">
        <v>1806</v>
      </c>
      <c r="BE160" s="356" t="s">
        <v>145</v>
      </c>
      <c r="BF160" s="421" t="s">
        <v>1807</v>
      </c>
    </row>
    <row r="161" spans="1:58" ht="45">
      <c r="A161" s="356" t="s">
        <v>2763</v>
      </c>
      <c r="B161" s="356"/>
      <c r="C161" s="356"/>
      <c r="D161" s="356"/>
      <c r="E161" s="356" t="s">
        <v>24</v>
      </c>
      <c r="F161" s="442" t="s">
        <v>1074</v>
      </c>
      <c r="G161" s="443" t="s">
        <v>1075</v>
      </c>
      <c r="H161" s="442" t="s">
        <v>1076</v>
      </c>
      <c r="I161" s="442" t="s">
        <v>2764</v>
      </c>
      <c r="J161" s="442" t="s">
        <v>2765</v>
      </c>
      <c r="K161" s="442" t="s">
        <v>2751</v>
      </c>
      <c r="L161" s="442" t="s">
        <v>2752</v>
      </c>
      <c r="M161" s="442" t="s">
        <v>2753</v>
      </c>
      <c r="N161" s="445" t="s">
        <v>2754</v>
      </c>
      <c r="O161" s="445" t="s">
        <v>2754</v>
      </c>
      <c r="P161" s="445" t="s">
        <v>2754</v>
      </c>
      <c r="Q161" s="356" t="s">
        <v>1795</v>
      </c>
      <c r="R161" s="442" t="s">
        <v>2755</v>
      </c>
      <c r="S161" s="442" t="s">
        <v>1824</v>
      </c>
      <c r="T161" s="442" t="s">
        <v>2766</v>
      </c>
      <c r="U161" s="442" t="s">
        <v>2721</v>
      </c>
      <c r="V161" s="442" t="s">
        <v>2722</v>
      </c>
      <c r="W161" s="442" t="s">
        <v>2767</v>
      </c>
      <c r="X161" s="442" t="s">
        <v>2721</v>
      </c>
      <c r="Y161" s="442" t="s">
        <v>1804</v>
      </c>
      <c r="Z161" s="442" t="s">
        <v>1804</v>
      </c>
      <c r="AA161" s="442" t="s">
        <v>1804</v>
      </c>
      <c r="AB161" s="442" t="s">
        <v>1804</v>
      </c>
      <c r="AC161" s="442" t="s">
        <v>1804</v>
      </c>
      <c r="AD161" s="442" t="s">
        <v>1804</v>
      </c>
      <c r="AE161" s="442"/>
      <c r="AF161" s="386"/>
      <c r="BA161" s="356" t="s">
        <v>1058</v>
      </c>
      <c r="BB161" s="545" t="s">
        <v>1805</v>
      </c>
      <c r="BC161" s="545" t="s">
        <v>33</v>
      </c>
      <c r="BD161" s="545" t="s">
        <v>1806</v>
      </c>
      <c r="BE161" s="356" t="s">
        <v>145</v>
      </c>
      <c r="BF161" s="421" t="s">
        <v>1807</v>
      </c>
    </row>
    <row r="162" spans="1:58" ht="45">
      <c r="A162" s="356" t="s">
        <v>2768</v>
      </c>
      <c r="B162" s="356"/>
      <c r="C162" s="356"/>
      <c r="D162" s="356"/>
      <c r="E162" s="356" t="s">
        <v>24</v>
      </c>
      <c r="F162" s="442" t="s">
        <v>1077</v>
      </c>
      <c r="G162" s="443" t="s">
        <v>1078</v>
      </c>
      <c r="H162" s="442" t="s">
        <v>1079</v>
      </c>
      <c r="I162" s="442" t="s">
        <v>2769</v>
      </c>
      <c r="J162" s="442" t="s">
        <v>2770</v>
      </c>
      <c r="K162" s="442" t="s">
        <v>2751</v>
      </c>
      <c r="L162" s="442" t="s">
        <v>2752</v>
      </c>
      <c r="M162" s="442" t="s">
        <v>2753</v>
      </c>
      <c r="N162" s="445" t="s">
        <v>2754</v>
      </c>
      <c r="O162" s="445" t="s">
        <v>2754</v>
      </c>
      <c r="P162" s="445" t="s">
        <v>2754</v>
      </c>
      <c r="Q162" s="356" t="s">
        <v>1795</v>
      </c>
      <c r="R162" s="442" t="s">
        <v>2755</v>
      </c>
      <c r="S162" s="442" t="s">
        <v>1824</v>
      </c>
      <c r="T162" s="442" t="s">
        <v>2771</v>
      </c>
      <c r="U162" s="442" t="s">
        <v>2721</v>
      </c>
      <c r="V162" s="442" t="s">
        <v>2722</v>
      </c>
      <c r="W162" s="442" t="s">
        <v>2772</v>
      </c>
      <c r="X162" s="442" t="s">
        <v>2721</v>
      </c>
      <c r="Y162" s="442" t="s">
        <v>1804</v>
      </c>
      <c r="Z162" s="442" t="s">
        <v>1804</v>
      </c>
      <c r="AA162" s="442" t="s">
        <v>1804</v>
      </c>
      <c r="AB162" s="442" t="s">
        <v>1804</v>
      </c>
      <c r="AC162" s="442" t="s">
        <v>1804</v>
      </c>
      <c r="AD162" s="442" t="s">
        <v>1804</v>
      </c>
      <c r="AE162" s="442"/>
      <c r="AF162" s="386"/>
      <c r="BA162" s="356" t="s">
        <v>1058</v>
      </c>
      <c r="BB162" s="545" t="s">
        <v>1805</v>
      </c>
      <c r="BC162" s="545" t="s">
        <v>33</v>
      </c>
      <c r="BD162" s="545" t="s">
        <v>1806</v>
      </c>
      <c r="BE162" s="356" t="s">
        <v>145</v>
      </c>
      <c r="BF162" s="421" t="s">
        <v>1807</v>
      </c>
    </row>
    <row r="163" spans="1:58" ht="148.5">
      <c r="A163" s="356" t="s">
        <v>2773</v>
      </c>
      <c r="B163" s="356"/>
      <c r="C163" s="356"/>
      <c r="D163" s="356"/>
      <c r="E163" s="356" t="s">
        <v>24</v>
      </c>
      <c r="F163" s="442" t="s">
        <v>1080</v>
      </c>
      <c r="G163" s="443" t="s">
        <v>1081</v>
      </c>
      <c r="H163" s="442" t="s">
        <v>1082</v>
      </c>
      <c r="I163" s="442" t="s">
        <v>2774</v>
      </c>
      <c r="J163" s="442" t="s">
        <v>2775</v>
      </c>
      <c r="K163" s="442" t="s">
        <v>2776</v>
      </c>
      <c r="L163" s="442" t="s">
        <v>2777</v>
      </c>
      <c r="M163" s="442" t="s">
        <v>2778</v>
      </c>
      <c r="N163" s="442" t="s">
        <v>2779</v>
      </c>
      <c r="O163" s="449" t="s">
        <v>2780</v>
      </c>
      <c r="P163" s="449" t="s">
        <v>2781</v>
      </c>
      <c r="Q163" s="356" t="s">
        <v>1795</v>
      </c>
      <c r="R163" s="442" t="s">
        <v>2782</v>
      </c>
      <c r="S163" s="442" t="s">
        <v>1824</v>
      </c>
      <c r="T163" s="442" t="s">
        <v>2783</v>
      </c>
      <c r="U163" s="442" t="s">
        <v>2721</v>
      </c>
      <c r="V163" s="442" t="s">
        <v>2722</v>
      </c>
      <c r="W163" s="442" t="s">
        <v>2784</v>
      </c>
      <c r="X163" s="442" t="s">
        <v>2721</v>
      </c>
      <c r="Y163" s="442" t="s">
        <v>1804</v>
      </c>
      <c r="Z163" s="442" t="s">
        <v>1804</v>
      </c>
      <c r="AA163" s="442" t="s">
        <v>1804</v>
      </c>
      <c r="AB163" s="442" t="s">
        <v>1804</v>
      </c>
      <c r="AC163" s="442" t="s">
        <v>1804</v>
      </c>
      <c r="AD163" s="442" t="s">
        <v>1804</v>
      </c>
      <c r="AE163" s="442"/>
      <c r="AF163" s="386"/>
      <c r="BA163" s="356" t="s">
        <v>1058</v>
      </c>
      <c r="BB163" s="545" t="s">
        <v>1805</v>
      </c>
      <c r="BC163" s="545" t="s">
        <v>33</v>
      </c>
      <c r="BD163" s="545" t="s">
        <v>1806</v>
      </c>
      <c r="BE163" s="356" t="s">
        <v>145</v>
      </c>
      <c r="BF163" s="421" t="s">
        <v>1807</v>
      </c>
    </row>
    <row r="164" spans="1:58" ht="148.5">
      <c r="A164" s="356" t="s">
        <v>2785</v>
      </c>
      <c r="B164" s="356"/>
      <c r="C164" s="356"/>
      <c r="D164" s="356"/>
      <c r="E164" s="356" t="s">
        <v>24</v>
      </c>
      <c r="F164" s="442" t="s">
        <v>1083</v>
      </c>
      <c r="G164" s="443" t="s">
        <v>1084</v>
      </c>
      <c r="H164" s="442" t="s">
        <v>1085</v>
      </c>
      <c r="I164" s="442" t="s">
        <v>2786</v>
      </c>
      <c r="J164" s="442" t="s">
        <v>2787</v>
      </c>
      <c r="K164" s="442" t="s">
        <v>2776</v>
      </c>
      <c r="L164" s="442" t="s">
        <v>2777</v>
      </c>
      <c r="M164" s="442" t="s">
        <v>2778</v>
      </c>
      <c r="N164" s="442" t="s">
        <v>2788</v>
      </c>
      <c r="O164" s="449" t="s">
        <v>2789</v>
      </c>
      <c r="P164" s="449" t="s">
        <v>2790</v>
      </c>
      <c r="Q164" s="356" t="s">
        <v>1795</v>
      </c>
      <c r="R164" s="442" t="s">
        <v>2782</v>
      </c>
      <c r="S164" s="442" t="s">
        <v>1824</v>
      </c>
      <c r="T164" s="442" t="s">
        <v>2791</v>
      </c>
      <c r="U164" s="442" t="s">
        <v>2721</v>
      </c>
      <c r="V164" s="442" t="s">
        <v>2722</v>
      </c>
      <c r="W164" s="442" t="s">
        <v>2792</v>
      </c>
      <c r="X164" s="442" t="s">
        <v>2721</v>
      </c>
      <c r="Y164" s="442" t="s">
        <v>1804</v>
      </c>
      <c r="Z164" s="442" t="s">
        <v>1804</v>
      </c>
      <c r="AA164" s="442" t="s">
        <v>1804</v>
      </c>
      <c r="AB164" s="442" t="s">
        <v>1804</v>
      </c>
      <c r="AC164" s="442" t="s">
        <v>1804</v>
      </c>
      <c r="AD164" s="442" t="s">
        <v>1804</v>
      </c>
      <c r="AE164" s="442"/>
      <c r="AF164" s="386"/>
      <c r="BA164" s="356" t="s">
        <v>1058</v>
      </c>
      <c r="BB164" s="545" t="s">
        <v>1805</v>
      </c>
      <c r="BC164" s="545" t="s">
        <v>33</v>
      </c>
      <c r="BD164" s="545" t="s">
        <v>1806</v>
      </c>
      <c r="BE164" s="356" t="s">
        <v>145</v>
      </c>
      <c r="BF164" s="421" t="s">
        <v>1807</v>
      </c>
    </row>
    <row r="165" spans="1:58" ht="148.5">
      <c r="A165" s="356" t="s">
        <v>2793</v>
      </c>
      <c r="B165" s="356"/>
      <c r="C165" s="356"/>
      <c r="D165" s="356"/>
      <c r="E165" s="356" t="s">
        <v>24</v>
      </c>
      <c r="F165" s="442" t="s">
        <v>1086</v>
      </c>
      <c r="G165" s="443" t="s">
        <v>1087</v>
      </c>
      <c r="H165" s="442" t="s">
        <v>1088</v>
      </c>
      <c r="I165" s="442" t="s">
        <v>2794</v>
      </c>
      <c r="J165" s="442" t="s">
        <v>2795</v>
      </c>
      <c r="K165" s="442" t="s">
        <v>2776</v>
      </c>
      <c r="L165" s="442" t="s">
        <v>2777</v>
      </c>
      <c r="M165" s="442" t="s">
        <v>2778</v>
      </c>
      <c r="N165" s="442" t="s">
        <v>2796</v>
      </c>
      <c r="O165" s="449" t="s">
        <v>2797</v>
      </c>
      <c r="P165" s="449" t="s">
        <v>2798</v>
      </c>
      <c r="Q165" s="356" t="s">
        <v>1795</v>
      </c>
      <c r="R165" s="442" t="s">
        <v>2782</v>
      </c>
      <c r="S165" s="442" t="s">
        <v>1824</v>
      </c>
      <c r="T165" s="442" t="s">
        <v>2799</v>
      </c>
      <c r="U165" s="442" t="s">
        <v>2721</v>
      </c>
      <c r="V165" s="442" t="s">
        <v>2722</v>
      </c>
      <c r="W165" s="442" t="s">
        <v>2800</v>
      </c>
      <c r="X165" s="442" t="s">
        <v>2721</v>
      </c>
      <c r="Y165" s="442" t="s">
        <v>1804</v>
      </c>
      <c r="Z165" s="442" t="s">
        <v>1804</v>
      </c>
      <c r="AA165" s="442" t="s">
        <v>1804</v>
      </c>
      <c r="AB165" s="442" t="s">
        <v>1804</v>
      </c>
      <c r="AC165" s="442" t="s">
        <v>1804</v>
      </c>
      <c r="AD165" s="442" t="s">
        <v>1804</v>
      </c>
      <c r="AE165" s="442"/>
      <c r="AF165" s="386"/>
      <c r="BA165" s="356" t="s">
        <v>1058</v>
      </c>
      <c r="BB165" s="545" t="s">
        <v>1805</v>
      </c>
      <c r="BC165" s="545" t="s">
        <v>33</v>
      </c>
      <c r="BD165" s="545" t="s">
        <v>1806</v>
      </c>
      <c r="BE165" s="356" t="s">
        <v>145</v>
      </c>
      <c r="BF165" s="421" t="s">
        <v>1807</v>
      </c>
    </row>
    <row r="166" spans="1:58" ht="148.5">
      <c r="A166" s="356" t="s">
        <v>2801</v>
      </c>
      <c r="B166" s="356"/>
      <c r="C166" s="356"/>
      <c r="D166" s="356"/>
      <c r="E166" s="356" t="s">
        <v>24</v>
      </c>
      <c r="F166" s="442" t="s">
        <v>1089</v>
      </c>
      <c r="G166" s="443" t="s">
        <v>1090</v>
      </c>
      <c r="H166" s="442" t="s">
        <v>1091</v>
      </c>
      <c r="I166" s="442" t="s">
        <v>2802</v>
      </c>
      <c r="J166" s="442" t="s">
        <v>2803</v>
      </c>
      <c r="K166" s="442" t="s">
        <v>2776</v>
      </c>
      <c r="L166" s="442" t="s">
        <v>2777</v>
      </c>
      <c r="M166" s="442" t="s">
        <v>2778</v>
      </c>
      <c r="N166" s="442" t="s">
        <v>2804</v>
      </c>
      <c r="O166" s="449" t="s">
        <v>2805</v>
      </c>
      <c r="P166" s="462" t="s">
        <v>2806</v>
      </c>
      <c r="Q166" s="356" t="s">
        <v>1795</v>
      </c>
      <c r="R166" s="442" t="s">
        <v>2782</v>
      </c>
      <c r="S166" s="442" t="s">
        <v>1824</v>
      </c>
      <c r="T166" s="442" t="s">
        <v>2807</v>
      </c>
      <c r="U166" s="442" t="s">
        <v>2721</v>
      </c>
      <c r="V166" s="442" t="s">
        <v>2722</v>
      </c>
      <c r="W166" s="442" t="s">
        <v>2808</v>
      </c>
      <c r="X166" s="442" t="s">
        <v>2721</v>
      </c>
      <c r="Y166" s="442" t="s">
        <v>1804</v>
      </c>
      <c r="Z166" s="442" t="s">
        <v>1804</v>
      </c>
      <c r="AA166" s="442" t="s">
        <v>1804</v>
      </c>
      <c r="AB166" s="442" t="s">
        <v>1804</v>
      </c>
      <c r="AC166" s="442" t="s">
        <v>1804</v>
      </c>
      <c r="AD166" s="442" t="s">
        <v>1804</v>
      </c>
      <c r="AE166" s="442"/>
      <c r="AF166" s="386"/>
      <c r="BA166" s="356" t="s">
        <v>1058</v>
      </c>
      <c r="BB166" s="545" t="s">
        <v>1805</v>
      </c>
      <c r="BC166" s="545" t="s">
        <v>33</v>
      </c>
      <c r="BD166" s="545" t="s">
        <v>1806</v>
      </c>
      <c r="BE166" s="356" t="s">
        <v>145</v>
      </c>
      <c r="BF166" s="421" t="s">
        <v>1807</v>
      </c>
    </row>
    <row r="167" spans="1:58" ht="123">
      <c r="A167" s="356" t="s">
        <v>2809</v>
      </c>
      <c r="B167" s="356"/>
      <c r="C167" s="356"/>
      <c r="D167" s="356"/>
      <c r="E167" s="356" t="s">
        <v>24</v>
      </c>
      <c r="F167" s="442" t="s">
        <v>1092</v>
      </c>
      <c r="G167" s="443" t="s">
        <v>1093</v>
      </c>
      <c r="H167" s="442" t="s">
        <v>1094</v>
      </c>
      <c r="I167" s="442" t="s">
        <v>2810</v>
      </c>
      <c r="J167" s="442" t="s">
        <v>2811</v>
      </c>
      <c r="K167" s="442" t="s">
        <v>2812</v>
      </c>
      <c r="L167" s="442" t="s">
        <v>2813</v>
      </c>
      <c r="M167" s="442" t="s">
        <v>2814</v>
      </c>
      <c r="N167" s="442" t="s">
        <v>2815</v>
      </c>
      <c r="O167" s="463" t="s">
        <v>2816</v>
      </c>
      <c r="P167" s="449" t="s">
        <v>2817</v>
      </c>
      <c r="Q167" s="356" t="s">
        <v>1795</v>
      </c>
      <c r="R167" s="442" t="s">
        <v>1796</v>
      </c>
      <c r="S167" s="442" t="s">
        <v>1824</v>
      </c>
      <c r="T167" s="442" t="s">
        <v>2818</v>
      </c>
      <c r="U167" s="442" t="s">
        <v>2721</v>
      </c>
      <c r="V167" s="442" t="s">
        <v>2722</v>
      </c>
      <c r="W167" s="442" t="s">
        <v>2819</v>
      </c>
      <c r="X167" s="442" t="s">
        <v>2721</v>
      </c>
      <c r="Y167" s="442" t="s">
        <v>1804</v>
      </c>
      <c r="Z167" s="442" t="s">
        <v>1804</v>
      </c>
      <c r="AA167" s="442" t="s">
        <v>1804</v>
      </c>
      <c r="AB167" s="442" t="s">
        <v>1804</v>
      </c>
      <c r="AC167" s="442" t="s">
        <v>1804</v>
      </c>
      <c r="AD167" s="442" t="s">
        <v>1804</v>
      </c>
      <c r="AE167" s="442"/>
      <c r="AF167" s="386"/>
      <c r="BA167" s="356" t="s">
        <v>1058</v>
      </c>
      <c r="BB167" s="545" t="s">
        <v>1805</v>
      </c>
      <c r="BC167" s="545" t="s">
        <v>33</v>
      </c>
      <c r="BD167" s="545" t="s">
        <v>1806</v>
      </c>
      <c r="BE167" s="356" t="s">
        <v>145</v>
      </c>
      <c r="BF167" s="421" t="s">
        <v>1807</v>
      </c>
    </row>
    <row r="168" spans="1:58" ht="132">
      <c r="A168" s="356" t="s">
        <v>2820</v>
      </c>
      <c r="B168" s="356"/>
      <c r="C168" s="356"/>
      <c r="D168" s="356"/>
      <c r="E168" s="356" t="s">
        <v>24</v>
      </c>
      <c r="F168" s="442" t="s">
        <v>1095</v>
      </c>
      <c r="G168" s="443" t="s">
        <v>1096</v>
      </c>
      <c r="H168" s="442" t="s">
        <v>1097</v>
      </c>
      <c r="I168" s="442" t="s">
        <v>2821</v>
      </c>
      <c r="J168" s="442" t="s">
        <v>2822</v>
      </c>
      <c r="K168" s="442" t="s">
        <v>2812</v>
      </c>
      <c r="L168" s="442" t="s">
        <v>2813</v>
      </c>
      <c r="M168" s="442" t="s">
        <v>2814</v>
      </c>
      <c r="N168" s="442" t="s">
        <v>2823</v>
      </c>
      <c r="O168" s="449" t="s">
        <v>2824</v>
      </c>
      <c r="P168" s="449" t="s">
        <v>2825</v>
      </c>
      <c r="Q168" s="356" t="s">
        <v>1795</v>
      </c>
      <c r="R168" s="442" t="s">
        <v>1796</v>
      </c>
      <c r="S168" s="442" t="s">
        <v>1824</v>
      </c>
      <c r="T168" s="442" t="s">
        <v>2826</v>
      </c>
      <c r="U168" s="442" t="s">
        <v>2721</v>
      </c>
      <c r="V168" s="442" t="s">
        <v>2722</v>
      </c>
      <c r="W168" s="442" t="s">
        <v>2827</v>
      </c>
      <c r="X168" s="442" t="s">
        <v>2721</v>
      </c>
      <c r="Y168" s="442" t="s">
        <v>1804</v>
      </c>
      <c r="Z168" s="442" t="s">
        <v>1804</v>
      </c>
      <c r="AA168" s="442" t="s">
        <v>1804</v>
      </c>
      <c r="AB168" s="442" t="s">
        <v>1804</v>
      </c>
      <c r="AC168" s="442" t="s">
        <v>1804</v>
      </c>
      <c r="AD168" s="442" t="s">
        <v>1804</v>
      </c>
      <c r="AE168" s="442"/>
      <c r="AF168" s="386"/>
      <c r="BA168" s="356" t="s">
        <v>1058</v>
      </c>
      <c r="BB168" s="545" t="s">
        <v>1805</v>
      </c>
      <c r="BC168" s="545" t="s">
        <v>33</v>
      </c>
      <c r="BD168" s="545" t="s">
        <v>1806</v>
      </c>
      <c r="BE168" s="356" t="s">
        <v>145</v>
      </c>
      <c r="BF168" s="421" t="s">
        <v>1807</v>
      </c>
    </row>
    <row r="169" spans="1:58" ht="132">
      <c r="A169" s="356" t="s">
        <v>2828</v>
      </c>
      <c r="B169" s="356"/>
      <c r="C169" s="356"/>
      <c r="D169" s="356"/>
      <c r="E169" s="356" t="s">
        <v>24</v>
      </c>
      <c r="F169" s="442" t="s">
        <v>1098</v>
      </c>
      <c r="G169" s="443" t="s">
        <v>1099</v>
      </c>
      <c r="H169" s="442" t="s">
        <v>1100</v>
      </c>
      <c r="I169" s="442" t="s">
        <v>2829</v>
      </c>
      <c r="J169" s="442" t="s">
        <v>2830</v>
      </c>
      <c r="K169" s="442" t="s">
        <v>2812</v>
      </c>
      <c r="L169" s="442" t="s">
        <v>2813</v>
      </c>
      <c r="M169" s="442" t="s">
        <v>2814</v>
      </c>
      <c r="N169" s="442" t="s">
        <v>2831</v>
      </c>
      <c r="O169" s="449" t="s">
        <v>2832</v>
      </c>
      <c r="P169" s="449" t="s">
        <v>2833</v>
      </c>
      <c r="Q169" s="356" t="s">
        <v>1795</v>
      </c>
      <c r="R169" s="442" t="s">
        <v>1796</v>
      </c>
      <c r="S169" s="442" t="s">
        <v>1824</v>
      </c>
      <c r="T169" s="442" t="s">
        <v>2834</v>
      </c>
      <c r="U169" s="442" t="s">
        <v>2721</v>
      </c>
      <c r="V169" s="442" t="s">
        <v>2722</v>
      </c>
      <c r="W169" s="442" t="s">
        <v>2835</v>
      </c>
      <c r="X169" s="442" t="s">
        <v>2721</v>
      </c>
      <c r="Y169" s="442" t="s">
        <v>1804</v>
      </c>
      <c r="Z169" s="442" t="s">
        <v>1804</v>
      </c>
      <c r="AA169" s="442" t="s">
        <v>1804</v>
      </c>
      <c r="AB169" s="442" t="s">
        <v>1804</v>
      </c>
      <c r="AC169" s="442" t="s">
        <v>1804</v>
      </c>
      <c r="AD169" s="442" t="s">
        <v>1804</v>
      </c>
      <c r="AE169" s="442"/>
      <c r="AF169" s="386"/>
      <c r="BA169" s="356" t="s">
        <v>1058</v>
      </c>
      <c r="BB169" s="545" t="s">
        <v>1805</v>
      </c>
      <c r="BC169" s="545" t="s">
        <v>33</v>
      </c>
      <c r="BD169" s="545" t="s">
        <v>1806</v>
      </c>
      <c r="BE169" s="356" t="s">
        <v>145</v>
      </c>
      <c r="BF169" s="421" t="s">
        <v>1807</v>
      </c>
    </row>
    <row r="170" spans="1:58" ht="132">
      <c r="A170" s="356" t="s">
        <v>2836</v>
      </c>
      <c r="B170" s="356"/>
      <c r="C170" s="356"/>
      <c r="D170" s="356"/>
      <c r="E170" s="356" t="s">
        <v>24</v>
      </c>
      <c r="F170" s="442" t="s">
        <v>1101</v>
      </c>
      <c r="G170" s="443" t="s">
        <v>1102</v>
      </c>
      <c r="H170" s="442" t="s">
        <v>1103</v>
      </c>
      <c r="I170" s="442" t="s">
        <v>2837</v>
      </c>
      <c r="J170" s="442" t="s">
        <v>2838</v>
      </c>
      <c r="K170" s="442" t="s">
        <v>2812</v>
      </c>
      <c r="L170" s="442" t="s">
        <v>2813</v>
      </c>
      <c r="M170" s="442" t="s">
        <v>2814</v>
      </c>
      <c r="N170" s="442" t="s">
        <v>2839</v>
      </c>
      <c r="O170" s="449" t="s">
        <v>2840</v>
      </c>
      <c r="P170" s="449" t="s">
        <v>2841</v>
      </c>
      <c r="Q170" s="356" t="s">
        <v>1795</v>
      </c>
      <c r="R170" s="442" t="s">
        <v>1796</v>
      </c>
      <c r="S170" s="442" t="s">
        <v>1824</v>
      </c>
      <c r="T170" s="442" t="s">
        <v>2842</v>
      </c>
      <c r="U170" s="442" t="s">
        <v>2721</v>
      </c>
      <c r="V170" s="442" t="s">
        <v>2722</v>
      </c>
      <c r="W170" s="442" t="s">
        <v>2843</v>
      </c>
      <c r="X170" s="442" t="s">
        <v>2721</v>
      </c>
      <c r="Y170" s="442" t="s">
        <v>1804</v>
      </c>
      <c r="Z170" s="442" t="s">
        <v>1804</v>
      </c>
      <c r="AA170" s="442" t="s">
        <v>1804</v>
      </c>
      <c r="AB170" s="442" t="s">
        <v>1804</v>
      </c>
      <c r="AC170" s="442" t="s">
        <v>1804</v>
      </c>
      <c r="AD170" s="442" t="s">
        <v>1804</v>
      </c>
      <c r="AE170" s="442"/>
      <c r="AF170" s="386"/>
      <c r="BA170" s="356" t="s">
        <v>1058</v>
      </c>
      <c r="BB170" s="545" t="s">
        <v>1805</v>
      </c>
      <c r="BC170" s="545" t="s">
        <v>33</v>
      </c>
      <c r="BD170" s="545" t="s">
        <v>1806</v>
      </c>
      <c r="BE170" s="356" t="s">
        <v>145</v>
      </c>
      <c r="BF170" s="421" t="s">
        <v>1807</v>
      </c>
    </row>
    <row r="171" spans="1:58" ht="150">
      <c r="A171" s="356" t="s">
        <v>2844</v>
      </c>
      <c r="B171" s="356"/>
      <c r="C171" s="356"/>
      <c r="D171" s="356"/>
      <c r="E171" s="356" t="s">
        <v>24</v>
      </c>
      <c r="F171" s="452" t="s">
        <v>1104</v>
      </c>
      <c r="G171" s="464" t="s">
        <v>1105</v>
      </c>
      <c r="H171" s="452" t="s">
        <v>1106</v>
      </c>
      <c r="I171" s="452" t="s">
        <v>2845</v>
      </c>
      <c r="J171" s="452" t="s">
        <v>2846</v>
      </c>
      <c r="K171" s="452" t="s">
        <v>2847</v>
      </c>
      <c r="L171" s="452" t="s">
        <v>2848</v>
      </c>
      <c r="M171" s="452" t="s">
        <v>2849</v>
      </c>
      <c r="N171" s="465" t="s">
        <v>2850</v>
      </c>
      <c r="O171" s="452" t="s">
        <v>2851</v>
      </c>
      <c r="P171" s="452" t="s">
        <v>2852</v>
      </c>
      <c r="Q171" s="450" t="s">
        <v>2462</v>
      </c>
      <c r="R171" s="452" t="s">
        <v>1796</v>
      </c>
      <c r="S171" s="452" t="s">
        <v>1797</v>
      </c>
      <c r="T171" s="452" t="s">
        <v>2853</v>
      </c>
      <c r="U171" s="452" t="s">
        <v>2854</v>
      </c>
      <c r="V171" s="452" t="s">
        <v>2855</v>
      </c>
      <c r="W171" s="452" t="s">
        <v>2856</v>
      </c>
      <c r="X171" s="452" t="s">
        <v>1801</v>
      </c>
      <c r="Y171" s="452" t="s">
        <v>2857</v>
      </c>
      <c r="Z171" s="452" t="s">
        <v>2858</v>
      </c>
      <c r="AA171" s="452" t="s">
        <v>2503</v>
      </c>
      <c r="AB171" s="452" t="s">
        <v>2859</v>
      </c>
      <c r="AC171" s="442" t="s">
        <v>1803</v>
      </c>
      <c r="AD171" s="442" t="s">
        <v>2503</v>
      </c>
      <c r="AE171" s="442"/>
      <c r="AF171" s="386"/>
      <c r="BA171" s="356" t="s">
        <v>1107</v>
      </c>
      <c r="BB171" s="545" t="s">
        <v>1805</v>
      </c>
      <c r="BC171" s="545" t="s">
        <v>33</v>
      </c>
      <c r="BD171" s="545" t="s">
        <v>1806</v>
      </c>
      <c r="BE171" s="356" t="s">
        <v>145</v>
      </c>
      <c r="BF171" s="421" t="s">
        <v>1807</v>
      </c>
    </row>
    <row r="172" spans="1:58" ht="150">
      <c r="A172" s="356" t="s">
        <v>2860</v>
      </c>
      <c r="B172" s="356"/>
      <c r="C172" s="356"/>
      <c r="D172" s="356"/>
      <c r="E172" s="356" t="s">
        <v>24</v>
      </c>
      <c r="F172" s="452" t="s">
        <v>1108</v>
      </c>
      <c r="G172" s="464" t="s">
        <v>1109</v>
      </c>
      <c r="H172" s="452" t="s">
        <v>1110</v>
      </c>
      <c r="I172" s="452" t="s">
        <v>2861</v>
      </c>
      <c r="J172" s="452" t="s">
        <v>2862</v>
      </c>
      <c r="K172" s="452" t="s">
        <v>2847</v>
      </c>
      <c r="L172" s="452" t="s">
        <v>2848</v>
      </c>
      <c r="M172" s="452" t="s">
        <v>2849</v>
      </c>
      <c r="N172" s="465" t="s">
        <v>2850</v>
      </c>
      <c r="O172" s="452" t="s">
        <v>2863</v>
      </c>
      <c r="P172" s="452" t="s">
        <v>2852</v>
      </c>
      <c r="Q172" s="450" t="s">
        <v>2462</v>
      </c>
      <c r="R172" s="452" t="s">
        <v>1796</v>
      </c>
      <c r="S172" s="452" t="s">
        <v>1797</v>
      </c>
      <c r="T172" s="452" t="s">
        <v>2864</v>
      </c>
      <c r="U172" s="452" t="s">
        <v>2854</v>
      </c>
      <c r="V172" s="452" t="s">
        <v>2855</v>
      </c>
      <c r="W172" s="452" t="s">
        <v>2865</v>
      </c>
      <c r="X172" s="452" t="s">
        <v>1801</v>
      </c>
      <c r="Y172" s="452" t="s">
        <v>2857</v>
      </c>
      <c r="Z172" s="452" t="s">
        <v>2858</v>
      </c>
      <c r="AA172" s="452" t="s">
        <v>2503</v>
      </c>
      <c r="AB172" s="452" t="s">
        <v>2859</v>
      </c>
      <c r="AC172" s="442" t="s">
        <v>1803</v>
      </c>
      <c r="AD172" s="442" t="s">
        <v>2503</v>
      </c>
      <c r="AE172" s="442"/>
      <c r="AF172" s="386"/>
      <c r="BA172" s="356" t="s">
        <v>1107</v>
      </c>
      <c r="BB172" s="545" t="s">
        <v>1805</v>
      </c>
      <c r="BC172" s="545" t="s">
        <v>33</v>
      </c>
      <c r="BD172" s="545" t="s">
        <v>1806</v>
      </c>
      <c r="BE172" s="356" t="s">
        <v>145</v>
      </c>
      <c r="BF172" s="421" t="s">
        <v>1807</v>
      </c>
    </row>
    <row r="173" spans="1:58" ht="195">
      <c r="A173" s="356" t="s">
        <v>2866</v>
      </c>
      <c r="B173" s="356"/>
      <c r="C173" s="356"/>
      <c r="D173" s="356"/>
      <c r="E173" s="356" t="s">
        <v>24</v>
      </c>
      <c r="F173" s="452" t="s">
        <v>1111</v>
      </c>
      <c r="G173" s="464" t="s">
        <v>1112</v>
      </c>
      <c r="H173" s="452" t="s">
        <v>1113</v>
      </c>
      <c r="I173" s="452" t="s">
        <v>2867</v>
      </c>
      <c r="J173" s="452" t="s">
        <v>2868</v>
      </c>
      <c r="K173" s="452" t="s">
        <v>2847</v>
      </c>
      <c r="L173" s="452" t="s">
        <v>2848</v>
      </c>
      <c r="M173" s="452" t="s">
        <v>2849</v>
      </c>
      <c r="N173" s="465" t="s">
        <v>2850</v>
      </c>
      <c r="O173" s="452" t="s">
        <v>2869</v>
      </c>
      <c r="P173" s="452" t="s">
        <v>2852</v>
      </c>
      <c r="Q173" s="450" t="s">
        <v>1795</v>
      </c>
      <c r="R173" s="452" t="s">
        <v>1796</v>
      </c>
      <c r="S173" s="452" t="s">
        <v>1797</v>
      </c>
      <c r="T173" s="452" t="s">
        <v>2870</v>
      </c>
      <c r="U173" s="452" t="s">
        <v>2854</v>
      </c>
      <c r="V173" s="452" t="s">
        <v>2871</v>
      </c>
      <c r="W173" s="452" t="s">
        <v>2872</v>
      </c>
      <c r="X173" s="452" t="s">
        <v>1801</v>
      </c>
      <c r="Y173" s="452" t="s">
        <v>2857</v>
      </c>
      <c r="Z173" s="452" t="s">
        <v>2873</v>
      </c>
      <c r="AA173" s="452" t="s">
        <v>2503</v>
      </c>
      <c r="AB173" s="452" t="s">
        <v>2859</v>
      </c>
      <c r="AC173" s="442" t="s">
        <v>1803</v>
      </c>
      <c r="AD173" s="442" t="s">
        <v>2503</v>
      </c>
      <c r="AE173" s="442"/>
      <c r="AF173" s="386"/>
      <c r="BA173" s="356" t="s">
        <v>1107</v>
      </c>
      <c r="BB173" s="545" t="s">
        <v>1805</v>
      </c>
      <c r="BC173" s="545" t="s">
        <v>33</v>
      </c>
      <c r="BD173" s="545" t="s">
        <v>1806</v>
      </c>
      <c r="BE173" s="356" t="s">
        <v>145</v>
      </c>
      <c r="BF173" s="421" t="s">
        <v>1807</v>
      </c>
    </row>
    <row r="174" spans="1:58" ht="195">
      <c r="A174" s="356" t="s">
        <v>2874</v>
      </c>
      <c r="B174" s="356"/>
      <c r="C174" s="356"/>
      <c r="D174" s="356"/>
      <c r="E174" s="356" t="s">
        <v>24</v>
      </c>
      <c r="F174" s="452" t="s">
        <v>1114</v>
      </c>
      <c r="G174" s="464" t="s">
        <v>1115</v>
      </c>
      <c r="H174" s="452" t="s">
        <v>1116</v>
      </c>
      <c r="I174" s="452" t="s">
        <v>2875</v>
      </c>
      <c r="J174" s="452" t="s">
        <v>2876</v>
      </c>
      <c r="K174" s="452" t="s">
        <v>2847</v>
      </c>
      <c r="L174" s="452" t="s">
        <v>2848</v>
      </c>
      <c r="M174" s="452" t="s">
        <v>2849</v>
      </c>
      <c r="N174" s="465" t="s">
        <v>2850</v>
      </c>
      <c r="O174" s="452" t="s">
        <v>2869</v>
      </c>
      <c r="P174" s="452" t="s">
        <v>2852</v>
      </c>
      <c r="Q174" s="450" t="s">
        <v>1795</v>
      </c>
      <c r="R174" s="452" t="s">
        <v>1796</v>
      </c>
      <c r="S174" s="452" t="s">
        <v>1797</v>
      </c>
      <c r="T174" s="452" t="s">
        <v>2877</v>
      </c>
      <c r="U174" s="452" t="s">
        <v>2854</v>
      </c>
      <c r="V174" s="452" t="s">
        <v>2871</v>
      </c>
      <c r="W174" s="452" t="s">
        <v>2878</v>
      </c>
      <c r="X174" s="452" t="s">
        <v>1801</v>
      </c>
      <c r="Y174" s="452" t="s">
        <v>2857</v>
      </c>
      <c r="Z174" s="452" t="s">
        <v>2873</v>
      </c>
      <c r="AA174" s="452" t="s">
        <v>2503</v>
      </c>
      <c r="AB174" s="452" t="s">
        <v>2859</v>
      </c>
      <c r="AC174" s="442" t="s">
        <v>1803</v>
      </c>
      <c r="AD174" s="442" t="s">
        <v>2503</v>
      </c>
      <c r="AE174" s="442"/>
      <c r="AF174" s="386"/>
      <c r="BA174" s="356" t="s">
        <v>1107</v>
      </c>
      <c r="BB174" s="545" t="s">
        <v>1805</v>
      </c>
      <c r="BC174" s="545" t="s">
        <v>33</v>
      </c>
      <c r="BD174" s="545" t="s">
        <v>1806</v>
      </c>
      <c r="BE174" s="356" t="s">
        <v>145</v>
      </c>
      <c r="BF174" s="421" t="s">
        <v>1807</v>
      </c>
    </row>
    <row r="175" spans="1:58" ht="150">
      <c r="A175" s="356" t="s">
        <v>2879</v>
      </c>
      <c r="B175" s="356"/>
      <c r="C175" s="356"/>
      <c r="D175" s="356"/>
      <c r="E175" s="356" t="s">
        <v>24</v>
      </c>
      <c r="F175" s="452" t="s">
        <v>1117</v>
      </c>
      <c r="G175" s="464" t="s">
        <v>1118</v>
      </c>
      <c r="H175" s="452" t="s">
        <v>1119</v>
      </c>
      <c r="I175" s="452" t="s">
        <v>2880</v>
      </c>
      <c r="J175" s="452" t="s">
        <v>2881</v>
      </c>
      <c r="K175" s="452" t="s">
        <v>2847</v>
      </c>
      <c r="L175" s="452" t="s">
        <v>2848</v>
      </c>
      <c r="M175" s="452" t="s">
        <v>2849</v>
      </c>
      <c r="N175" s="465" t="s">
        <v>2882</v>
      </c>
      <c r="O175" s="452" t="s">
        <v>2883</v>
      </c>
      <c r="P175" s="452" t="s">
        <v>2884</v>
      </c>
      <c r="Q175" s="450" t="s">
        <v>2462</v>
      </c>
      <c r="R175" s="452" t="s">
        <v>1796</v>
      </c>
      <c r="S175" s="452" t="s">
        <v>1797</v>
      </c>
      <c r="T175" s="452" t="s">
        <v>2885</v>
      </c>
      <c r="U175" s="452" t="s">
        <v>2854</v>
      </c>
      <c r="V175" s="452" t="s">
        <v>2871</v>
      </c>
      <c r="W175" s="452" t="s">
        <v>2886</v>
      </c>
      <c r="X175" s="452" t="s">
        <v>1801</v>
      </c>
      <c r="Y175" s="452" t="s">
        <v>2857</v>
      </c>
      <c r="Z175" s="452" t="s">
        <v>2858</v>
      </c>
      <c r="AA175" s="452" t="s">
        <v>2503</v>
      </c>
      <c r="AB175" s="452" t="s">
        <v>2859</v>
      </c>
      <c r="AC175" s="442" t="s">
        <v>1803</v>
      </c>
      <c r="AD175" s="442" t="s">
        <v>2503</v>
      </c>
      <c r="AE175" s="442"/>
      <c r="AF175" s="386"/>
      <c r="BA175" s="356" t="s">
        <v>1107</v>
      </c>
      <c r="BB175" s="545" t="s">
        <v>1805</v>
      </c>
      <c r="BC175" s="545" t="s">
        <v>33</v>
      </c>
      <c r="BD175" s="545" t="s">
        <v>1806</v>
      </c>
      <c r="BE175" s="356" t="s">
        <v>145</v>
      </c>
      <c r="BF175" s="421" t="s">
        <v>1807</v>
      </c>
    </row>
    <row r="176" spans="1:58" ht="150">
      <c r="A176" s="356" t="s">
        <v>2887</v>
      </c>
      <c r="B176" s="356"/>
      <c r="C176" s="356"/>
      <c r="D176" s="356"/>
      <c r="E176" s="356" t="s">
        <v>24</v>
      </c>
      <c r="F176" s="452" t="s">
        <v>1120</v>
      </c>
      <c r="G176" s="464" t="s">
        <v>1121</v>
      </c>
      <c r="H176" s="452" t="s">
        <v>1122</v>
      </c>
      <c r="I176" s="452" t="s">
        <v>2888</v>
      </c>
      <c r="J176" s="452" t="s">
        <v>2889</v>
      </c>
      <c r="K176" s="452" t="s">
        <v>2847</v>
      </c>
      <c r="L176" s="452" t="s">
        <v>2848</v>
      </c>
      <c r="M176" s="452" t="s">
        <v>2849</v>
      </c>
      <c r="N176" s="465" t="s">
        <v>2882</v>
      </c>
      <c r="O176" s="452" t="s">
        <v>2883</v>
      </c>
      <c r="P176" s="452" t="s">
        <v>2884</v>
      </c>
      <c r="Q176" s="450" t="s">
        <v>2462</v>
      </c>
      <c r="R176" s="452" t="s">
        <v>1796</v>
      </c>
      <c r="S176" s="452" t="s">
        <v>1797</v>
      </c>
      <c r="T176" s="452" t="s">
        <v>2890</v>
      </c>
      <c r="U176" s="452" t="s">
        <v>2854</v>
      </c>
      <c r="V176" s="452" t="s">
        <v>2871</v>
      </c>
      <c r="W176" s="452" t="s">
        <v>2891</v>
      </c>
      <c r="X176" s="452" t="s">
        <v>1801</v>
      </c>
      <c r="Y176" s="452" t="s">
        <v>2857</v>
      </c>
      <c r="Z176" s="452" t="s">
        <v>2858</v>
      </c>
      <c r="AA176" s="452" t="s">
        <v>2503</v>
      </c>
      <c r="AB176" s="452" t="s">
        <v>2859</v>
      </c>
      <c r="AC176" s="442" t="s">
        <v>1803</v>
      </c>
      <c r="AD176" s="442" t="s">
        <v>2503</v>
      </c>
      <c r="AE176" s="442"/>
      <c r="AF176" s="386"/>
      <c r="BA176" s="356" t="s">
        <v>1107</v>
      </c>
      <c r="BB176" s="545" t="s">
        <v>1805</v>
      </c>
      <c r="BC176" s="545" t="s">
        <v>33</v>
      </c>
      <c r="BD176" s="545" t="s">
        <v>1806</v>
      </c>
      <c r="BE176" s="356" t="s">
        <v>145</v>
      </c>
      <c r="BF176" s="421" t="s">
        <v>1807</v>
      </c>
    </row>
    <row r="177" spans="1:58" ht="150">
      <c r="A177" s="356" t="s">
        <v>2892</v>
      </c>
      <c r="B177" s="356"/>
      <c r="C177" s="356"/>
      <c r="D177" s="356"/>
      <c r="E177" s="356" t="s">
        <v>24</v>
      </c>
      <c r="F177" s="452" t="s">
        <v>1123</v>
      </c>
      <c r="G177" s="464" t="s">
        <v>1124</v>
      </c>
      <c r="H177" s="452" t="s">
        <v>1125</v>
      </c>
      <c r="I177" s="452" t="s">
        <v>2893</v>
      </c>
      <c r="J177" s="452" t="s">
        <v>2894</v>
      </c>
      <c r="K177" s="452" t="s">
        <v>2847</v>
      </c>
      <c r="L177" s="452" t="s">
        <v>2848</v>
      </c>
      <c r="M177" s="452" t="s">
        <v>2849</v>
      </c>
      <c r="N177" s="465" t="s">
        <v>2882</v>
      </c>
      <c r="O177" s="452" t="s">
        <v>2883</v>
      </c>
      <c r="P177" s="452" t="s">
        <v>2884</v>
      </c>
      <c r="Q177" s="450" t="s">
        <v>2462</v>
      </c>
      <c r="R177" s="452" t="s">
        <v>1796</v>
      </c>
      <c r="S177" s="452" t="s">
        <v>1797</v>
      </c>
      <c r="T177" s="452" t="s">
        <v>2895</v>
      </c>
      <c r="U177" s="452" t="s">
        <v>2854</v>
      </c>
      <c r="V177" s="452" t="s">
        <v>2896</v>
      </c>
      <c r="W177" s="452" t="s">
        <v>2897</v>
      </c>
      <c r="X177" s="452" t="s">
        <v>1801</v>
      </c>
      <c r="Y177" s="452" t="s">
        <v>2857</v>
      </c>
      <c r="Z177" s="452" t="s">
        <v>2858</v>
      </c>
      <c r="AA177" s="452" t="s">
        <v>2503</v>
      </c>
      <c r="AB177" s="452" t="s">
        <v>2859</v>
      </c>
      <c r="AC177" s="442" t="s">
        <v>1803</v>
      </c>
      <c r="AD177" s="442" t="s">
        <v>2503</v>
      </c>
      <c r="AE177" s="442" t="s">
        <v>2898</v>
      </c>
      <c r="AF177" s="386"/>
      <c r="BA177" s="356" t="s">
        <v>1107</v>
      </c>
      <c r="BB177" s="545" t="s">
        <v>1805</v>
      </c>
      <c r="BC177" s="545" t="s">
        <v>33</v>
      </c>
      <c r="BD177" s="545" t="s">
        <v>1806</v>
      </c>
      <c r="BE177" s="356" t="s">
        <v>145</v>
      </c>
      <c r="BF177" s="421" t="s">
        <v>1807</v>
      </c>
    </row>
    <row r="178" spans="1:58" ht="150">
      <c r="A178" s="356" t="s">
        <v>2899</v>
      </c>
      <c r="B178" s="356"/>
      <c r="C178" s="356"/>
      <c r="D178" s="356"/>
      <c r="E178" s="356" t="s">
        <v>24</v>
      </c>
      <c r="F178" s="452" t="s">
        <v>1126</v>
      </c>
      <c r="G178" s="464" t="s">
        <v>1127</v>
      </c>
      <c r="H178" s="452" t="s">
        <v>1128</v>
      </c>
      <c r="I178" s="452" t="s">
        <v>2900</v>
      </c>
      <c r="J178" s="452" t="s">
        <v>2901</v>
      </c>
      <c r="K178" s="452" t="s">
        <v>2847</v>
      </c>
      <c r="L178" s="452" t="s">
        <v>2848</v>
      </c>
      <c r="M178" s="452" t="s">
        <v>2849</v>
      </c>
      <c r="N178" s="465" t="s">
        <v>2882</v>
      </c>
      <c r="O178" s="452" t="s">
        <v>2883</v>
      </c>
      <c r="P178" s="452" t="s">
        <v>2884</v>
      </c>
      <c r="Q178" s="450" t="s">
        <v>2462</v>
      </c>
      <c r="R178" s="452" t="s">
        <v>1796</v>
      </c>
      <c r="S178" s="452" t="s">
        <v>1797</v>
      </c>
      <c r="T178" s="452" t="s">
        <v>2902</v>
      </c>
      <c r="U178" s="452" t="s">
        <v>2854</v>
      </c>
      <c r="V178" s="452" t="s">
        <v>2855</v>
      </c>
      <c r="W178" s="452" t="s">
        <v>2903</v>
      </c>
      <c r="X178" s="452" t="s">
        <v>1801</v>
      </c>
      <c r="Y178" s="452" t="s">
        <v>2857</v>
      </c>
      <c r="Z178" s="452" t="s">
        <v>2858</v>
      </c>
      <c r="AA178" s="452" t="s">
        <v>2503</v>
      </c>
      <c r="AB178" s="452" t="s">
        <v>2859</v>
      </c>
      <c r="AC178" s="442" t="s">
        <v>1803</v>
      </c>
      <c r="AD178" s="442" t="s">
        <v>2503</v>
      </c>
      <c r="AE178" s="442" t="s">
        <v>2898</v>
      </c>
      <c r="AF178" s="386"/>
      <c r="BA178" s="356" t="s">
        <v>1107</v>
      </c>
      <c r="BB178" s="545" t="s">
        <v>1805</v>
      </c>
      <c r="BC178" s="545" t="s">
        <v>33</v>
      </c>
      <c r="BD178" s="545" t="s">
        <v>1806</v>
      </c>
      <c r="BE178" s="356" t="s">
        <v>145</v>
      </c>
      <c r="BF178" s="421" t="s">
        <v>1807</v>
      </c>
    </row>
    <row r="179" spans="1:58" ht="150">
      <c r="A179" s="356" t="s">
        <v>2904</v>
      </c>
      <c r="B179" s="356"/>
      <c r="C179" s="356"/>
      <c r="D179" s="356"/>
      <c r="E179" s="356" t="s">
        <v>24</v>
      </c>
      <c r="F179" s="452" t="s">
        <v>1129</v>
      </c>
      <c r="G179" s="452" t="s">
        <v>1130</v>
      </c>
      <c r="H179" s="452" t="s">
        <v>1131</v>
      </c>
      <c r="I179" s="452" t="s">
        <v>2905</v>
      </c>
      <c r="J179" s="452" t="s">
        <v>2906</v>
      </c>
      <c r="K179" s="452" t="s">
        <v>2847</v>
      </c>
      <c r="L179" s="452" t="s">
        <v>2848</v>
      </c>
      <c r="M179" s="452" t="s">
        <v>2849</v>
      </c>
      <c r="N179" s="465" t="s">
        <v>2907</v>
      </c>
      <c r="O179" s="452" t="s">
        <v>2908</v>
      </c>
      <c r="P179" s="452" t="s">
        <v>2909</v>
      </c>
      <c r="Q179" s="466" t="s">
        <v>1795</v>
      </c>
      <c r="R179" s="452" t="s">
        <v>1796</v>
      </c>
      <c r="S179" s="452" t="s">
        <v>1797</v>
      </c>
      <c r="T179" s="452" t="s">
        <v>2910</v>
      </c>
      <c r="U179" s="452" t="s">
        <v>2854</v>
      </c>
      <c r="V179" s="452" t="s">
        <v>2911</v>
      </c>
      <c r="W179" s="452" t="s">
        <v>2912</v>
      </c>
      <c r="X179" s="452" t="s">
        <v>1801</v>
      </c>
      <c r="Y179" s="452" t="s">
        <v>2857</v>
      </c>
      <c r="Z179" s="452" t="s">
        <v>2913</v>
      </c>
      <c r="AA179" s="452" t="s">
        <v>2503</v>
      </c>
      <c r="AB179" s="452" t="s">
        <v>2914</v>
      </c>
      <c r="AC179" s="442" t="s">
        <v>1803</v>
      </c>
      <c r="AD179" s="442" t="s">
        <v>2503</v>
      </c>
      <c r="AE179" s="442" t="s">
        <v>2915</v>
      </c>
      <c r="AF179" s="386"/>
      <c r="BA179" s="356" t="s">
        <v>1107</v>
      </c>
      <c r="BB179" s="545" t="s">
        <v>1805</v>
      </c>
      <c r="BC179" s="545" t="s">
        <v>33</v>
      </c>
      <c r="BD179" s="545" t="s">
        <v>1806</v>
      </c>
      <c r="BE179" s="356" t="s">
        <v>145</v>
      </c>
      <c r="BF179" s="421" t="s">
        <v>1807</v>
      </c>
    </row>
    <row r="180" spans="1:58" ht="150">
      <c r="A180" s="356" t="s">
        <v>2916</v>
      </c>
      <c r="B180" s="356"/>
      <c r="C180" s="356"/>
      <c r="D180" s="356"/>
      <c r="E180" s="356" t="s">
        <v>24</v>
      </c>
      <c r="F180" s="452" t="s">
        <v>1132</v>
      </c>
      <c r="G180" s="464" t="s">
        <v>1133</v>
      </c>
      <c r="H180" s="452" t="s">
        <v>1134</v>
      </c>
      <c r="I180" s="452" t="s">
        <v>2917</v>
      </c>
      <c r="J180" s="452" t="s">
        <v>2918</v>
      </c>
      <c r="K180" s="452" t="s">
        <v>2847</v>
      </c>
      <c r="L180" s="452" t="s">
        <v>2848</v>
      </c>
      <c r="M180" s="452" t="s">
        <v>2849</v>
      </c>
      <c r="N180" s="465" t="s">
        <v>2907</v>
      </c>
      <c r="O180" s="452" t="s">
        <v>2908</v>
      </c>
      <c r="P180" s="452" t="s">
        <v>2909</v>
      </c>
      <c r="Q180" s="466" t="s">
        <v>1795</v>
      </c>
      <c r="R180" s="452" t="s">
        <v>1796</v>
      </c>
      <c r="S180" s="452" t="s">
        <v>1797</v>
      </c>
      <c r="T180" s="452" t="s">
        <v>2919</v>
      </c>
      <c r="U180" s="452" t="s">
        <v>2854</v>
      </c>
      <c r="V180" s="452" t="s">
        <v>2911</v>
      </c>
      <c r="W180" s="452" t="s">
        <v>2920</v>
      </c>
      <c r="X180" s="452" t="s">
        <v>1801</v>
      </c>
      <c r="Y180" s="452" t="s">
        <v>2857</v>
      </c>
      <c r="Z180" s="452" t="s">
        <v>2913</v>
      </c>
      <c r="AA180" s="452" t="s">
        <v>2503</v>
      </c>
      <c r="AB180" s="452" t="s">
        <v>2914</v>
      </c>
      <c r="AC180" s="442" t="s">
        <v>1803</v>
      </c>
      <c r="AD180" s="442" t="s">
        <v>2503</v>
      </c>
      <c r="AE180" s="442" t="s">
        <v>2915</v>
      </c>
      <c r="AF180" s="386"/>
      <c r="BA180" s="356" t="s">
        <v>1107</v>
      </c>
      <c r="BB180" s="545" t="s">
        <v>1805</v>
      </c>
      <c r="BC180" s="545" t="s">
        <v>33</v>
      </c>
      <c r="BD180" s="545" t="s">
        <v>1806</v>
      </c>
      <c r="BE180" s="356" t="s">
        <v>145</v>
      </c>
      <c r="BF180" s="421" t="s">
        <v>1807</v>
      </c>
    </row>
    <row r="181" spans="1:58" ht="195">
      <c r="A181" s="356" t="s">
        <v>2921</v>
      </c>
      <c r="B181" s="356"/>
      <c r="C181" s="356"/>
      <c r="D181" s="356"/>
      <c r="E181" s="356" t="s">
        <v>24</v>
      </c>
      <c r="F181" s="452" t="s">
        <v>1135</v>
      </c>
      <c r="G181" s="464" t="s">
        <v>1136</v>
      </c>
      <c r="H181" s="452" t="s">
        <v>1137</v>
      </c>
      <c r="I181" s="452" t="s">
        <v>2922</v>
      </c>
      <c r="J181" s="452" t="s">
        <v>2923</v>
      </c>
      <c r="K181" s="452" t="s">
        <v>2924</v>
      </c>
      <c r="L181" s="452" t="s">
        <v>2925</v>
      </c>
      <c r="M181" s="452" t="s">
        <v>2926</v>
      </c>
      <c r="N181" s="465" t="s">
        <v>2927</v>
      </c>
      <c r="O181" s="452" t="s">
        <v>2928</v>
      </c>
      <c r="P181" s="452" t="s">
        <v>2929</v>
      </c>
      <c r="Q181" s="466" t="s">
        <v>1795</v>
      </c>
      <c r="R181" s="452" t="s">
        <v>2930</v>
      </c>
      <c r="S181" s="452" t="s">
        <v>1797</v>
      </c>
      <c r="T181" s="452" t="s">
        <v>2931</v>
      </c>
      <c r="U181" s="452" t="s">
        <v>2854</v>
      </c>
      <c r="V181" s="452" t="s">
        <v>2932</v>
      </c>
      <c r="W181" s="452" t="s">
        <v>2933</v>
      </c>
      <c r="X181" s="452" t="s">
        <v>1801</v>
      </c>
      <c r="Y181" s="452" t="s">
        <v>2857</v>
      </c>
      <c r="Z181" s="452" t="s">
        <v>2934</v>
      </c>
      <c r="AA181" s="452" t="s">
        <v>2503</v>
      </c>
      <c r="AB181" s="452" t="s">
        <v>2935</v>
      </c>
      <c r="AC181" s="442" t="s">
        <v>1803</v>
      </c>
      <c r="AD181" s="442" t="s">
        <v>2503</v>
      </c>
      <c r="AE181" s="442"/>
      <c r="AF181" s="386"/>
      <c r="BA181" s="356" t="s">
        <v>1107</v>
      </c>
      <c r="BB181" s="545" t="s">
        <v>1805</v>
      </c>
      <c r="BC181" s="545" t="s">
        <v>33</v>
      </c>
      <c r="BD181" s="545" t="s">
        <v>1806</v>
      </c>
      <c r="BE181" s="356" t="s">
        <v>145</v>
      </c>
      <c r="BF181" s="421" t="s">
        <v>1807</v>
      </c>
    </row>
    <row r="182" spans="1:58" ht="150">
      <c r="A182" s="356" t="s">
        <v>2936</v>
      </c>
      <c r="B182" s="356"/>
      <c r="C182" s="356"/>
      <c r="D182" s="356"/>
      <c r="E182" s="356" t="s">
        <v>24</v>
      </c>
      <c r="F182" s="452" t="s">
        <v>1138</v>
      </c>
      <c r="G182" s="464" t="s">
        <v>1139</v>
      </c>
      <c r="H182" s="452" t="s">
        <v>1140</v>
      </c>
      <c r="I182" s="452" t="s">
        <v>2937</v>
      </c>
      <c r="J182" s="452" t="s">
        <v>2938</v>
      </c>
      <c r="K182" s="452" t="s">
        <v>2939</v>
      </c>
      <c r="L182" s="452" t="s">
        <v>2940</v>
      </c>
      <c r="M182" s="452" t="s">
        <v>2941</v>
      </c>
      <c r="N182" s="465" t="s">
        <v>2927</v>
      </c>
      <c r="O182" s="452" t="s">
        <v>2928</v>
      </c>
      <c r="P182" s="452" t="s">
        <v>2929</v>
      </c>
      <c r="Q182" s="450" t="s">
        <v>2462</v>
      </c>
      <c r="R182" s="452" t="s">
        <v>2930</v>
      </c>
      <c r="S182" s="452" t="s">
        <v>1797</v>
      </c>
      <c r="T182" s="452" t="s">
        <v>2942</v>
      </c>
      <c r="U182" s="452" t="s">
        <v>2854</v>
      </c>
      <c r="V182" s="452" t="s">
        <v>2932</v>
      </c>
      <c r="W182" s="452" t="s">
        <v>2933</v>
      </c>
      <c r="X182" s="452" t="s">
        <v>1801</v>
      </c>
      <c r="Y182" s="452" t="s">
        <v>2857</v>
      </c>
      <c r="Z182" s="452" t="s">
        <v>2858</v>
      </c>
      <c r="AA182" s="452" t="s">
        <v>2503</v>
      </c>
      <c r="AB182" s="452" t="s">
        <v>2943</v>
      </c>
      <c r="AC182" s="442" t="s">
        <v>1803</v>
      </c>
      <c r="AD182" s="442" t="s">
        <v>2503</v>
      </c>
      <c r="AE182" s="442"/>
      <c r="AF182" s="386"/>
      <c r="BA182" s="356" t="s">
        <v>1107</v>
      </c>
      <c r="BB182" s="545" t="s">
        <v>1805</v>
      </c>
      <c r="BC182" s="545" t="s">
        <v>33</v>
      </c>
      <c r="BD182" s="545" t="s">
        <v>1806</v>
      </c>
      <c r="BE182" s="356" t="s">
        <v>145</v>
      </c>
      <c r="BF182" s="421" t="s">
        <v>1807</v>
      </c>
    </row>
    <row r="183" spans="1:58" ht="195">
      <c r="A183" s="356" t="s">
        <v>2944</v>
      </c>
      <c r="B183" s="356"/>
      <c r="C183" s="356"/>
      <c r="D183" s="356"/>
      <c r="E183" s="356" t="s">
        <v>24</v>
      </c>
      <c r="F183" s="452" t="s">
        <v>1141</v>
      </c>
      <c r="G183" s="464" t="s">
        <v>1142</v>
      </c>
      <c r="H183" s="452" t="s">
        <v>1143</v>
      </c>
      <c r="I183" s="452" t="s">
        <v>2945</v>
      </c>
      <c r="J183" s="452" t="s">
        <v>2946</v>
      </c>
      <c r="K183" s="452" t="s">
        <v>2947</v>
      </c>
      <c r="L183" s="452" t="s">
        <v>2948</v>
      </c>
      <c r="M183" s="452" t="s">
        <v>2949</v>
      </c>
      <c r="N183" s="465" t="s">
        <v>2950</v>
      </c>
      <c r="O183" s="452" t="s">
        <v>2951</v>
      </c>
      <c r="P183" s="452" t="s">
        <v>2952</v>
      </c>
      <c r="Q183" s="450" t="s">
        <v>1795</v>
      </c>
      <c r="R183" s="452" t="s">
        <v>2930</v>
      </c>
      <c r="S183" s="452" t="s">
        <v>1797</v>
      </c>
      <c r="T183" s="452" t="s">
        <v>2953</v>
      </c>
      <c r="U183" s="452" t="s">
        <v>2854</v>
      </c>
      <c r="V183" s="452" t="s">
        <v>2932</v>
      </c>
      <c r="W183" s="452" t="s">
        <v>2933</v>
      </c>
      <c r="X183" s="452" t="s">
        <v>1801</v>
      </c>
      <c r="Y183" s="452" t="s">
        <v>2857</v>
      </c>
      <c r="Z183" s="452" t="s">
        <v>2873</v>
      </c>
      <c r="AA183" s="452" t="s">
        <v>2503</v>
      </c>
      <c r="AB183" s="452" t="s">
        <v>2943</v>
      </c>
      <c r="AC183" s="442" t="s">
        <v>1803</v>
      </c>
      <c r="AD183" s="442" t="s">
        <v>2503</v>
      </c>
      <c r="AE183" s="442"/>
      <c r="AF183" s="386"/>
      <c r="BA183" s="356" t="s">
        <v>1107</v>
      </c>
      <c r="BB183" s="545" t="s">
        <v>1805</v>
      </c>
      <c r="BC183" s="545" t="s">
        <v>33</v>
      </c>
      <c r="BD183" s="545" t="s">
        <v>1806</v>
      </c>
      <c r="BE183" s="356" t="s">
        <v>145</v>
      </c>
      <c r="BF183" s="421" t="s">
        <v>1807</v>
      </c>
    </row>
    <row r="184" spans="1:58" ht="165">
      <c r="A184" s="356" t="s">
        <v>2954</v>
      </c>
      <c r="B184" s="356"/>
      <c r="C184" s="356"/>
      <c r="D184" s="356"/>
      <c r="E184" s="356" t="s">
        <v>24</v>
      </c>
      <c r="F184" s="452" t="s">
        <v>1144</v>
      </c>
      <c r="G184" s="464" t="s">
        <v>1145</v>
      </c>
      <c r="H184" s="452" t="s">
        <v>1146</v>
      </c>
      <c r="I184" s="452" t="s">
        <v>2955</v>
      </c>
      <c r="J184" s="452" t="s">
        <v>2956</v>
      </c>
      <c r="K184" s="452" t="s">
        <v>2957</v>
      </c>
      <c r="L184" s="452" t="s">
        <v>2958</v>
      </c>
      <c r="M184" s="452" t="s">
        <v>2959</v>
      </c>
      <c r="N184" s="465" t="s">
        <v>2960</v>
      </c>
      <c r="O184" s="452" t="s">
        <v>2961</v>
      </c>
      <c r="P184" s="452" t="s">
        <v>2962</v>
      </c>
      <c r="Q184" s="450" t="s">
        <v>1842</v>
      </c>
      <c r="R184" s="452" t="s">
        <v>2930</v>
      </c>
      <c r="S184" s="452" t="s">
        <v>1797</v>
      </c>
      <c r="T184" s="452" t="s">
        <v>2963</v>
      </c>
      <c r="U184" s="452" t="s">
        <v>2854</v>
      </c>
      <c r="V184" s="452" t="s">
        <v>2932</v>
      </c>
      <c r="W184" s="452" t="s">
        <v>2933</v>
      </c>
      <c r="X184" s="452" t="s">
        <v>1801</v>
      </c>
      <c r="Y184" s="452" t="s">
        <v>2857</v>
      </c>
      <c r="Z184" s="452" t="s">
        <v>2964</v>
      </c>
      <c r="AA184" s="452" t="s">
        <v>2503</v>
      </c>
      <c r="AB184" s="452" t="s">
        <v>2943</v>
      </c>
      <c r="AC184" s="442" t="s">
        <v>1803</v>
      </c>
      <c r="AD184" s="442" t="s">
        <v>2503</v>
      </c>
      <c r="AE184" s="442"/>
      <c r="AF184" s="386"/>
      <c r="BA184" s="356" t="s">
        <v>1107</v>
      </c>
      <c r="BB184" s="545" t="s">
        <v>1805</v>
      </c>
      <c r="BC184" s="545" t="s">
        <v>33</v>
      </c>
      <c r="BD184" s="545" t="s">
        <v>1806</v>
      </c>
      <c r="BE184" s="356" t="s">
        <v>145</v>
      </c>
      <c r="BF184" s="421" t="s">
        <v>1807</v>
      </c>
    </row>
    <row r="185" spans="1:58" ht="195">
      <c r="A185" s="356" t="s">
        <v>2965</v>
      </c>
      <c r="B185" s="356"/>
      <c r="C185" s="356"/>
      <c r="D185" s="356"/>
      <c r="E185" s="356" t="s">
        <v>24</v>
      </c>
      <c r="F185" s="452" t="s">
        <v>1147</v>
      </c>
      <c r="G185" s="464" t="s">
        <v>1148</v>
      </c>
      <c r="H185" s="452" t="s">
        <v>1149</v>
      </c>
      <c r="I185" s="452" t="s">
        <v>2966</v>
      </c>
      <c r="J185" s="452" t="s">
        <v>2967</v>
      </c>
      <c r="K185" s="452" t="s">
        <v>2968</v>
      </c>
      <c r="L185" s="452" t="s">
        <v>2969</v>
      </c>
      <c r="M185" s="452" t="s">
        <v>2970</v>
      </c>
      <c r="N185" s="452" t="s">
        <v>2971</v>
      </c>
      <c r="O185" s="452" t="s">
        <v>2972</v>
      </c>
      <c r="P185" s="452" t="s">
        <v>2973</v>
      </c>
      <c r="Q185" s="450" t="s">
        <v>2462</v>
      </c>
      <c r="R185" s="452" t="s">
        <v>2930</v>
      </c>
      <c r="S185" s="452" t="s">
        <v>1797</v>
      </c>
      <c r="T185" s="452" t="s">
        <v>2974</v>
      </c>
      <c r="U185" s="452" t="s">
        <v>2975</v>
      </c>
      <c r="V185" s="452" t="s">
        <v>2976</v>
      </c>
      <c r="W185" s="452" t="s">
        <v>2977</v>
      </c>
      <c r="X185" s="452" t="s">
        <v>1801</v>
      </c>
      <c r="Y185" s="452" t="s">
        <v>2857</v>
      </c>
      <c r="Z185" s="452" t="s">
        <v>2978</v>
      </c>
      <c r="AA185" s="452" t="s">
        <v>2503</v>
      </c>
      <c r="AB185" s="452" t="s">
        <v>2979</v>
      </c>
      <c r="AC185" s="442" t="s">
        <v>1803</v>
      </c>
      <c r="AD185" s="442" t="s">
        <v>2503</v>
      </c>
      <c r="AE185" s="442"/>
      <c r="AF185" s="386"/>
      <c r="BA185" s="356" t="s">
        <v>1107</v>
      </c>
      <c r="BB185" s="545" t="s">
        <v>1805</v>
      </c>
      <c r="BC185" s="545" t="s">
        <v>33</v>
      </c>
      <c r="BD185" s="545" t="s">
        <v>1806</v>
      </c>
      <c r="BE185" s="356" t="s">
        <v>145</v>
      </c>
      <c r="BF185" s="421" t="s">
        <v>1807</v>
      </c>
    </row>
    <row r="186" spans="1:58" ht="255">
      <c r="A186" s="356" t="s">
        <v>2980</v>
      </c>
      <c r="B186" s="356"/>
      <c r="C186" s="356"/>
      <c r="D186" s="356"/>
      <c r="E186" s="356" t="s">
        <v>24</v>
      </c>
      <c r="F186" s="452" t="s">
        <v>1150</v>
      </c>
      <c r="G186" s="464" t="s">
        <v>1151</v>
      </c>
      <c r="H186" s="452" t="s">
        <v>1152</v>
      </c>
      <c r="I186" s="452" t="s">
        <v>2981</v>
      </c>
      <c r="J186" s="452" t="s">
        <v>2982</v>
      </c>
      <c r="K186" s="452" t="s">
        <v>2983</v>
      </c>
      <c r="L186" s="452" t="s">
        <v>2984</v>
      </c>
      <c r="M186" s="452" t="s">
        <v>2985</v>
      </c>
      <c r="N186" s="452" t="s">
        <v>2986</v>
      </c>
      <c r="O186" s="452" t="s">
        <v>2987</v>
      </c>
      <c r="P186" s="452" t="s">
        <v>2988</v>
      </c>
      <c r="Q186" s="450" t="s">
        <v>2462</v>
      </c>
      <c r="R186" s="452" t="s">
        <v>2930</v>
      </c>
      <c r="S186" s="452" t="s">
        <v>1797</v>
      </c>
      <c r="T186" s="452" t="s">
        <v>2989</v>
      </c>
      <c r="U186" s="452" t="s">
        <v>2990</v>
      </c>
      <c r="V186" s="452" t="s">
        <v>2976</v>
      </c>
      <c r="W186" s="452" t="s">
        <v>2991</v>
      </c>
      <c r="X186" s="452" t="s">
        <v>1801</v>
      </c>
      <c r="Y186" s="452" t="s">
        <v>2857</v>
      </c>
      <c r="Z186" s="452" t="s">
        <v>2978</v>
      </c>
      <c r="AA186" s="452" t="s">
        <v>2503</v>
      </c>
      <c r="AB186" s="452" t="s">
        <v>2992</v>
      </c>
      <c r="AC186" s="442" t="s">
        <v>1803</v>
      </c>
      <c r="AD186" s="442" t="s">
        <v>2503</v>
      </c>
      <c r="AE186" s="442"/>
      <c r="AF186" s="386"/>
      <c r="BA186" s="356" t="s">
        <v>1107</v>
      </c>
      <c r="BB186" s="545" t="s">
        <v>1805</v>
      </c>
      <c r="BC186" s="545" t="s">
        <v>33</v>
      </c>
      <c r="BD186" s="545" t="s">
        <v>1806</v>
      </c>
      <c r="BE186" s="356" t="s">
        <v>145</v>
      </c>
      <c r="BF186" s="421" t="s">
        <v>1807</v>
      </c>
    </row>
    <row r="187" spans="1:58" ht="255">
      <c r="A187" s="356" t="s">
        <v>2993</v>
      </c>
      <c r="B187" s="356"/>
      <c r="C187" s="356"/>
      <c r="D187" s="356"/>
      <c r="E187" s="356" t="s">
        <v>24</v>
      </c>
      <c r="F187" s="452" t="s">
        <v>1153</v>
      </c>
      <c r="G187" s="464" t="s">
        <v>1154</v>
      </c>
      <c r="H187" s="452" t="s">
        <v>1155</v>
      </c>
      <c r="I187" s="452" t="s">
        <v>2994</v>
      </c>
      <c r="J187" s="452" t="s">
        <v>2995</v>
      </c>
      <c r="K187" s="452" t="s">
        <v>2983</v>
      </c>
      <c r="L187" s="452" t="s">
        <v>2984</v>
      </c>
      <c r="M187" s="452" t="s">
        <v>2985</v>
      </c>
      <c r="N187" s="452" t="s">
        <v>2996</v>
      </c>
      <c r="O187" s="452" t="s">
        <v>2997</v>
      </c>
      <c r="P187" s="452" t="s">
        <v>2998</v>
      </c>
      <c r="Q187" s="450" t="s">
        <v>2462</v>
      </c>
      <c r="R187" s="452" t="s">
        <v>2930</v>
      </c>
      <c r="S187" s="452" t="s">
        <v>1797</v>
      </c>
      <c r="T187" s="452" t="s">
        <v>2999</v>
      </c>
      <c r="U187" s="452" t="s">
        <v>3000</v>
      </c>
      <c r="V187" s="452" t="s">
        <v>2976</v>
      </c>
      <c r="W187" s="452" t="s">
        <v>2977</v>
      </c>
      <c r="X187" s="452" t="s">
        <v>1801</v>
      </c>
      <c r="Y187" s="452" t="s">
        <v>2857</v>
      </c>
      <c r="Z187" s="452" t="s">
        <v>2978</v>
      </c>
      <c r="AA187" s="452" t="s">
        <v>2503</v>
      </c>
      <c r="AB187" s="452" t="s">
        <v>2992</v>
      </c>
      <c r="AC187" s="442" t="s">
        <v>1803</v>
      </c>
      <c r="AD187" s="442" t="s">
        <v>2503</v>
      </c>
      <c r="AE187" s="442"/>
      <c r="AF187" s="386"/>
      <c r="BA187" s="356" t="s">
        <v>1107</v>
      </c>
      <c r="BB187" s="545" t="s">
        <v>1805</v>
      </c>
      <c r="BC187" s="545" t="s">
        <v>33</v>
      </c>
      <c r="BD187" s="545" t="s">
        <v>1806</v>
      </c>
      <c r="BE187" s="356" t="s">
        <v>145</v>
      </c>
      <c r="BF187" s="421" t="s">
        <v>1807</v>
      </c>
    </row>
    <row r="188" spans="1:58" ht="180">
      <c r="A188" s="356" t="s">
        <v>3001</v>
      </c>
      <c r="B188" s="356"/>
      <c r="C188" s="356"/>
      <c r="D188" s="356"/>
      <c r="E188" s="356" t="s">
        <v>24</v>
      </c>
      <c r="F188" s="452" t="s">
        <v>1156</v>
      </c>
      <c r="G188" s="464" t="s">
        <v>1157</v>
      </c>
      <c r="H188" s="452" t="s">
        <v>1158</v>
      </c>
      <c r="I188" s="452" t="s">
        <v>3002</v>
      </c>
      <c r="J188" s="452" t="s">
        <v>3003</v>
      </c>
      <c r="K188" s="452" t="s">
        <v>3004</v>
      </c>
      <c r="L188" s="452" t="s">
        <v>3005</v>
      </c>
      <c r="M188" s="452" t="s">
        <v>3006</v>
      </c>
      <c r="N188" s="452" t="s">
        <v>3007</v>
      </c>
      <c r="O188" s="452" t="s">
        <v>3008</v>
      </c>
      <c r="P188" s="452" t="s">
        <v>3009</v>
      </c>
      <c r="Q188" s="450" t="s">
        <v>1795</v>
      </c>
      <c r="R188" s="452" t="s">
        <v>3010</v>
      </c>
      <c r="S188" s="452" t="s">
        <v>1797</v>
      </c>
      <c r="T188" s="452" t="s">
        <v>3011</v>
      </c>
      <c r="U188" s="452" t="s">
        <v>3012</v>
      </c>
      <c r="V188" s="452" t="s">
        <v>2932</v>
      </c>
      <c r="W188" s="452" t="s">
        <v>3013</v>
      </c>
      <c r="X188" s="452" t="s">
        <v>1801</v>
      </c>
      <c r="Y188" s="452" t="s">
        <v>2857</v>
      </c>
      <c r="Z188" s="452" t="s">
        <v>3014</v>
      </c>
      <c r="AA188" s="452" t="s">
        <v>2503</v>
      </c>
      <c r="AB188" s="452" t="s">
        <v>3015</v>
      </c>
      <c r="AC188" s="442" t="s">
        <v>1803</v>
      </c>
      <c r="AD188" s="442" t="s">
        <v>2503</v>
      </c>
      <c r="AE188" s="442"/>
      <c r="AF188" s="386"/>
      <c r="BA188" s="356" t="s">
        <v>1107</v>
      </c>
      <c r="BB188" s="545" t="s">
        <v>1805</v>
      </c>
      <c r="BC188" s="545" t="s">
        <v>33</v>
      </c>
      <c r="BD188" s="545" t="s">
        <v>1806</v>
      </c>
      <c r="BE188" s="356" t="s">
        <v>145</v>
      </c>
      <c r="BF188" s="421" t="s">
        <v>1807</v>
      </c>
    </row>
    <row r="189" spans="1:58" ht="180">
      <c r="A189" s="356" t="s">
        <v>3016</v>
      </c>
      <c r="B189" s="356"/>
      <c r="C189" s="356"/>
      <c r="D189" s="356"/>
      <c r="E189" s="356" t="s">
        <v>24</v>
      </c>
      <c r="F189" s="452" t="s">
        <v>1159</v>
      </c>
      <c r="G189" s="464" t="s">
        <v>1160</v>
      </c>
      <c r="H189" s="452" t="s">
        <v>1161</v>
      </c>
      <c r="I189" s="452" t="s">
        <v>3017</v>
      </c>
      <c r="J189" s="452" t="s">
        <v>3018</v>
      </c>
      <c r="K189" s="452" t="s">
        <v>3019</v>
      </c>
      <c r="L189" s="452" t="s">
        <v>3020</v>
      </c>
      <c r="M189" s="452" t="s">
        <v>3021</v>
      </c>
      <c r="N189" s="452" t="s">
        <v>3022</v>
      </c>
      <c r="O189" s="452" t="s">
        <v>3023</v>
      </c>
      <c r="P189" s="452" t="s">
        <v>3024</v>
      </c>
      <c r="Q189" s="450" t="s">
        <v>1795</v>
      </c>
      <c r="R189" s="452" t="s">
        <v>3010</v>
      </c>
      <c r="S189" s="452" t="s">
        <v>1797</v>
      </c>
      <c r="T189" s="452" t="s">
        <v>3025</v>
      </c>
      <c r="U189" s="452" t="s">
        <v>3012</v>
      </c>
      <c r="V189" s="452" t="s">
        <v>2932</v>
      </c>
      <c r="W189" s="452" t="s">
        <v>3026</v>
      </c>
      <c r="X189" s="452" t="s">
        <v>1801</v>
      </c>
      <c r="Y189" s="452" t="s">
        <v>2857</v>
      </c>
      <c r="Z189" s="452" t="s">
        <v>3014</v>
      </c>
      <c r="AA189" s="452" t="s">
        <v>2503</v>
      </c>
      <c r="AB189" s="452" t="s">
        <v>3015</v>
      </c>
      <c r="AC189" s="442" t="s">
        <v>1803</v>
      </c>
      <c r="AD189" s="442" t="s">
        <v>2503</v>
      </c>
      <c r="AE189" s="442"/>
      <c r="AF189" s="386"/>
      <c r="BA189" s="356" t="s">
        <v>1107</v>
      </c>
      <c r="BB189" s="545" t="s">
        <v>1805</v>
      </c>
      <c r="BC189" s="545" t="s">
        <v>33</v>
      </c>
      <c r="BD189" s="545" t="s">
        <v>1806</v>
      </c>
      <c r="BE189" s="356" t="s">
        <v>145</v>
      </c>
      <c r="BF189" s="421" t="s">
        <v>1807</v>
      </c>
    </row>
    <row r="190" spans="1:58" ht="180">
      <c r="A190" s="356" t="s">
        <v>3027</v>
      </c>
      <c r="B190" s="356"/>
      <c r="C190" s="356"/>
      <c r="D190" s="356"/>
      <c r="E190" s="356" t="s">
        <v>24</v>
      </c>
      <c r="F190" s="452" t="s">
        <v>1162</v>
      </c>
      <c r="G190" s="464" t="s">
        <v>1163</v>
      </c>
      <c r="H190" s="452" t="s">
        <v>1164</v>
      </c>
      <c r="I190" s="452" t="s">
        <v>3028</v>
      </c>
      <c r="J190" s="452" t="s">
        <v>3029</v>
      </c>
      <c r="K190" s="452" t="s">
        <v>3030</v>
      </c>
      <c r="L190" s="452" t="s">
        <v>3031</v>
      </c>
      <c r="M190" s="452" t="s">
        <v>3032</v>
      </c>
      <c r="N190" s="452" t="s">
        <v>3033</v>
      </c>
      <c r="O190" s="452" t="s">
        <v>3034</v>
      </c>
      <c r="P190" s="452" t="s">
        <v>3035</v>
      </c>
      <c r="Q190" s="450" t="s">
        <v>1795</v>
      </c>
      <c r="R190" s="452" t="s">
        <v>3010</v>
      </c>
      <c r="S190" s="452" t="s">
        <v>1797</v>
      </c>
      <c r="T190" s="452" t="s">
        <v>3036</v>
      </c>
      <c r="U190" s="452" t="s">
        <v>3012</v>
      </c>
      <c r="V190" s="452" t="s">
        <v>2932</v>
      </c>
      <c r="W190" s="452" t="s">
        <v>3037</v>
      </c>
      <c r="X190" s="452" t="s">
        <v>1801</v>
      </c>
      <c r="Y190" s="452" t="s">
        <v>2857</v>
      </c>
      <c r="Z190" s="452" t="s">
        <v>3014</v>
      </c>
      <c r="AA190" s="452" t="s">
        <v>2503</v>
      </c>
      <c r="AB190" s="452" t="s">
        <v>3015</v>
      </c>
      <c r="AC190" s="442" t="s">
        <v>1803</v>
      </c>
      <c r="AD190" s="442" t="s">
        <v>2503</v>
      </c>
      <c r="AE190" s="442"/>
      <c r="AF190" s="386"/>
      <c r="BA190" s="356" t="s">
        <v>1107</v>
      </c>
      <c r="BB190" s="545" t="s">
        <v>1805</v>
      </c>
      <c r="BC190" s="545" t="s">
        <v>33</v>
      </c>
      <c r="BD190" s="545" t="s">
        <v>1806</v>
      </c>
      <c r="BE190" s="356" t="s">
        <v>145</v>
      </c>
      <c r="BF190" s="421" t="s">
        <v>1807</v>
      </c>
    </row>
    <row r="191" spans="1:58" ht="180">
      <c r="A191" s="356" t="s">
        <v>3038</v>
      </c>
      <c r="B191" s="356"/>
      <c r="C191" s="356"/>
      <c r="D191" s="356"/>
      <c r="E191" s="356" t="s">
        <v>24</v>
      </c>
      <c r="F191" s="452" t="s">
        <v>1165</v>
      </c>
      <c r="G191" s="464" t="s">
        <v>1166</v>
      </c>
      <c r="H191" s="452" t="s">
        <v>1167</v>
      </c>
      <c r="I191" s="452" t="s">
        <v>3039</v>
      </c>
      <c r="J191" s="452" t="s">
        <v>3040</v>
      </c>
      <c r="K191" s="452" t="s">
        <v>3041</v>
      </c>
      <c r="L191" s="452" t="s">
        <v>3042</v>
      </c>
      <c r="M191" s="452" t="s">
        <v>3043</v>
      </c>
      <c r="N191" s="452" t="s">
        <v>3007</v>
      </c>
      <c r="O191" s="452" t="s">
        <v>3008</v>
      </c>
      <c r="P191" s="452" t="s">
        <v>3009</v>
      </c>
      <c r="Q191" s="450" t="s">
        <v>1795</v>
      </c>
      <c r="R191" s="452" t="s">
        <v>3010</v>
      </c>
      <c r="S191" s="452" t="s">
        <v>1797</v>
      </c>
      <c r="T191" s="452" t="s">
        <v>3044</v>
      </c>
      <c r="U191" s="452" t="s">
        <v>3012</v>
      </c>
      <c r="V191" s="452" t="s">
        <v>2932</v>
      </c>
      <c r="W191" s="452" t="s">
        <v>3045</v>
      </c>
      <c r="X191" s="452" t="s">
        <v>1801</v>
      </c>
      <c r="Y191" s="452" t="s">
        <v>2857</v>
      </c>
      <c r="Z191" s="452" t="s">
        <v>3014</v>
      </c>
      <c r="AA191" s="452" t="s">
        <v>2503</v>
      </c>
      <c r="AB191" s="452" t="s">
        <v>3015</v>
      </c>
      <c r="AC191" s="442" t="s">
        <v>1803</v>
      </c>
      <c r="AD191" s="442" t="s">
        <v>2503</v>
      </c>
      <c r="AE191" s="442"/>
      <c r="AF191" s="386"/>
      <c r="BA191" s="356" t="s">
        <v>1107</v>
      </c>
      <c r="BB191" s="545" t="s">
        <v>1805</v>
      </c>
      <c r="BC191" s="545" t="s">
        <v>33</v>
      </c>
      <c r="BD191" s="545" t="s">
        <v>1806</v>
      </c>
      <c r="BE191" s="356" t="s">
        <v>145</v>
      </c>
      <c r="BF191" s="421" t="s">
        <v>1807</v>
      </c>
    </row>
    <row r="192" spans="1:58" ht="180">
      <c r="A192" s="356" t="s">
        <v>3046</v>
      </c>
      <c r="B192" s="356"/>
      <c r="C192" s="356"/>
      <c r="D192" s="356"/>
      <c r="E192" s="356" t="s">
        <v>24</v>
      </c>
      <c r="F192" s="452" t="s">
        <v>1168</v>
      </c>
      <c r="G192" s="464" t="s">
        <v>1169</v>
      </c>
      <c r="H192" s="452" t="s">
        <v>1170</v>
      </c>
      <c r="I192" s="452" t="s">
        <v>3047</v>
      </c>
      <c r="J192" s="452" t="s">
        <v>3048</v>
      </c>
      <c r="K192" s="452" t="s">
        <v>3004</v>
      </c>
      <c r="L192" s="452" t="s">
        <v>3005</v>
      </c>
      <c r="M192" s="452" t="s">
        <v>3006</v>
      </c>
      <c r="N192" s="452" t="s">
        <v>3007</v>
      </c>
      <c r="O192" s="452" t="s">
        <v>3008</v>
      </c>
      <c r="P192" s="452" t="s">
        <v>3009</v>
      </c>
      <c r="Q192" s="450" t="s">
        <v>1795</v>
      </c>
      <c r="R192" s="452" t="s">
        <v>3010</v>
      </c>
      <c r="S192" s="452" t="s">
        <v>1797</v>
      </c>
      <c r="T192" s="452" t="s">
        <v>3049</v>
      </c>
      <c r="U192" s="452" t="s">
        <v>3012</v>
      </c>
      <c r="V192" s="452" t="s">
        <v>2932</v>
      </c>
      <c r="W192" s="452" t="s">
        <v>3050</v>
      </c>
      <c r="X192" s="452" t="s">
        <v>1801</v>
      </c>
      <c r="Y192" s="452" t="s">
        <v>2857</v>
      </c>
      <c r="Z192" s="452" t="s">
        <v>3014</v>
      </c>
      <c r="AA192" s="452" t="s">
        <v>2503</v>
      </c>
      <c r="AB192" s="452" t="s">
        <v>3015</v>
      </c>
      <c r="AC192" s="442" t="s">
        <v>1803</v>
      </c>
      <c r="AD192" s="442" t="s">
        <v>2503</v>
      </c>
      <c r="AE192" s="442"/>
      <c r="AF192" s="386"/>
      <c r="BA192" s="356" t="s">
        <v>1107</v>
      </c>
      <c r="BB192" s="545" t="s">
        <v>1805</v>
      </c>
      <c r="BC192" s="545" t="s">
        <v>33</v>
      </c>
      <c r="BD192" s="545" t="s">
        <v>1806</v>
      </c>
      <c r="BE192" s="356" t="s">
        <v>145</v>
      </c>
      <c r="BF192" s="421" t="s">
        <v>1807</v>
      </c>
    </row>
    <row r="193" spans="1:58" ht="180">
      <c r="A193" s="356" t="s">
        <v>3051</v>
      </c>
      <c r="B193" s="356"/>
      <c r="C193" s="356"/>
      <c r="D193" s="356"/>
      <c r="E193" s="356" t="s">
        <v>24</v>
      </c>
      <c r="F193" s="452" t="s">
        <v>1171</v>
      </c>
      <c r="G193" s="464" t="s">
        <v>1172</v>
      </c>
      <c r="H193" s="452" t="s">
        <v>1173</v>
      </c>
      <c r="I193" s="452" t="s">
        <v>3052</v>
      </c>
      <c r="J193" s="452" t="s">
        <v>3053</v>
      </c>
      <c r="K193" s="452" t="s">
        <v>3041</v>
      </c>
      <c r="L193" s="452" t="s">
        <v>3042</v>
      </c>
      <c r="M193" s="452" t="s">
        <v>3043</v>
      </c>
      <c r="N193" s="452" t="s">
        <v>3054</v>
      </c>
      <c r="O193" s="452" t="s">
        <v>3055</v>
      </c>
      <c r="P193" s="452" t="s">
        <v>3035</v>
      </c>
      <c r="Q193" s="450" t="s">
        <v>1795</v>
      </c>
      <c r="R193" s="452" t="s">
        <v>3010</v>
      </c>
      <c r="S193" s="452" t="s">
        <v>1797</v>
      </c>
      <c r="T193" s="452" t="s">
        <v>3056</v>
      </c>
      <c r="U193" s="452" t="s">
        <v>3012</v>
      </c>
      <c r="V193" s="452" t="s">
        <v>2932</v>
      </c>
      <c r="W193" s="452" t="s">
        <v>3057</v>
      </c>
      <c r="X193" s="452" t="s">
        <v>1801</v>
      </c>
      <c r="Y193" s="452" t="s">
        <v>2857</v>
      </c>
      <c r="Z193" s="452" t="s">
        <v>3014</v>
      </c>
      <c r="AA193" s="452" t="s">
        <v>2503</v>
      </c>
      <c r="AB193" s="452" t="s">
        <v>3015</v>
      </c>
      <c r="AC193" s="442" t="s">
        <v>1803</v>
      </c>
      <c r="AD193" s="442" t="s">
        <v>2503</v>
      </c>
      <c r="AE193" s="442"/>
      <c r="AF193" s="386"/>
      <c r="BA193" s="356" t="s">
        <v>1107</v>
      </c>
      <c r="BB193" s="545" t="s">
        <v>1805</v>
      </c>
      <c r="BC193" s="545" t="s">
        <v>33</v>
      </c>
      <c r="BD193" s="545" t="s">
        <v>1806</v>
      </c>
      <c r="BE193" s="356" t="s">
        <v>145</v>
      </c>
      <c r="BF193" s="421" t="s">
        <v>1807</v>
      </c>
    </row>
    <row r="194" spans="1:58" ht="180">
      <c r="A194" s="356" t="s">
        <v>3058</v>
      </c>
      <c r="B194" s="356"/>
      <c r="C194" s="356"/>
      <c r="D194" s="356"/>
      <c r="E194" s="356" t="s">
        <v>24</v>
      </c>
      <c r="F194" s="452" t="s">
        <v>1174</v>
      </c>
      <c r="G194" s="464" t="s">
        <v>1175</v>
      </c>
      <c r="H194" s="452" t="s">
        <v>1176</v>
      </c>
      <c r="I194" s="452" t="s">
        <v>3059</v>
      </c>
      <c r="J194" s="452" t="s">
        <v>3060</v>
      </c>
      <c r="K194" s="452" t="s">
        <v>3061</v>
      </c>
      <c r="L194" s="452" t="s">
        <v>3062</v>
      </c>
      <c r="M194" s="452" t="s">
        <v>3063</v>
      </c>
      <c r="N194" s="452" t="s">
        <v>3064</v>
      </c>
      <c r="O194" s="452" t="s">
        <v>3065</v>
      </c>
      <c r="P194" s="452" t="s">
        <v>3066</v>
      </c>
      <c r="Q194" s="450" t="s">
        <v>1795</v>
      </c>
      <c r="R194" s="452" t="s">
        <v>3010</v>
      </c>
      <c r="S194" s="452"/>
      <c r="T194" s="452" t="s">
        <v>3067</v>
      </c>
      <c r="U194" s="452" t="s">
        <v>3012</v>
      </c>
      <c r="V194" s="452" t="s">
        <v>2932</v>
      </c>
      <c r="W194" s="452" t="s">
        <v>3068</v>
      </c>
      <c r="X194" s="452" t="s">
        <v>1801</v>
      </c>
      <c r="Y194" s="452" t="s">
        <v>2857</v>
      </c>
      <c r="Z194" s="452" t="s">
        <v>3014</v>
      </c>
      <c r="AA194" s="452" t="s">
        <v>2503</v>
      </c>
      <c r="AB194" s="452" t="s">
        <v>3015</v>
      </c>
      <c r="AC194" s="442" t="s">
        <v>1803</v>
      </c>
      <c r="AD194" s="442" t="s">
        <v>2503</v>
      </c>
      <c r="AE194" s="442"/>
      <c r="AF194" s="386"/>
      <c r="BA194" s="356" t="s">
        <v>1107</v>
      </c>
      <c r="BB194" s="545" t="s">
        <v>1805</v>
      </c>
      <c r="BC194" s="545" t="s">
        <v>33</v>
      </c>
      <c r="BD194" s="545" t="s">
        <v>1806</v>
      </c>
      <c r="BE194" s="356" t="s">
        <v>145</v>
      </c>
      <c r="BF194" s="421" t="s">
        <v>1807</v>
      </c>
    </row>
    <row r="195" spans="1:58" ht="180">
      <c r="A195" s="356" t="s">
        <v>3069</v>
      </c>
      <c r="B195" s="356"/>
      <c r="C195" s="356"/>
      <c r="D195" s="356"/>
      <c r="E195" s="356" t="s">
        <v>24</v>
      </c>
      <c r="F195" s="452" t="s">
        <v>1177</v>
      </c>
      <c r="G195" s="464" t="s">
        <v>1178</v>
      </c>
      <c r="H195" s="452" t="s">
        <v>1179</v>
      </c>
      <c r="I195" s="452" t="s">
        <v>3070</v>
      </c>
      <c r="J195" s="452" t="s">
        <v>3071</v>
      </c>
      <c r="K195" s="452" t="s">
        <v>3061</v>
      </c>
      <c r="L195" s="452" t="s">
        <v>3062</v>
      </c>
      <c r="M195" s="452" t="s">
        <v>3063</v>
      </c>
      <c r="N195" s="452" t="s">
        <v>3072</v>
      </c>
      <c r="O195" s="467" t="s">
        <v>3073</v>
      </c>
      <c r="P195" s="467" t="s">
        <v>3074</v>
      </c>
      <c r="Q195" s="450" t="s">
        <v>1795</v>
      </c>
      <c r="R195" s="452" t="s">
        <v>3010</v>
      </c>
      <c r="S195" s="452" t="s">
        <v>1797</v>
      </c>
      <c r="T195" s="452" t="s">
        <v>3075</v>
      </c>
      <c r="U195" s="452" t="s">
        <v>3012</v>
      </c>
      <c r="V195" s="452" t="s">
        <v>2932</v>
      </c>
      <c r="W195" s="452" t="s">
        <v>3076</v>
      </c>
      <c r="X195" s="452" t="s">
        <v>1801</v>
      </c>
      <c r="Y195" s="452" t="s">
        <v>2857</v>
      </c>
      <c r="Z195" s="452" t="s">
        <v>3014</v>
      </c>
      <c r="AA195" s="452" t="s">
        <v>2503</v>
      </c>
      <c r="AB195" s="452" t="s">
        <v>3015</v>
      </c>
      <c r="AC195" s="442" t="s">
        <v>1803</v>
      </c>
      <c r="AD195" s="442" t="s">
        <v>2503</v>
      </c>
      <c r="AE195" s="442"/>
      <c r="AF195" s="386"/>
      <c r="BA195" s="356" t="s">
        <v>1107</v>
      </c>
      <c r="BB195" s="545" t="s">
        <v>1805</v>
      </c>
      <c r="BC195" s="545" t="s">
        <v>33</v>
      </c>
      <c r="BD195" s="545" t="s">
        <v>1806</v>
      </c>
      <c r="BE195" s="356" t="s">
        <v>145</v>
      </c>
      <c r="BF195" s="421" t="s">
        <v>1807</v>
      </c>
    </row>
    <row r="196" spans="1:58" ht="150">
      <c r="A196" s="356" t="s">
        <v>3077</v>
      </c>
      <c r="B196" s="356"/>
      <c r="C196" s="356"/>
      <c r="D196" s="356"/>
      <c r="E196" s="356" t="s">
        <v>24</v>
      </c>
      <c r="F196" s="452" t="s">
        <v>1180</v>
      </c>
      <c r="G196" s="464" t="s">
        <v>1181</v>
      </c>
      <c r="H196" s="452" t="s">
        <v>1182</v>
      </c>
      <c r="I196" s="452" t="s">
        <v>3078</v>
      </c>
      <c r="J196" s="452" t="s">
        <v>3079</v>
      </c>
      <c r="K196" s="452" t="s">
        <v>3041</v>
      </c>
      <c r="L196" s="452" t="s">
        <v>3042</v>
      </c>
      <c r="M196" s="452" t="s">
        <v>3043</v>
      </c>
      <c r="N196" s="452" t="s">
        <v>3080</v>
      </c>
      <c r="O196" s="452" t="s">
        <v>3081</v>
      </c>
      <c r="P196" s="452" t="s">
        <v>3082</v>
      </c>
      <c r="Q196" s="466" t="s">
        <v>1795</v>
      </c>
      <c r="R196" s="452" t="s">
        <v>3083</v>
      </c>
      <c r="S196" s="452" t="s">
        <v>1797</v>
      </c>
      <c r="T196" s="452" t="s">
        <v>3084</v>
      </c>
      <c r="U196" s="452" t="s">
        <v>3012</v>
      </c>
      <c r="V196" s="452" t="s">
        <v>2932</v>
      </c>
      <c r="W196" s="452" t="s">
        <v>3085</v>
      </c>
      <c r="X196" s="452" t="s">
        <v>1801</v>
      </c>
      <c r="Y196" s="452" t="s">
        <v>2857</v>
      </c>
      <c r="Z196" s="452" t="s">
        <v>2934</v>
      </c>
      <c r="AA196" s="452" t="s">
        <v>2503</v>
      </c>
      <c r="AB196" s="452" t="s">
        <v>3086</v>
      </c>
      <c r="AC196" s="442" t="s">
        <v>1803</v>
      </c>
      <c r="AD196" s="442" t="s">
        <v>2503</v>
      </c>
      <c r="AE196" s="442"/>
      <c r="AF196" s="386"/>
      <c r="BA196" s="356" t="s">
        <v>1107</v>
      </c>
      <c r="BB196" s="545" t="s">
        <v>1805</v>
      </c>
      <c r="BC196" s="545" t="s">
        <v>33</v>
      </c>
      <c r="BD196" s="545" t="s">
        <v>1806</v>
      </c>
      <c r="BE196" s="356" t="s">
        <v>145</v>
      </c>
      <c r="BF196" s="421" t="s">
        <v>1807</v>
      </c>
    </row>
    <row r="197" spans="1:58" ht="150">
      <c r="A197" s="356" t="s">
        <v>3087</v>
      </c>
      <c r="B197" s="356"/>
      <c r="C197" s="356"/>
      <c r="D197" s="356"/>
      <c r="E197" s="356" t="s">
        <v>24</v>
      </c>
      <c r="F197" s="452" t="s">
        <v>1183</v>
      </c>
      <c r="G197" s="464" t="s">
        <v>1184</v>
      </c>
      <c r="H197" s="452" t="s">
        <v>1185</v>
      </c>
      <c r="I197" s="452" t="s">
        <v>3088</v>
      </c>
      <c r="J197" s="452" t="s">
        <v>3088</v>
      </c>
      <c r="K197" s="452" t="s">
        <v>3041</v>
      </c>
      <c r="L197" s="452" t="s">
        <v>3042</v>
      </c>
      <c r="M197" s="452" t="s">
        <v>3043</v>
      </c>
      <c r="N197" s="452" t="s">
        <v>3089</v>
      </c>
      <c r="O197" s="452" t="s">
        <v>3090</v>
      </c>
      <c r="P197" s="452" t="s">
        <v>3091</v>
      </c>
      <c r="Q197" s="466" t="s">
        <v>1795</v>
      </c>
      <c r="R197" s="452" t="s">
        <v>3083</v>
      </c>
      <c r="S197" s="452" t="s">
        <v>1797</v>
      </c>
      <c r="T197" s="452" t="s">
        <v>3092</v>
      </c>
      <c r="U197" s="452" t="s">
        <v>3012</v>
      </c>
      <c r="V197" s="452" t="s">
        <v>2932</v>
      </c>
      <c r="W197" s="452" t="s">
        <v>3093</v>
      </c>
      <c r="X197" s="452" t="s">
        <v>1801</v>
      </c>
      <c r="Y197" s="452" t="s">
        <v>2857</v>
      </c>
      <c r="Z197" s="452" t="s">
        <v>2934</v>
      </c>
      <c r="AA197" s="452" t="s">
        <v>2503</v>
      </c>
      <c r="AB197" s="452" t="s">
        <v>3086</v>
      </c>
      <c r="AC197" s="442" t="s">
        <v>1803</v>
      </c>
      <c r="AD197" s="442" t="s">
        <v>2503</v>
      </c>
      <c r="AE197" s="442"/>
      <c r="AF197" s="386"/>
      <c r="BA197" s="356" t="s">
        <v>1107</v>
      </c>
      <c r="BB197" s="545" t="s">
        <v>1805</v>
      </c>
      <c r="BC197" s="545" t="s">
        <v>33</v>
      </c>
      <c r="BD197" s="545" t="s">
        <v>1806</v>
      </c>
      <c r="BE197" s="356" t="s">
        <v>145</v>
      </c>
      <c r="BF197" s="421" t="s">
        <v>1807</v>
      </c>
    </row>
    <row r="198" spans="1:58" ht="210">
      <c r="A198" s="356" t="s">
        <v>3094</v>
      </c>
      <c r="B198" s="356"/>
      <c r="C198" s="356"/>
      <c r="D198" s="356"/>
      <c r="E198" s="356" t="s">
        <v>24</v>
      </c>
      <c r="F198" s="452" t="s">
        <v>1186</v>
      </c>
      <c r="G198" s="464" t="s">
        <v>1187</v>
      </c>
      <c r="H198" s="452" t="s">
        <v>1188</v>
      </c>
      <c r="I198" s="452" t="s">
        <v>3095</v>
      </c>
      <c r="J198" s="452" t="s">
        <v>3096</v>
      </c>
      <c r="K198" s="452" t="s">
        <v>3041</v>
      </c>
      <c r="L198" s="452" t="s">
        <v>3042</v>
      </c>
      <c r="M198" s="452" t="s">
        <v>3043</v>
      </c>
      <c r="N198" s="452" t="s">
        <v>3097</v>
      </c>
      <c r="O198" s="452" t="s">
        <v>3098</v>
      </c>
      <c r="P198" s="452" t="s">
        <v>3099</v>
      </c>
      <c r="Q198" s="450" t="s">
        <v>1795</v>
      </c>
      <c r="R198" s="452" t="s">
        <v>3083</v>
      </c>
      <c r="S198" s="452" t="s">
        <v>1797</v>
      </c>
      <c r="T198" s="452" t="s">
        <v>3100</v>
      </c>
      <c r="U198" s="452" t="s">
        <v>3012</v>
      </c>
      <c r="V198" s="452" t="s">
        <v>2932</v>
      </c>
      <c r="W198" s="452" t="s">
        <v>3101</v>
      </c>
      <c r="X198" s="452" t="s">
        <v>1801</v>
      </c>
      <c r="Y198" s="452" t="s">
        <v>2857</v>
      </c>
      <c r="Z198" s="452" t="s">
        <v>3102</v>
      </c>
      <c r="AA198" s="452" t="s">
        <v>2503</v>
      </c>
      <c r="AB198" s="452" t="s">
        <v>3086</v>
      </c>
      <c r="AC198" s="442" t="s">
        <v>1803</v>
      </c>
      <c r="AD198" s="442" t="s">
        <v>2503</v>
      </c>
      <c r="AE198" s="442"/>
      <c r="AF198" s="386"/>
      <c r="BA198" s="356" t="s">
        <v>1107</v>
      </c>
      <c r="BB198" s="545" t="s">
        <v>1805</v>
      </c>
      <c r="BC198" s="545" t="s">
        <v>33</v>
      </c>
      <c r="BD198" s="545" t="s">
        <v>1806</v>
      </c>
      <c r="BE198" s="356" t="s">
        <v>145</v>
      </c>
      <c r="BF198" s="421" t="s">
        <v>1807</v>
      </c>
    </row>
    <row r="199" spans="1:58" ht="210">
      <c r="A199" s="356" t="s">
        <v>3103</v>
      </c>
      <c r="B199" s="356"/>
      <c r="C199" s="356"/>
      <c r="D199" s="356"/>
      <c r="E199" s="356" t="s">
        <v>24</v>
      </c>
      <c r="F199" s="452" t="s">
        <v>1189</v>
      </c>
      <c r="G199" s="464" t="s">
        <v>1190</v>
      </c>
      <c r="H199" s="452" t="s">
        <v>1191</v>
      </c>
      <c r="I199" s="452" t="s">
        <v>3104</v>
      </c>
      <c r="J199" s="452" t="s">
        <v>3105</v>
      </c>
      <c r="K199" s="452" t="s">
        <v>3041</v>
      </c>
      <c r="L199" s="452" t="s">
        <v>3042</v>
      </c>
      <c r="M199" s="452" t="s">
        <v>3043</v>
      </c>
      <c r="N199" s="452" t="s">
        <v>3106</v>
      </c>
      <c r="O199" s="452" t="s">
        <v>3081</v>
      </c>
      <c r="P199" s="452" t="s">
        <v>3082</v>
      </c>
      <c r="Q199" s="450" t="s">
        <v>1795</v>
      </c>
      <c r="R199" s="452" t="s">
        <v>3083</v>
      </c>
      <c r="S199" s="452" t="s">
        <v>1797</v>
      </c>
      <c r="T199" s="452" t="s">
        <v>3107</v>
      </c>
      <c r="U199" s="452" t="s">
        <v>3012</v>
      </c>
      <c r="V199" s="452" t="s">
        <v>2932</v>
      </c>
      <c r="W199" s="452" t="s">
        <v>3108</v>
      </c>
      <c r="X199" s="452" t="s">
        <v>1801</v>
      </c>
      <c r="Y199" s="452" t="s">
        <v>2857</v>
      </c>
      <c r="Z199" s="452" t="s">
        <v>3102</v>
      </c>
      <c r="AA199" s="452" t="s">
        <v>2503</v>
      </c>
      <c r="AB199" s="452" t="s">
        <v>3109</v>
      </c>
      <c r="AC199" s="442" t="s">
        <v>1803</v>
      </c>
      <c r="AD199" s="442" t="s">
        <v>2503</v>
      </c>
      <c r="AE199" s="442"/>
      <c r="AF199" s="386"/>
      <c r="BA199" s="356" t="s">
        <v>1107</v>
      </c>
      <c r="BB199" s="545" t="s">
        <v>1805</v>
      </c>
      <c r="BC199" s="545" t="s">
        <v>33</v>
      </c>
      <c r="BD199" s="545" t="s">
        <v>1806</v>
      </c>
      <c r="BE199" s="356" t="s">
        <v>145</v>
      </c>
      <c r="BF199" s="421" t="s">
        <v>1807</v>
      </c>
    </row>
    <row r="200" spans="1:58" ht="150">
      <c r="A200" s="356" t="s">
        <v>3110</v>
      </c>
      <c r="B200" s="356"/>
      <c r="C200" s="356"/>
      <c r="D200" s="356"/>
      <c r="E200" s="356" t="s">
        <v>24</v>
      </c>
      <c r="F200" s="452" t="s">
        <v>1192</v>
      </c>
      <c r="G200" s="464" t="s">
        <v>1193</v>
      </c>
      <c r="H200" s="452" t="s">
        <v>1194</v>
      </c>
      <c r="I200" s="452" t="s">
        <v>3111</v>
      </c>
      <c r="J200" s="452" t="s">
        <v>3112</v>
      </c>
      <c r="K200" s="452" t="s">
        <v>3113</v>
      </c>
      <c r="L200" s="452" t="s">
        <v>3114</v>
      </c>
      <c r="M200" s="452" t="s">
        <v>3115</v>
      </c>
      <c r="N200" s="452" t="s">
        <v>3033</v>
      </c>
      <c r="O200" s="452" t="s">
        <v>3055</v>
      </c>
      <c r="P200" s="452" t="s">
        <v>3035</v>
      </c>
      <c r="Q200" s="466" t="s">
        <v>1795</v>
      </c>
      <c r="R200" s="452" t="s">
        <v>3116</v>
      </c>
      <c r="S200" s="452" t="s">
        <v>1797</v>
      </c>
      <c r="T200" s="452" t="s">
        <v>3117</v>
      </c>
      <c r="U200" s="452" t="s">
        <v>3012</v>
      </c>
      <c r="V200" s="452" t="s">
        <v>2932</v>
      </c>
      <c r="W200" s="452" t="s">
        <v>3118</v>
      </c>
      <c r="X200" s="452" t="s">
        <v>1801</v>
      </c>
      <c r="Y200" s="452" t="s">
        <v>2857</v>
      </c>
      <c r="Z200" s="452" t="s">
        <v>2934</v>
      </c>
      <c r="AA200" s="452" t="s">
        <v>2503</v>
      </c>
      <c r="AB200" s="452" t="s">
        <v>3086</v>
      </c>
      <c r="AC200" s="442" t="s">
        <v>1803</v>
      </c>
      <c r="AD200" s="442" t="s">
        <v>2503</v>
      </c>
      <c r="AE200" s="442"/>
      <c r="AF200" s="386"/>
      <c r="BA200" s="356" t="s">
        <v>1107</v>
      </c>
      <c r="BB200" s="545" t="s">
        <v>1805</v>
      </c>
      <c r="BC200" s="545" t="s">
        <v>33</v>
      </c>
      <c r="BD200" s="545" t="s">
        <v>1806</v>
      </c>
      <c r="BE200" s="356" t="s">
        <v>145</v>
      </c>
      <c r="BF200" s="421" t="s">
        <v>1807</v>
      </c>
    </row>
    <row r="201" spans="1:58" ht="150">
      <c r="A201" s="356" t="s">
        <v>3119</v>
      </c>
      <c r="B201" s="356"/>
      <c r="C201" s="356"/>
      <c r="D201" s="356"/>
      <c r="E201" s="356" t="s">
        <v>24</v>
      </c>
      <c r="F201" s="452" t="s">
        <v>1195</v>
      </c>
      <c r="G201" s="464" t="s">
        <v>1196</v>
      </c>
      <c r="H201" s="452" t="s">
        <v>1197</v>
      </c>
      <c r="I201" s="452" t="s">
        <v>3120</v>
      </c>
      <c r="J201" s="452" t="s">
        <v>3121</v>
      </c>
      <c r="K201" s="452" t="s">
        <v>3122</v>
      </c>
      <c r="L201" s="452" t="s">
        <v>3123</v>
      </c>
      <c r="M201" s="452" t="s">
        <v>3124</v>
      </c>
      <c r="N201" s="452" t="s">
        <v>3125</v>
      </c>
      <c r="O201" s="452" t="s">
        <v>3126</v>
      </c>
      <c r="P201" s="452" t="s">
        <v>3127</v>
      </c>
      <c r="Q201" s="466" t="s">
        <v>1795</v>
      </c>
      <c r="R201" s="452" t="s">
        <v>2151</v>
      </c>
      <c r="S201" s="452" t="s">
        <v>1797</v>
      </c>
      <c r="T201" s="452" t="s">
        <v>3128</v>
      </c>
      <c r="U201" s="452" t="s">
        <v>3129</v>
      </c>
      <c r="V201" s="452" t="s">
        <v>3130</v>
      </c>
      <c r="W201" s="452" t="s">
        <v>3131</v>
      </c>
      <c r="X201" s="452" t="s">
        <v>1801</v>
      </c>
      <c r="Y201" s="452" t="s">
        <v>2857</v>
      </c>
      <c r="Z201" s="452" t="s">
        <v>3132</v>
      </c>
      <c r="AA201" s="452" t="s">
        <v>2503</v>
      </c>
      <c r="AB201" s="452" t="s">
        <v>3133</v>
      </c>
      <c r="AC201" s="442" t="s">
        <v>1803</v>
      </c>
      <c r="AD201" s="442" t="s">
        <v>1804</v>
      </c>
      <c r="AE201" s="442"/>
      <c r="AF201" s="386"/>
      <c r="BA201" s="356" t="s">
        <v>1107</v>
      </c>
      <c r="BB201" s="545" t="s">
        <v>1805</v>
      </c>
      <c r="BC201" s="545" t="s">
        <v>33</v>
      </c>
      <c r="BD201" s="545" t="s">
        <v>1806</v>
      </c>
      <c r="BE201" s="356" t="s">
        <v>145</v>
      </c>
      <c r="BF201" s="421" t="s">
        <v>1807</v>
      </c>
    </row>
    <row r="202" spans="1:58" ht="285">
      <c r="A202" s="356" t="s">
        <v>3134</v>
      </c>
      <c r="B202" s="356"/>
      <c r="C202" s="356"/>
      <c r="D202" s="356"/>
      <c r="E202" s="356" t="s">
        <v>24</v>
      </c>
      <c r="F202" s="452" t="s">
        <v>1198</v>
      </c>
      <c r="G202" s="452" t="s">
        <v>1199</v>
      </c>
      <c r="H202" s="452" t="s">
        <v>1200</v>
      </c>
      <c r="I202" s="452" t="s">
        <v>3135</v>
      </c>
      <c r="J202" s="452" t="s">
        <v>3136</v>
      </c>
      <c r="K202" s="452" t="s">
        <v>3122</v>
      </c>
      <c r="L202" s="452" t="s">
        <v>3123</v>
      </c>
      <c r="M202" s="452" t="s">
        <v>3124</v>
      </c>
      <c r="N202" s="452" t="s">
        <v>3125</v>
      </c>
      <c r="O202" s="452" t="s">
        <v>3126</v>
      </c>
      <c r="P202" s="452" t="s">
        <v>3127</v>
      </c>
      <c r="Q202" s="450" t="s">
        <v>2462</v>
      </c>
      <c r="R202" s="452" t="s">
        <v>2151</v>
      </c>
      <c r="S202" s="452" t="s">
        <v>1797</v>
      </c>
      <c r="T202" s="452" t="s">
        <v>3137</v>
      </c>
      <c r="U202" s="452" t="s">
        <v>3129</v>
      </c>
      <c r="V202" s="452" t="s">
        <v>3138</v>
      </c>
      <c r="W202" s="452" t="s">
        <v>3139</v>
      </c>
      <c r="X202" s="452" t="s">
        <v>1801</v>
      </c>
      <c r="Y202" s="452" t="s">
        <v>2857</v>
      </c>
      <c r="Z202" s="452" t="s">
        <v>3140</v>
      </c>
      <c r="AA202" s="452" t="s">
        <v>2503</v>
      </c>
      <c r="AB202" s="452" t="s">
        <v>3141</v>
      </c>
      <c r="AC202" s="442" t="s">
        <v>1803</v>
      </c>
      <c r="AD202" s="442" t="s">
        <v>1804</v>
      </c>
      <c r="AE202" s="442"/>
      <c r="AF202" s="386"/>
      <c r="BA202" s="356" t="s">
        <v>1107</v>
      </c>
      <c r="BB202" s="545" t="s">
        <v>1805</v>
      </c>
      <c r="BC202" s="545" t="s">
        <v>33</v>
      </c>
      <c r="BD202" s="545" t="s">
        <v>1806</v>
      </c>
      <c r="BE202" s="356" t="s">
        <v>145</v>
      </c>
      <c r="BF202" s="421" t="s">
        <v>1807</v>
      </c>
    </row>
    <row r="203" spans="1:58" ht="150">
      <c r="A203" s="356" t="s">
        <v>3142</v>
      </c>
      <c r="B203" s="356"/>
      <c r="C203" s="356"/>
      <c r="D203" s="356"/>
      <c r="E203" s="356" t="s">
        <v>24</v>
      </c>
      <c r="F203" s="452" t="s">
        <v>1201</v>
      </c>
      <c r="G203" s="464" t="s">
        <v>1202</v>
      </c>
      <c r="H203" s="452" t="s">
        <v>1203</v>
      </c>
      <c r="I203" s="452" t="s">
        <v>3143</v>
      </c>
      <c r="J203" s="452" t="s">
        <v>3144</v>
      </c>
      <c r="K203" s="452" t="s">
        <v>3145</v>
      </c>
      <c r="L203" s="452" t="s">
        <v>3146</v>
      </c>
      <c r="M203" s="452" t="s">
        <v>3147</v>
      </c>
      <c r="N203" s="452" t="s">
        <v>3148</v>
      </c>
      <c r="O203" s="452" t="s">
        <v>3149</v>
      </c>
      <c r="P203" s="452" t="s">
        <v>3150</v>
      </c>
      <c r="Q203" s="466" t="s">
        <v>1795</v>
      </c>
      <c r="R203" s="452" t="s">
        <v>2151</v>
      </c>
      <c r="S203" s="452" t="s">
        <v>1797</v>
      </c>
      <c r="T203" s="452" t="s">
        <v>3151</v>
      </c>
      <c r="U203" s="452" t="s">
        <v>3012</v>
      </c>
      <c r="V203" s="452" t="s">
        <v>3152</v>
      </c>
      <c r="W203" s="452" t="s">
        <v>3153</v>
      </c>
      <c r="X203" s="452" t="s">
        <v>1801</v>
      </c>
      <c r="Y203" s="452" t="s">
        <v>2857</v>
      </c>
      <c r="Z203" s="452" t="s">
        <v>3154</v>
      </c>
      <c r="AA203" s="452" t="s">
        <v>2503</v>
      </c>
      <c r="AB203" s="452" t="s">
        <v>3155</v>
      </c>
      <c r="AC203" s="442" t="s">
        <v>1803</v>
      </c>
      <c r="AD203" s="442" t="s">
        <v>1804</v>
      </c>
      <c r="AE203" s="442" t="s">
        <v>3156</v>
      </c>
      <c r="AF203" s="386"/>
      <c r="BA203" s="356" t="s">
        <v>1107</v>
      </c>
      <c r="BB203" s="545" t="s">
        <v>1805</v>
      </c>
      <c r="BC203" s="545" t="s">
        <v>33</v>
      </c>
      <c r="BD203" s="545" t="s">
        <v>1806</v>
      </c>
      <c r="BE203" s="356" t="s">
        <v>145</v>
      </c>
      <c r="BF203" s="421" t="s">
        <v>1807</v>
      </c>
    </row>
    <row r="204" spans="1:58" ht="270">
      <c r="A204" s="356" t="s">
        <v>3157</v>
      </c>
      <c r="B204" s="356"/>
      <c r="C204" s="356"/>
      <c r="D204" s="356"/>
      <c r="E204" s="356" t="s">
        <v>24</v>
      </c>
      <c r="F204" s="452" t="s">
        <v>1204</v>
      </c>
      <c r="G204" s="464" t="s">
        <v>1205</v>
      </c>
      <c r="H204" s="452" t="s">
        <v>1206</v>
      </c>
      <c r="I204" s="452" t="s">
        <v>3158</v>
      </c>
      <c r="J204" s="452" t="s">
        <v>3159</v>
      </c>
      <c r="K204" s="452" t="s">
        <v>3145</v>
      </c>
      <c r="L204" s="452" t="s">
        <v>3146</v>
      </c>
      <c r="M204" s="452" t="s">
        <v>3147</v>
      </c>
      <c r="N204" s="452" t="s">
        <v>3160</v>
      </c>
      <c r="O204" s="452" t="s">
        <v>3161</v>
      </c>
      <c r="P204" s="452" t="s">
        <v>3162</v>
      </c>
      <c r="Q204" s="466" t="s">
        <v>1795</v>
      </c>
      <c r="R204" s="452" t="s">
        <v>2151</v>
      </c>
      <c r="S204" s="452" t="s">
        <v>1797</v>
      </c>
      <c r="T204" s="452" t="s">
        <v>3163</v>
      </c>
      <c r="U204" s="452" t="s">
        <v>3012</v>
      </c>
      <c r="V204" s="452" t="s">
        <v>3152</v>
      </c>
      <c r="W204" s="452" t="s">
        <v>3164</v>
      </c>
      <c r="X204" s="452" t="s">
        <v>1801</v>
      </c>
      <c r="Y204" s="452" t="s">
        <v>2857</v>
      </c>
      <c r="Z204" s="452" t="s">
        <v>3165</v>
      </c>
      <c r="AA204" s="452" t="s">
        <v>2503</v>
      </c>
      <c r="AB204" s="452" t="s">
        <v>3155</v>
      </c>
      <c r="AC204" s="442" t="s">
        <v>1803</v>
      </c>
      <c r="AD204" s="442" t="s">
        <v>1804</v>
      </c>
      <c r="AE204" s="442" t="s">
        <v>3156</v>
      </c>
      <c r="AF204" s="386"/>
      <c r="BA204" s="356" t="s">
        <v>1107</v>
      </c>
      <c r="BB204" s="545" t="s">
        <v>1805</v>
      </c>
      <c r="BC204" s="545" t="s">
        <v>33</v>
      </c>
      <c r="BD204" s="545" t="s">
        <v>1806</v>
      </c>
      <c r="BE204" s="356" t="s">
        <v>145</v>
      </c>
      <c r="BF204" s="421" t="s">
        <v>1807</v>
      </c>
    </row>
    <row r="205" spans="1:58" ht="270">
      <c r="A205" s="356" t="s">
        <v>3166</v>
      </c>
      <c r="B205" s="356"/>
      <c r="C205" s="356"/>
      <c r="D205" s="356"/>
      <c r="E205" s="356" t="s">
        <v>24</v>
      </c>
      <c r="F205" s="452" t="s">
        <v>1207</v>
      </c>
      <c r="G205" s="464" t="s">
        <v>1208</v>
      </c>
      <c r="H205" s="452" t="s">
        <v>1209</v>
      </c>
      <c r="I205" s="452" t="s">
        <v>3167</v>
      </c>
      <c r="J205" s="452" t="s">
        <v>3168</v>
      </c>
      <c r="K205" s="452" t="s">
        <v>3145</v>
      </c>
      <c r="L205" s="452" t="s">
        <v>3146</v>
      </c>
      <c r="M205" s="452" t="s">
        <v>3147</v>
      </c>
      <c r="N205" s="452" t="s">
        <v>3169</v>
      </c>
      <c r="O205" s="452" t="s">
        <v>3170</v>
      </c>
      <c r="P205" s="452" t="s">
        <v>3171</v>
      </c>
      <c r="Q205" s="466" t="s">
        <v>1795</v>
      </c>
      <c r="R205" s="452" t="s">
        <v>2151</v>
      </c>
      <c r="S205" s="452" t="s">
        <v>1797</v>
      </c>
      <c r="T205" s="452" t="s">
        <v>3172</v>
      </c>
      <c r="U205" s="452" t="s">
        <v>3012</v>
      </c>
      <c r="V205" s="452" t="s">
        <v>3152</v>
      </c>
      <c r="W205" s="452" t="s">
        <v>3173</v>
      </c>
      <c r="X205" s="452" t="s">
        <v>1801</v>
      </c>
      <c r="Y205" s="452" t="s">
        <v>2857</v>
      </c>
      <c r="Z205" s="452" t="s">
        <v>3165</v>
      </c>
      <c r="AA205" s="452" t="s">
        <v>2503</v>
      </c>
      <c r="AB205" s="452" t="s">
        <v>3155</v>
      </c>
      <c r="AC205" s="442" t="s">
        <v>1803</v>
      </c>
      <c r="AD205" s="442" t="s">
        <v>1804</v>
      </c>
      <c r="AE205" s="442" t="s">
        <v>3156</v>
      </c>
      <c r="AF205" s="386"/>
      <c r="BA205" s="356" t="s">
        <v>1107</v>
      </c>
      <c r="BB205" s="545" t="s">
        <v>1805</v>
      </c>
      <c r="BC205" s="545" t="s">
        <v>33</v>
      </c>
      <c r="BD205" s="545" t="s">
        <v>1806</v>
      </c>
      <c r="BE205" s="356" t="s">
        <v>145</v>
      </c>
      <c r="BF205" s="421" t="s">
        <v>1807</v>
      </c>
    </row>
    <row r="206" spans="1:58" ht="270">
      <c r="A206" s="356" t="s">
        <v>3174</v>
      </c>
      <c r="B206" s="356"/>
      <c r="C206" s="356"/>
      <c r="D206" s="356"/>
      <c r="E206" s="356" t="s">
        <v>24</v>
      </c>
      <c r="F206" s="452" t="s">
        <v>1210</v>
      </c>
      <c r="G206" s="464" t="s">
        <v>1211</v>
      </c>
      <c r="H206" s="452" t="s">
        <v>1212</v>
      </c>
      <c r="I206" s="452" t="s">
        <v>3175</v>
      </c>
      <c r="J206" s="452" t="s">
        <v>3176</v>
      </c>
      <c r="K206" s="452" t="s">
        <v>3145</v>
      </c>
      <c r="L206" s="452" t="s">
        <v>3146</v>
      </c>
      <c r="M206" s="452" t="s">
        <v>3147</v>
      </c>
      <c r="N206" s="452" t="s">
        <v>3177</v>
      </c>
      <c r="O206" s="452" t="s">
        <v>3178</v>
      </c>
      <c r="P206" s="452" t="s">
        <v>3179</v>
      </c>
      <c r="Q206" s="466" t="s">
        <v>1795</v>
      </c>
      <c r="R206" s="452" t="s">
        <v>2151</v>
      </c>
      <c r="S206" s="452" t="s">
        <v>1797</v>
      </c>
      <c r="T206" s="452" t="s">
        <v>3180</v>
      </c>
      <c r="U206" s="452" t="s">
        <v>3012</v>
      </c>
      <c r="V206" s="452" t="s">
        <v>3152</v>
      </c>
      <c r="W206" s="452" t="s">
        <v>3181</v>
      </c>
      <c r="X206" s="452" t="s">
        <v>1801</v>
      </c>
      <c r="Y206" s="452" t="s">
        <v>2857</v>
      </c>
      <c r="Z206" s="452" t="s">
        <v>3165</v>
      </c>
      <c r="AA206" s="452" t="s">
        <v>2503</v>
      </c>
      <c r="AB206" s="452" t="s">
        <v>3155</v>
      </c>
      <c r="AC206" s="442" t="s">
        <v>1803</v>
      </c>
      <c r="AD206" s="442" t="s">
        <v>1804</v>
      </c>
      <c r="AE206" s="442" t="s">
        <v>3156</v>
      </c>
      <c r="AF206" s="386"/>
      <c r="BA206" s="356" t="s">
        <v>1107</v>
      </c>
      <c r="BB206" s="545" t="s">
        <v>1805</v>
      </c>
      <c r="BC206" s="545" t="s">
        <v>33</v>
      </c>
      <c r="BD206" s="545" t="s">
        <v>1806</v>
      </c>
      <c r="BE206" s="356" t="s">
        <v>145</v>
      </c>
      <c r="BF206" s="421" t="s">
        <v>1807</v>
      </c>
    </row>
    <row r="207" spans="1:58" ht="270">
      <c r="A207" s="356" t="s">
        <v>3182</v>
      </c>
      <c r="B207" s="356"/>
      <c r="C207" s="356"/>
      <c r="D207" s="356"/>
      <c r="E207" s="356" t="s">
        <v>24</v>
      </c>
      <c r="F207" s="452" t="s">
        <v>1213</v>
      </c>
      <c r="G207" s="464" t="s">
        <v>1214</v>
      </c>
      <c r="H207" s="452" t="s">
        <v>1215</v>
      </c>
      <c r="I207" s="452" t="s">
        <v>3183</v>
      </c>
      <c r="J207" s="452" t="s">
        <v>3184</v>
      </c>
      <c r="K207" s="452" t="s">
        <v>3145</v>
      </c>
      <c r="L207" s="452" t="s">
        <v>3146</v>
      </c>
      <c r="M207" s="452" t="s">
        <v>3147</v>
      </c>
      <c r="N207" s="452" t="s">
        <v>3185</v>
      </c>
      <c r="O207" s="452" t="s">
        <v>3186</v>
      </c>
      <c r="P207" s="452" t="s">
        <v>3187</v>
      </c>
      <c r="Q207" s="466" t="s">
        <v>1795</v>
      </c>
      <c r="R207" s="452" t="s">
        <v>2151</v>
      </c>
      <c r="S207" s="452" t="s">
        <v>1797</v>
      </c>
      <c r="T207" s="452" t="s">
        <v>3188</v>
      </c>
      <c r="U207" s="452" t="s">
        <v>3012</v>
      </c>
      <c r="V207" s="452" t="s">
        <v>3152</v>
      </c>
      <c r="W207" s="452" t="s">
        <v>3189</v>
      </c>
      <c r="X207" s="452" t="s">
        <v>1801</v>
      </c>
      <c r="Y207" s="452" t="s">
        <v>2857</v>
      </c>
      <c r="Z207" s="452" t="s">
        <v>3165</v>
      </c>
      <c r="AA207" s="452" t="s">
        <v>2503</v>
      </c>
      <c r="AB207" s="452" t="s">
        <v>3155</v>
      </c>
      <c r="AC207" s="442" t="s">
        <v>1803</v>
      </c>
      <c r="AD207" s="442" t="s">
        <v>1804</v>
      </c>
      <c r="AE207" s="442" t="s">
        <v>3156</v>
      </c>
      <c r="AF207" s="386"/>
      <c r="BA207" s="356" t="s">
        <v>1107</v>
      </c>
      <c r="BB207" s="545" t="s">
        <v>1805</v>
      </c>
      <c r="BC207" s="545" t="s">
        <v>33</v>
      </c>
      <c r="BD207" s="545" t="s">
        <v>1806</v>
      </c>
      <c r="BE207" s="356" t="s">
        <v>145</v>
      </c>
      <c r="BF207" s="421" t="s">
        <v>1807</v>
      </c>
    </row>
    <row r="208" spans="1:58" ht="150">
      <c r="A208" s="356" t="s">
        <v>3190</v>
      </c>
      <c r="B208" s="356"/>
      <c r="C208" s="356"/>
      <c r="D208" s="356"/>
      <c r="E208" s="356" t="s">
        <v>24</v>
      </c>
      <c r="F208" s="452" t="s">
        <v>1216</v>
      </c>
      <c r="G208" s="464" t="s">
        <v>1217</v>
      </c>
      <c r="H208" s="452" t="s">
        <v>1218</v>
      </c>
      <c r="I208" s="452" t="s">
        <v>3191</v>
      </c>
      <c r="J208" s="452" t="s">
        <v>3192</v>
      </c>
      <c r="K208" s="452" t="s">
        <v>3193</v>
      </c>
      <c r="L208" s="452" t="s">
        <v>3194</v>
      </c>
      <c r="M208" s="452" t="s">
        <v>3195</v>
      </c>
      <c r="N208" s="452" t="s">
        <v>3196</v>
      </c>
      <c r="O208" s="452" t="s">
        <v>3197</v>
      </c>
      <c r="P208" s="452" t="s">
        <v>3198</v>
      </c>
      <c r="Q208" s="450" t="s">
        <v>2462</v>
      </c>
      <c r="R208" s="452" t="s">
        <v>1796</v>
      </c>
      <c r="S208" s="452" t="s">
        <v>1797</v>
      </c>
      <c r="T208" s="452" t="s">
        <v>3199</v>
      </c>
      <c r="U208" s="452" t="s">
        <v>3200</v>
      </c>
      <c r="V208" s="452" t="s">
        <v>3201</v>
      </c>
      <c r="W208" s="452" t="s">
        <v>3202</v>
      </c>
      <c r="X208" s="452" t="s">
        <v>1801</v>
      </c>
      <c r="Y208" s="452" t="s">
        <v>2857</v>
      </c>
      <c r="Z208" s="452" t="s">
        <v>3203</v>
      </c>
      <c r="AA208" s="452" t="s">
        <v>2503</v>
      </c>
      <c r="AB208" s="452" t="s">
        <v>2859</v>
      </c>
      <c r="AC208" s="442" t="s">
        <v>1803</v>
      </c>
      <c r="AD208" s="442" t="s">
        <v>1804</v>
      </c>
      <c r="AE208" s="442"/>
      <c r="AF208" s="386"/>
      <c r="BA208" s="356" t="s">
        <v>1107</v>
      </c>
      <c r="BB208" s="545" t="s">
        <v>1805</v>
      </c>
      <c r="BC208" s="545" t="s">
        <v>33</v>
      </c>
      <c r="BD208" s="545" t="s">
        <v>1806</v>
      </c>
      <c r="BE208" s="356" t="s">
        <v>145</v>
      </c>
      <c r="BF208" s="421" t="s">
        <v>1807</v>
      </c>
    </row>
    <row r="209" spans="1:58" ht="195">
      <c r="A209" s="356" t="s">
        <v>3204</v>
      </c>
      <c r="B209" s="356"/>
      <c r="C209" s="356"/>
      <c r="D209" s="356"/>
      <c r="E209" s="356" t="s">
        <v>24</v>
      </c>
      <c r="F209" s="452" t="s">
        <v>1219</v>
      </c>
      <c r="G209" s="464" t="s">
        <v>1220</v>
      </c>
      <c r="H209" s="452" t="s">
        <v>1221</v>
      </c>
      <c r="I209" s="452" t="s">
        <v>3205</v>
      </c>
      <c r="J209" s="452" t="s">
        <v>3206</v>
      </c>
      <c r="K209" s="452" t="s">
        <v>3193</v>
      </c>
      <c r="L209" s="452" t="s">
        <v>3194</v>
      </c>
      <c r="M209" s="452" t="s">
        <v>3195</v>
      </c>
      <c r="N209" s="452" t="s">
        <v>3196</v>
      </c>
      <c r="O209" s="452" t="s">
        <v>3197</v>
      </c>
      <c r="P209" s="452" t="s">
        <v>3198</v>
      </c>
      <c r="Q209" s="450" t="s">
        <v>1795</v>
      </c>
      <c r="R209" s="452" t="s">
        <v>1796</v>
      </c>
      <c r="S209" s="452" t="s">
        <v>1797</v>
      </c>
      <c r="T209" s="452" t="s">
        <v>3207</v>
      </c>
      <c r="U209" s="452" t="s">
        <v>3200</v>
      </c>
      <c r="V209" s="452" t="s">
        <v>3201</v>
      </c>
      <c r="W209" s="452" t="s">
        <v>3208</v>
      </c>
      <c r="X209" s="452" t="s">
        <v>1801</v>
      </c>
      <c r="Y209" s="452" t="s">
        <v>2857</v>
      </c>
      <c r="Z209" s="452" t="s">
        <v>2873</v>
      </c>
      <c r="AA209" s="452" t="s">
        <v>2503</v>
      </c>
      <c r="AB209" s="452" t="s">
        <v>2859</v>
      </c>
      <c r="AC209" s="442" t="s">
        <v>1803</v>
      </c>
      <c r="AD209" s="442" t="s">
        <v>1804</v>
      </c>
      <c r="AE209" s="442"/>
      <c r="AF209" s="386"/>
      <c r="BA209" s="356" t="s">
        <v>1107</v>
      </c>
      <c r="BB209" s="545" t="s">
        <v>1805</v>
      </c>
      <c r="BC209" s="545" t="s">
        <v>33</v>
      </c>
      <c r="BD209" s="545" t="s">
        <v>1806</v>
      </c>
      <c r="BE209" s="356" t="s">
        <v>145</v>
      </c>
      <c r="BF209" s="421" t="s">
        <v>1807</v>
      </c>
    </row>
    <row r="210" spans="1:58" ht="150">
      <c r="A210" s="356" t="s">
        <v>3209</v>
      </c>
      <c r="B210" s="356"/>
      <c r="C210" s="356"/>
      <c r="D210" s="356"/>
      <c r="E210" s="356" t="s">
        <v>24</v>
      </c>
      <c r="F210" s="452" t="s">
        <v>1222</v>
      </c>
      <c r="G210" s="464" t="s">
        <v>1223</v>
      </c>
      <c r="H210" s="452" t="s">
        <v>1224</v>
      </c>
      <c r="I210" s="452" t="s">
        <v>3210</v>
      </c>
      <c r="J210" s="452" t="s">
        <v>3211</v>
      </c>
      <c r="K210" s="452" t="s">
        <v>3193</v>
      </c>
      <c r="L210" s="452" t="s">
        <v>3194</v>
      </c>
      <c r="M210" s="452" t="s">
        <v>3195</v>
      </c>
      <c r="N210" s="452" t="s">
        <v>3212</v>
      </c>
      <c r="O210" s="452" t="s">
        <v>3213</v>
      </c>
      <c r="P210" s="452" t="s">
        <v>3214</v>
      </c>
      <c r="Q210" s="450" t="s">
        <v>2462</v>
      </c>
      <c r="R210" s="452" t="s">
        <v>1796</v>
      </c>
      <c r="S210" s="452" t="s">
        <v>1797</v>
      </c>
      <c r="T210" s="452" t="s">
        <v>3215</v>
      </c>
      <c r="U210" s="452" t="s">
        <v>3200</v>
      </c>
      <c r="V210" s="452" t="s">
        <v>3201</v>
      </c>
      <c r="W210" s="452" t="s">
        <v>3216</v>
      </c>
      <c r="X210" s="452" t="s">
        <v>1801</v>
      </c>
      <c r="Y210" s="452" t="s">
        <v>2857</v>
      </c>
      <c r="Z210" s="452" t="s">
        <v>2858</v>
      </c>
      <c r="AA210" s="452" t="s">
        <v>2503</v>
      </c>
      <c r="AB210" s="452" t="s">
        <v>2859</v>
      </c>
      <c r="AC210" s="442" t="s">
        <v>1803</v>
      </c>
      <c r="AD210" s="442" t="s">
        <v>1804</v>
      </c>
      <c r="AE210" s="442"/>
      <c r="AF210" s="386"/>
      <c r="BA210" s="356" t="s">
        <v>1107</v>
      </c>
      <c r="BB210" s="545" t="s">
        <v>1805</v>
      </c>
      <c r="BC210" s="545" t="s">
        <v>33</v>
      </c>
      <c r="BD210" s="545" t="s">
        <v>1806</v>
      </c>
      <c r="BE210" s="356" t="s">
        <v>145</v>
      </c>
      <c r="BF210" s="421" t="s">
        <v>1807</v>
      </c>
    </row>
    <row r="211" spans="1:58" ht="150">
      <c r="A211" s="356" t="s">
        <v>3217</v>
      </c>
      <c r="B211" s="356"/>
      <c r="C211" s="356"/>
      <c r="D211" s="356"/>
      <c r="E211" s="356" t="s">
        <v>24</v>
      </c>
      <c r="F211" s="452" t="s">
        <v>1225</v>
      </c>
      <c r="G211" s="464" t="s">
        <v>1226</v>
      </c>
      <c r="H211" s="452" t="s">
        <v>1227</v>
      </c>
      <c r="I211" s="452" t="s">
        <v>3218</v>
      </c>
      <c r="J211" s="452" t="s">
        <v>3219</v>
      </c>
      <c r="K211" s="452" t="s">
        <v>3193</v>
      </c>
      <c r="L211" s="452" t="s">
        <v>3194</v>
      </c>
      <c r="M211" s="452" t="s">
        <v>3195</v>
      </c>
      <c r="N211" s="452" t="s">
        <v>3212</v>
      </c>
      <c r="O211" s="452" t="s">
        <v>3213</v>
      </c>
      <c r="P211" s="452" t="s">
        <v>3214</v>
      </c>
      <c r="Q211" s="450" t="s">
        <v>2462</v>
      </c>
      <c r="R211" s="452" t="s">
        <v>1796</v>
      </c>
      <c r="S211" s="452" t="s">
        <v>1797</v>
      </c>
      <c r="T211" s="452" t="s">
        <v>3220</v>
      </c>
      <c r="U211" s="452" t="s">
        <v>3200</v>
      </c>
      <c r="V211" s="452" t="s">
        <v>3201</v>
      </c>
      <c r="W211" s="452" t="s">
        <v>3221</v>
      </c>
      <c r="X211" s="452" t="s">
        <v>1801</v>
      </c>
      <c r="Y211" s="452" t="s">
        <v>2857</v>
      </c>
      <c r="Z211" s="452" t="s">
        <v>2858</v>
      </c>
      <c r="AA211" s="452" t="s">
        <v>2503</v>
      </c>
      <c r="AB211" s="452" t="s">
        <v>2859</v>
      </c>
      <c r="AC211" s="442" t="s">
        <v>1803</v>
      </c>
      <c r="AD211" s="442" t="s">
        <v>1804</v>
      </c>
      <c r="AE211" s="442"/>
      <c r="AF211" s="386"/>
      <c r="BA211" s="356" t="s">
        <v>1107</v>
      </c>
      <c r="BB211" s="545" t="s">
        <v>1805</v>
      </c>
      <c r="BC211" s="545" t="s">
        <v>33</v>
      </c>
      <c r="BD211" s="545" t="s">
        <v>1806</v>
      </c>
      <c r="BE211" s="356" t="s">
        <v>145</v>
      </c>
      <c r="BF211" s="421" t="s">
        <v>1807</v>
      </c>
    </row>
    <row r="212" spans="1:58" ht="150">
      <c r="A212" s="356" t="s">
        <v>3222</v>
      </c>
      <c r="B212" s="356"/>
      <c r="C212" s="356"/>
      <c r="D212" s="356"/>
      <c r="E212" s="356" t="s">
        <v>24</v>
      </c>
      <c r="F212" s="452" t="s">
        <v>1228</v>
      </c>
      <c r="G212" s="464" t="s">
        <v>1229</v>
      </c>
      <c r="H212" s="452" t="s">
        <v>1230</v>
      </c>
      <c r="I212" s="452" t="s">
        <v>3223</v>
      </c>
      <c r="J212" s="452" t="s">
        <v>3224</v>
      </c>
      <c r="K212" s="452" t="s">
        <v>3193</v>
      </c>
      <c r="L212" s="452" t="s">
        <v>3194</v>
      </c>
      <c r="M212" s="452" t="s">
        <v>3195</v>
      </c>
      <c r="N212" s="452" t="s">
        <v>3225</v>
      </c>
      <c r="O212" s="452" t="s">
        <v>3226</v>
      </c>
      <c r="P212" s="452" t="s">
        <v>3227</v>
      </c>
      <c r="Q212" s="466" t="s">
        <v>1795</v>
      </c>
      <c r="R212" s="452" t="s">
        <v>1796</v>
      </c>
      <c r="S212" s="452" t="s">
        <v>1797</v>
      </c>
      <c r="T212" s="452" t="s">
        <v>3228</v>
      </c>
      <c r="U212" s="452" t="s">
        <v>3200</v>
      </c>
      <c r="V212" s="452" t="s">
        <v>3201</v>
      </c>
      <c r="W212" s="452" t="s">
        <v>3229</v>
      </c>
      <c r="X212" s="452" t="s">
        <v>1801</v>
      </c>
      <c r="Y212" s="452" t="s">
        <v>2857</v>
      </c>
      <c r="Z212" s="452" t="s">
        <v>2913</v>
      </c>
      <c r="AA212" s="452" t="s">
        <v>2503</v>
      </c>
      <c r="AB212" s="452" t="s">
        <v>3230</v>
      </c>
      <c r="AC212" s="442" t="s">
        <v>1803</v>
      </c>
      <c r="AD212" s="442" t="s">
        <v>1804</v>
      </c>
      <c r="AE212" s="442"/>
      <c r="AF212" s="386"/>
      <c r="BA212" s="356" t="s">
        <v>1107</v>
      </c>
      <c r="BB212" s="545" t="s">
        <v>1805</v>
      </c>
      <c r="BC212" s="545" t="s">
        <v>33</v>
      </c>
      <c r="BD212" s="545" t="s">
        <v>1806</v>
      </c>
      <c r="BE212" s="356" t="s">
        <v>145</v>
      </c>
      <c r="BF212" s="421" t="s">
        <v>1807</v>
      </c>
    </row>
    <row r="213" spans="1:58" ht="150">
      <c r="A213" s="356" t="s">
        <v>3231</v>
      </c>
      <c r="B213" s="356"/>
      <c r="C213" s="356"/>
      <c r="D213" s="356"/>
      <c r="E213" s="356" t="s">
        <v>24</v>
      </c>
      <c r="F213" s="452" t="s">
        <v>1231</v>
      </c>
      <c r="G213" s="464" t="s">
        <v>1232</v>
      </c>
      <c r="H213" s="452" t="s">
        <v>1233</v>
      </c>
      <c r="I213" s="452" t="s">
        <v>3232</v>
      </c>
      <c r="J213" s="452" t="s">
        <v>3233</v>
      </c>
      <c r="K213" s="452" t="s">
        <v>3234</v>
      </c>
      <c r="L213" s="452" t="s">
        <v>3235</v>
      </c>
      <c r="M213" s="452" t="s">
        <v>3236</v>
      </c>
      <c r="N213" s="452" t="s">
        <v>3237</v>
      </c>
      <c r="O213" s="452" t="s">
        <v>3238</v>
      </c>
      <c r="P213" s="452" t="s">
        <v>3239</v>
      </c>
      <c r="Q213" s="466" t="s">
        <v>1795</v>
      </c>
      <c r="R213" s="452" t="s">
        <v>1796</v>
      </c>
      <c r="S213" s="452" t="s">
        <v>1797</v>
      </c>
      <c r="T213" s="452" t="s">
        <v>3240</v>
      </c>
      <c r="U213" s="452" t="s">
        <v>3241</v>
      </c>
      <c r="V213" s="452" t="s">
        <v>3242</v>
      </c>
      <c r="W213" s="452" t="s">
        <v>3243</v>
      </c>
      <c r="X213" s="452" t="s">
        <v>1801</v>
      </c>
      <c r="Y213" s="452" t="s">
        <v>2857</v>
      </c>
      <c r="Z213" s="452" t="s">
        <v>3132</v>
      </c>
      <c r="AA213" s="452" t="s">
        <v>2503</v>
      </c>
      <c r="AB213" s="452" t="s">
        <v>3244</v>
      </c>
      <c r="AC213" s="442" t="s">
        <v>1803</v>
      </c>
      <c r="AD213" s="442" t="s">
        <v>1804</v>
      </c>
      <c r="AE213" s="442"/>
      <c r="AF213" s="386"/>
      <c r="BA213" s="356" t="s">
        <v>1107</v>
      </c>
      <c r="BB213" s="545" t="s">
        <v>1805</v>
      </c>
      <c r="BC213" s="545" t="s">
        <v>33</v>
      </c>
      <c r="BD213" s="545" t="s">
        <v>1806</v>
      </c>
      <c r="BE213" s="356" t="s">
        <v>145</v>
      </c>
      <c r="BF213" s="421" t="s">
        <v>1807</v>
      </c>
    </row>
    <row r="214" spans="1:58" ht="150">
      <c r="A214" s="356" t="s">
        <v>3245</v>
      </c>
      <c r="B214" s="356"/>
      <c r="C214" s="356"/>
      <c r="D214" s="356"/>
      <c r="E214" s="356" t="s">
        <v>145</v>
      </c>
      <c r="F214" s="442" t="s">
        <v>3246</v>
      </c>
      <c r="G214" s="443" t="s">
        <v>1235</v>
      </c>
      <c r="H214" s="442" t="s">
        <v>1236</v>
      </c>
      <c r="I214" s="442" t="s">
        <v>3247</v>
      </c>
      <c r="J214" s="442" t="s">
        <v>3248</v>
      </c>
      <c r="K214" s="442" t="s">
        <v>3249</v>
      </c>
      <c r="L214" s="442" t="s">
        <v>3250</v>
      </c>
      <c r="M214" s="442" t="s">
        <v>3251</v>
      </c>
      <c r="N214" s="442" t="s">
        <v>3252</v>
      </c>
      <c r="O214" s="442" t="s">
        <v>3253</v>
      </c>
      <c r="P214" s="442" t="s">
        <v>3254</v>
      </c>
      <c r="Q214" s="466" t="s">
        <v>1795</v>
      </c>
      <c r="R214" s="442" t="s">
        <v>2151</v>
      </c>
      <c r="S214" s="442" t="s">
        <v>1797</v>
      </c>
      <c r="T214" s="442" t="s">
        <v>3255</v>
      </c>
      <c r="U214" s="442" t="s">
        <v>2096</v>
      </c>
      <c r="V214" s="442" t="s">
        <v>3256</v>
      </c>
      <c r="W214" s="442" t="s">
        <v>3257</v>
      </c>
      <c r="X214" s="442" t="s">
        <v>1801</v>
      </c>
      <c r="Y214" s="442" t="s">
        <v>2503</v>
      </c>
      <c r="Z214" s="442" t="s">
        <v>3132</v>
      </c>
      <c r="AA214" s="442" t="s">
        <v>2503</v>
      </c>
      <c r="AB214" s="442" t="s">
        <v>3258</v>
      </c>
      <c r="AC214" s="442" t="s">
        <v>1803</v>
      </c>
      <c r="AD214" s="442" t="s">
        <v>1804</v>
      </c>
      <c r="AE214" s="442"/>
      <c r="AF214" s="386"/>
      <c r="BA214" s="356" t="s">
        <v>1107</v>
      </c>
      <c r="BB214" s="545" t="s">
        <v>1805</v>
      </c>
      <c r="BC214" s="545" t="s">
        <v>33</v>
      </c>
      <c r="BD214" s="545" t="s">
        <v>1806</v>
      </c>
      <c r="BE214" s="356" t="s">
        <v>145</v>
      </c>
      <c r="BF214" s="421" t="s">
        <v>1807</v>
      </c>
    </row>
    <row r="215" spans="1:58" ht="150">
      <c r="A215" s="356" t="s">
        <v>3259</v>
      </c>
      <c r="B215" s="356"/>
      <c r="C215" s="356"/>
      <c r="D215" s="356"/>
      <c r="E215" s="356" t="s">
        <v>24</v>
      </c>
      <c r="F215" s="468" t="s">
        <v>1237</v>
      </c>
      <c r="G215" s="468" t="s">
        <v>1238</v>
      </c>
      <c r="H215" s="468" t="s">
        <v>1239</v>
      </c>
      <c r="I215" s="468" t="s">
        <v>3260</v>
      </c>
      <c r="J215" s="468" t="s">
        <v>3261</v>
      </c>
      <c r="K215" s="468" t="s">
        <v>3262</v>
      </c>
      <c r="L215" s="468" t="s">
        <v>3263</v>
      </c>
      <c r="M215" s="468" t="s">
        <v>3264</v>
      </c>
      <c r="N215" s="468" t="s">
        <v>3265</v>
      </c>
      <c r="O215" s="468" t="s">
        <v>3266</v>
      </c>
      <c r="P215" s="468" t="s">
        <v>3267</v>
      </c>
      <c r="Q215" s="466" t="s">
        <v>1795</v>
      </c>
      <c r="R215" s="468" t="s">
        <v>2930</v>
      </c>
      <c r="S215" s="468" t="s">
        <v>1797</v>
      </c>
      <c r="T215" s="468" t="s">
        <v>3268</v>
      </c>
      <c r="U215" s="468" t="s">
        <v>3269</v>
      </c>
      <c r="V215" s="468" t="s">
        <v>3270</v>
      </c>
      <c r="W215" s="468" t="s">
        <v>3271</v>
      </c>
      <c r="X215" s="468" t="s">
        <v>1801</v>
      </c>
      <c r="Y215" s="468" t="s">
        <v>2857</v>
      </c>
      <c r="Z215" s="468" t="s">
        <v>3272</v>
      </c>
      <c r="AA215" s="468" t="s">
        <v>2503</v>
      </c>
      <c r="AB215" s="468" t="s">
        <v>3273</v>
      </c>
      <c r="AC215" s="442" t="s">
        <v>1803</v>
      </c>
      <c r="AD215" s="442" t="s">
        <v>1804</v>
      </c>
      <c r="AE215" s="442"/>
      <c r="AF215" s="386"/>
      <c r="BA215" s="356" t="s">
        <v>1107</v>
      </c>
      <c r="BB215" s="545" t="s">
        <v>1805</v>
      </c>
      <c r="BC215" s="545" t="s">
        <v>33</v>
      </c>
      <c r="BD215" s="545" t="s">
        <v>1806</v>
      </c>
      <c r="BE215" s="356" t="s">
        <v>145</v>
      </c>
      <c r="BF215" s="421" t="s">
        <v>1807</v>
      </c>
    </row>
    <row r="216" spans="1:58" ht="409.5">
      <c r="A216" s="356" t="s">
        <v>3274</v>
      </c>
      <c r="B216" s="356"/>
      <c r="C216" s="356"/>
      <c r="D216" s="356"/>
      <c r="E216" s="356" t="s">
        <v>24</v>
      </c>
      <c r="F216" s="468" t="s">
        <v>1240</v>
      </c>
      <c r="G216" s="469" t="s">
        <v>1241</v>
      </c>
      <c r="H216" s="468" t="s">
        <v>1242</v>
      </c>
      <c r="I216" s="468" t="s">
        <v>3275</v>
      </c>
      <c r="J216" s="468" t="s">
        <v>3276</v>
      </c>
      <c r="K216" s="468" t="s">
        <v>3277</v>
      </c>
      <c r="L216" s="468" t="s">
        <v>3278</v>
      </c>
      <c r="M216" s="468" t="s">
        <v>3279</v>
      </c>
      <c r="N216" s="468" t="s">
        <v>3280</v>
      </c>
      <c r="O216" s="468" t="s">
        <v>3281</v>
      </c>
      <c r="P216" s="468" t="s">
        <v>3282</v>
      </c>
      <c r="Q216" s="453" t="s">
        <v>1795</v>
      </c>
      <c r="R216" s="468" t="s">
        <v>1796</v>
      </c>
      <c r="S216" s="468" t="s">
        <v>1797</v>
      </c>
      <c r="T216" s="468" t="s">
        <v>3283</v>
      </c>
      <c r="U216" s="468" t="s">
        <v>3284</v>
      </c>
      <c r="V216" s="468" t="s">
        <v>3285</v>
      </c>
      <c r="W216" s="468" t="s">
        <v>3286</v>
      </c>
      <c r="X216" s="468" t="s">
        <v>1801</v>
      </c>
      <c r="Y216" s="468" t="s">
        <v>2857</v>
      </c>
      <c r="Z216" s="468" t="s">
        <v>3287</v>
      </c>
      <c r="AA216" s="468" t="s">
        <v>2503</v>
      </c>
      <c r="AB216" s="468" t="s">
        <v>3288</v>
      </c>
      <c r="AC216" s="442" t="s">
        <v>1804</v>
      </c>
      <c r="AD216" s="442" t="s">
        <v>1804</v>
      </c>
      <c r="AE216" s="442"/>
      <c r="AF216" s="386"/>
      <c r="BA216" s="356" t="s">
        <v>1107</v>
      </c>
      <c r="BB216" s="545" t="s">
        <v>1805</v>
      </c>
      <c r="BC216" s="545" t="s">
        <v>33</v>
      </c>
      <c r="BD216" s="545" t="s">
        <v>1806</v>
      </c>
      <c r="BE216" s="356" t="s">
        <v>145</v>
      </c>
      <c r="BF216" s="421" t="s">
        <v>1807</v>
      </c>
    </row>
    <row r="217" spans="1:58" ht="409.5">
      <c r="A217" s="356" t="s">
        <v>3289</v>
      </c>
      <c r="B217" s="356"/>
      <c r="C217" s="356"/>
      <c r="D217" s="356"/>
      <c r="E217" s="356" t="s">
        <v>24</v>
      </c>
      <c r="F217" s="468" t="s">
        <v>1243</v>
      </c>
      <c r="G217" s="469" t="s">
        <v>1244</v>
      </c>
      <c r="H217" s="468" t="s">
        <v>3290</v>
      </c>
      <c r="I217" s="468" t="s">
        <v>3291</v>
      </c>
      <c r="J217" s="468" t="s">
        <v>3292</v>
      </c>
      <c r="K217" s="468" t="s">
        <v>3277</v>
      </c>
      <c r="L217" s="468" t="s">
        <v>3278</v>
      </c>
      <c r="M217" s="468" t="s">
        <v>3279</v>
      </c>
      <c r="N217" s="468" t="s">
        <v>3293</v>
      </c>
      <c r="O217" s="468" t="s">
        <v>3294</v>
      </c>
      <c r="P217" s="468" t="s">
        <v>3295</v>
      </c>
      <c r="Q217" s="453" t="s">
        <v>1795</v>
      </c>
      <c r="R217" s="468" t="s">
        <v>1796</v>
      </c>
      <c r="S217" s="468" t="s">
        <v>1797</v>
      </c>
      <c r="T217" s="468" t="s">
        <v>3296</v>
      </c>
      <c r="U217" s="468" t="s">
        <v>3297</v>
      </c>
      <c r="V217" s="468" t="s">
        <v>3298</v>
      </c>
      <c r="W217" s="468" t="s">
        <v>3299</v>
      </c>
      <c r="X217" s="468" t="s">
        <v>1801</v>
      </c>
      <c r="Y217" s="468" t="s">
        <v>2857</v>
      </c>
      <c r="Z217" s="468" t="s">
        <v>3287</v>
      </c>
      <c r="AA217" s="468" t="s">
        <v>2503</v>
      </c>
      <c r="AB217" s="468" t="s">
        <v>3288</v>
      </c>
      <c r="AC217" s="442" t="s">
        <v>1804</v>
      </c>
      <c r="AD217" s="442" t="s">
        <v>1804</v>
      </c>
      <c r="AE217" s="442"/>
      <c r="AF217" s="386"/>
      <c r="BA217" s="356" t="s">
        <v>1107</v>
      </c>
      <c r="BB217" s="545" t="s">
        <v>1805</v>
      </c>
      <c r="BC217" s="545" t="s">
        <v>33</v>
      </c>
      <c r="BD217" s="545" t="s">
        <v>1806</v>
      </c>
      <c r="BE217" s="356" t="s">
        <v>145</v>
      </c>
      <c r="BF217" s="421" t="s">
        <v>1807</v>
      </c>
    </row>
    <row r="218" spans="1:58" ht="150">
      <c r="A218" s="356" t="s">
        <v>3300</v>
      </c>
      <c r="B218" s="356"/>
      <c r="C218" s="356"/>
      <c r="D218" s="356"/>
      <c r="E218" s="356" t="s">
        <v>24</v>
      </c>
      <c r="F218" s="468" t="s">
        <v>1246</v>
      </c>
      <c r="G218" s="469" t="s">
        <v>1247</v>
      </c>
      <c r="H218" s="468" t="s">
        <v>1248</v>
      </c>
      <c r="I218" s="468" t="s">
        <v>3301</v>
      </c>
      <c r="J218" s="468" t="s">
        <v>3302</v>
      </c>
      <c r="K218" s="468" t="s">
        <v>3277</v>
      </c>
      <c r="L218" s="468" t="s">
        <v>3278</v>
      </c>
      <c r="M218" s="468" t="s">
        <v>3279</v>
      </c>
      <c r="N218" s="468" t="s">
        <v>3303</v>
      </c>
      <c r="O218" s="468" t="s">
        <v>3304</v>
      </c>
      <c r="P218" s="468" t="s">
        <v>3305</v>
      </c>
      <c r="Q218" s="466" t="s">
        <v>1795</v>
      </c>
      <c r="R218" s="468" t="s">
        <v>1796</v>
      </c>
      <c r="S218" s="468" t="s">
        <v>1824</v>
      </c>
      <c r="T218" s="468" t="s">
        <v>3306</v>
      </c>
      <c r="U218" s="468" t="s">
        <v>3307</v>
      </c>
      <c r="V218" s="468" t="s">
        <v>3308</v>
      </c>
      <c r="W218" s="468" t="s">
        <v>3309</v>
      </c>
      <c r="X218" s="468" t="s">
        <v>1801</v>
      </c>
      <c r="Y218" s="468" t="s">
        <v>2857</v>
      </c>
      <c r="Z218" s="468" t="s">
        <v>3310</v>
      </c>
      <c r="AA218" s="468" t="s">
        <v>2503</v>
      </c>
      <c r="AB218" s="468" t="s">
        <v>3311</v>
      </c>
      <c r="AC218" s="442" t="s">
        <v>1804</v>
      </c>
      <c r="AD218" s="442" t="s">
        <v>1804</v>
      </c>
      <c r="AE218" s="442"/>
      <c r="AF218" s="386"/>
      <c r="BA218" s="356" t="s">
        <v>1107</v>
      </c>
      <c r="BB218" s="545" t="s">
        <v>1805</v>
      </c>
      <c r="BC218" s="545" t="s">
        <v>33</v>
      </c>
      <c r="BD218" s="545" t="s">
        <v>1806</v>
      </c>
      <c r="BE218" s="356" t="s">
        <v>145</v>
      </c>
      <c r="BF218" s="421" t="s">
        <v>1807</v>
      </c>
    </row>
    <row r="219" spans="1:58" ht="300">
      <c r="A219" s="356" t="s">
        <v>3312</v>
      </c>
      <c r="B219" s="356"/>
      <c r="C219" s="356"/>
      <c r="D219" s="356"/>
      <c r="E219" s="356" t="s">
        <v>24</v>
      </c>
      <c r="F219" s="468" t="s">
        <v>1249</v>
      </c>
      <c r="G219" s="469" t="s">
        <v>1250</v>
      </c>
      <c r="H219" s="468" t="s">
        <v>1251</v>
      </c>
      <c r="I219" s="468" t="s">
        <v>3313</v>
      </c>
      <c r="J219" s="468" t="s">
        <v>3314</v>
      </c>
      <c r="K219" s="468" t="s">
        <v>3277</v>
      </c>
      <c r="L219" s="468" t="s">
        <v>3278</v>
      </c>
      <c r="M219" s="468" t="s">
        <v>3279</v>
      </c>
      <c r="N219" s="468" t="s">
        <v>3315</v>
      </c>
      <c r="O219" s="468" t="s">
        <v>3316</v>
      </c>
      <c r="P219" s="468" t="s">
        <v>3317</v>
      </c>
      <c r="Q219" s="450" t="s">
        <v>2462</v>
      </c>
      <c r="R219" s="468" t="s">
        <v>1796</v>
      </c>
      <c r="S219" s="468" t="s">
        <v>1797</v>
      </c>
      <c r="T219" s="468" t="s">
        <v>3318</v>
      </c>
      <c r="U219" s="468" t="s">
        <v>3307</v>
      </c>
      <c r="V219" s="468" t="s">
        <v>3319</v>
      </c>
      <c r="W219" s="468" t="s">
        <v>3320</v>
      </c>
      <c r="X219" s="468" t="s">
        <v>1801</v>
      </c>
      <c r="Y219" s="468" t="s">
        <v>2857</v>
      </c>
      <c r="Z219" s="468" t="s">
        <v>3321</v>
      </c>
      <c r="AA219" s="468" t="s">
        <v>2503</v>
      </c>
      <c r="AB219" s="468" t="s">
        <v>3288</v>
      </c>
      <c r="AC219" s="442" t="s">
        <v>1804</v>
      </c>
      <c r="AD219" s="442" t="s">
        <v>1804</v>
      </c>
      <c r="AE219" s="442"/>
      <c r="AF219" s="386"/>
      <c r="BA219" s="356" t="s">
        <v>1107</v>
      </c>
      <c r="BB219" s="545" t="s">
        <v>1805</v>
      </c>
      <c r="BC219" s="545" t="s">
        <v>33</v>
      </c>
      <c r="BD219" s="545" t="s">
        <v>1806</v>
      </c>
      <c r="BE219" s="356" t="s">
        <v>145</v>
      </c>
      <c r="BF219" s="421" t="s">
        <v>1807</v>
      </c>
    </row>
    <row r="220" spans="1:58" ht="225">
      <c r="A220" s="356" t="s">
        <v>3322</v>
      </c>
      <c r="B220" s="356"/>
      <c r="C220" s="356"/>
      <c r="D220" s="356"/>
      <c r="E220" s="356" t="s">
        <v>24</v>
      </c>
      <c r="F220" s="468" t="s">
        <v>1253</v>
      </c>
      <c r="G220" s="469" t="s">
        <v>1254</v>
      </c>
      <c r="H220" s="468" t="s">
        <v>1255</v>
      </c>
      <c r="I220" s="468" t="s">
        <v>3323</v>
      </c>
      <c r="J220" s="468" t="s">
        <v>3324</v>
      </c>
      <c r="K220" s="468" t="s">
        <v>3277</v>
      </c>
      <c r="L220" s="468" t="s">
        <v>3278</v>
      </c>
      <c r="M220" s="468" t="s">
        <v>3279</v>
      </c>
      <c r="N220" s="468" t="s">
        <v>3315</v>
      </c>
      <c r="O220" s="468" t="s">
        <v>3316</v>
      </c>
      <c r="P220" s="468" t="s">
        <v>3325</v>
      </c>
      <c r="Q220" s="450" t="s">
        <v>2462</v>
      </c>
      <c r="R220" s="468" t="s">
        <v>1796</v>
      </c>
      <c r="S220" s="468" t="s">
        <v>1797</v>
      </c>
      <c r="T220" s="468" t="s">
        <v>3326</v>
      </c>
      <c r="U220" s="468" t="s">
        <v>3307</v>
      </c>
      <c r="V220" s="468" t="s">
        <v>3319</v>
      </c>
      <c r="W220" s="468" t="s">
        <v>3327</v>
      </c>
      <c r="X220" s="468" t="s">
        <v>1801</v>
      </c>
      <c r="Y220" s="468" t="s">
        <v>2857</v>
      </c>
      <c r="Z220" s="468" t="s">
        <v>3328</v>
      </c>
      <c r="AA220" s="468" t="s">
        <v>2503</v>
      </c>
      <c r="AB220" s="468" t="s">
        <v>3288</v>
      </c>
      <c r="AC220" s="442" t="s">
        <v>1804</v>
      </c>
      <c r="AD220" s="442" t="s">
        <v>1804</v>
      </c>
      <c r="AE220" s="442"/>
      <c r="AF220" s="386"/>
      <c r="BA220" s="356" t="s">
        <v>1107</v>
      </c>
      <c r="BB220" s="545" t="s">
        <v>1805</v>
      </c>
      <c r="BC220" s="545" t="s">
        <v>33</v>
      </c>
      <c r="BD220" s="545" t="s">
        <v>1806</v>
      </c>
      <c r="BE220" s="356" t="s">
        <v>145</v>
      </c>
      <c r="BF220" s="421" t="s">
        <v>1807</v>
      </c>
    </row>
    <row r="221" spans="1:58" ht="195">
      <c r="A221" s="356" t="s">
        <v>3329</v>
      </c>
      <c r="B221" s="356"/>
      <c r="C221" s="356"/>
      <c r="D221" s="356"/>
      <c r="E221" s="356" t="s">
        <v>24</v>
      </c>
      <c r="F221" s="468" t="s">
        <v>1256</v>
      </c>
      <c r="G221" s="469" t="s">
        <v>1257</v>
      </c>
      <c r="H221" s="468" t="s">
        <v>1258</v>
      </c>
      <c r="I221" s="468" t="s">
        <v>3330</v>
      </c>
      <c r="J221" s="468" t="s">
        <v>3331</v>
      </c>
      <c r="K221" s="468" t="s">
        <v>3277</v>
      </c>
      <c r="L221" s="468" t="s">
        <v>3278</v>
      </c>
      <c r="M221" s="468" t="s">
        <v>3279</v>
      </c>
      <c r="N221" s="468" t="s">
        <v>3315</v>
      </c>
      <c r="O221" s="468" t="s">
        <v>3316</v>
      </c>
      <c r="P221" s="468" t="s">
        <v>3325</v>
      </c>
      <c r="Q221" s="450" t="s">
        <v>2462</v>
      </c>
      <c r="R221" s="468" t="s">
        <v>1796</v>
      </c>
      <c r="S221" s="468" t="s">
        <v>1797</v>
      </c>
      <c r="T221" s="468" t="s">
        <v>3332</v>
      </c>
      <c r="U221" s="468" t="s">
        <v>3307</v>
      </c>
      <c r="V221" s="468" t="s">
        <v>3319</v>
      </c>
      <c r="W221" s="468" t="s">
        <v>3333</v>
      </c>
      <c r="X221" s="468" t="s">
        <v>1801</v>
      </c>
      <c r="Y221" s="468" t="s">
        <v>2857</v>
      </c>
      <c r="Z221" s="468" t="s">
        <v>3334</v>
      </c>
      <c r="AA221" s="468" t="s">
        <v>2503</v>
      </c>
      <c r="AB221" s="468" t="s">
        <v>3288</v>
      </c>
      <c r="AC221" s="442" t="s">
        <v>1804</v>
      </c>
      <c r="AD221" s="442" t="s">
        <v>1804</v>
      </c>
      <c r="AE221" s="442"/>
      <c r="AF221" s="386"/>
      <c r="BA221" s="356" t="s">
        <v>1107</v>
      </c>
      <c r="BB221" s="545" t="s">
        <v>1805</v>
      </c>
      <c r="BC221" s="545" t="s">
        <v>33</v>
      </c>
      <c r="BD221" s="545" t="s">
        <v>1806</v>
      </c>
      <c r="BE221" s="356" t="s">
        <v>145</v>
      </c>
      <c r="BF221" s="421" t="s">
        <v>1807</v>
      </c>
    </row>
    <row r="222" spans="1:58" ht="409.5">
      <c r="A222" s="356" t="s">
        <v>3335</v>
      </c>
      <c r="B222" s="356"/>
      <c r="C222" s="356"/>
      <c r="D222" s="356"/>
      <c r="E222" s="356" t="s">
        <v>24</v>
      </c>
      <c r="F222" s="468" t="s">
        <v>1259</v>
      </c>
      <c r="G222" s="469" t="s">
        <v>1260</v>
      </c>
      <c r="H222" s="468" t="s">
        <v>1261</v>
      </c>
      <c r="I222" s="468" t="s">
        <v>3336</v>
      </c>
      <c r="J222" s="468" t="s">
        <v>3337</v>
      </c>
      <c r="K222" s="468" t="s">
        <v>3338</v>
      </c>
      <c r="L222" s="468" t="s">
        <v>3339</v>
      </c>
      <c r="M222" s="468" t="s">
        <v>3340</v>
      </c>
      <c r="N222" s="468" t="s">
        <v>3341</v>
      </c>
      <c r="O222" s="468" t="s">
        <v>3342</v>
      </c>
      <c r="P222" s="468" t="s">
        <v>3343</v>
      </c>
      <c r="Q222" s="453" t="s">
        <v>1795</v>
      </c>
      <c r="R222" s="468" t="s">
        <v>1796</v>
      </c>
      <c r="S222" s="468" t="s">
        <v>1797</v>
      </c>
      <c r="T222" s="468" t="s">
        <v>3344</v>
      </c>
      <c r="U222" s="468" t="s">
        <v>3345</v>
      </c>
      <c r="V222" s="468" t="s">
        <v>3346</v>
      </c>
      <c r="W222" s="468" t="s">
        <v>3347</v>
      </c>
      <c r="X222" s="468" t="s">
        <v>1801</v>
      </c>
      <c r="Y222" s="468" t="s">
        <v>2857</v>
      </c>
      <c r="Z222" s="468" t="s">
        <v>3287</v>
      </c>
      <c r="AA222" s="468" t="s">
        <v>2503</v>
      </c>
      <c r="AB222" s="468" t="s">
        <v>3288</v>
      </c>
      <c r="AC222" s="442" t="s">
        <v>1803</v>
      </c>
      <c r="AD222" s="442" t="s">
        <v>1804</v>
      </c>
      <c r="AE222" s="442" t="s">
        <v>3348</v>
      </c>
      <c r="AF222" s="386"/>
      <c r="BA222" s="356" t="s">
        <v>1107</v>
      </c>
      <c r="BB222" s="545" t="s">
        <v>1805</v>
      </c>
      <c r="BC222" s="545" t="s">
        <v>33</v>
      </c>
      <c r="BD222" s="545" t="s">
        <v>1806</v>
      </c>
      <c r="BE222" s="356" t="s">
        <v>145</v>
      </c>
      <c r="BF222" s="421" t="s">
        <v>1807</v>
      </c>
    </row>
    <row r="223" spans="1:58" ht="409.5">
      <c r="A223" s="356" t="s">
        <v>3349</v>
      </c>
      <c r="B223" s="356"/>
      <c r="C223" s="356"/>
      <c r="D223" s="356"/>
      <c r="E223" s="356" t="s">
        <v>24</v>
      </c>
      <c r="F223" s="468" t="s">
        <v>1262</v>
      </c>
      <c r="G223" s="469" t="s">
        <v>1263</v>
      </c>
      <c r="H223" s="468" t="s">
        <v>1264</v>
      </c>
      <c r="I223" s="468" t="s">
        <v>3350</v>
      </c>
      <c r="J223" s="468" t="s">
        <v>3351</v>
      </c>
      <c r="K223" s="468" t="s">
        <v>3338</v>
      </c>
      <c r="L223" s="468" t="s">
        <v>3339</v>
      </c>
      <c r="M223" s="468" t="s">
        <v>3340</v>
      </c>
      <c r="N223" s="468" t="s">
        <v>3352</v>
      </c>
      <c r="O223" s="468" t="s">
        <v>3353</v>
      </c>
      <c r="P223" s="468" t="s">
        <v>3354</v>
      </c>
      <c r="Q223" s="453" t="s">
        <v>1795</v>
      </c>
      <c r="R223" s="468" t="s">
        <v>1796</v>
      </c>
      <c r="S223" s="468" t="s">
        <v>1797</v>
      </c>
      <c r="T223" s="468" t="s">
        <v>3355</v>
      </c>
      <c r="U223" s="468" t="s">
        <v>3356</v>
      </c>
      <c r="V223" s="468" t="s">
        <v>3346</v>
      </c>
      <c r="W223" s="468" t="s">
        <v>3357</v>
      </c>
      <c r="X223" s="468" t="s">
        <v>1801</v>
      </c>
      <c r="Y223" s="468" t="s">
        <v>2857</v>
      </c>
      <c r="Z223" s="468" t="s">
        <v>3287</v>
      </c>
      <c r="AA223" s="468" t="s">
        <v>2503</v>
      </c>
      <c r="AB223" s="468" t="s">
        <v>3288</v>
      </c>
      <c r="AC223" s="442" t="s">
        <v>1803</v>
      </c>
      <c r="AD223" s="442" t="s">
        <v>1804</v>
      </c>
      <c r="AE223" s="442" t="s">
        <v>3348</v>
      </c>
      <c r="AF223" s="386"/>
      <c r="BA223" s="356" t="s">
        <v>1107</v>
      </c>
      <c r="BB223" s="545" t="s">
        <v>1805</v>
      </c>
      <c r="BC223" s="545" t="s">
        <v>33</v>
      </c>
      <c r="BD223" s="545" t="s">
        <v>1806</v>
      </c>
      <c r="BE223" s="356" t="s">
        <v>145</v>
      </c>
      <c r="BF223" s="421" t="s">
        <v>1807</v>
      </c>
    </row>
    <row r="224" spans="1:58" ht="150">
      <c r="A224" s="356" t="s">
        <v>3358</v>
      </c>
      <c r="B224" s="356"/>
      <c r="C224" s="356"/>
      <c r="D224" s="356"/>
      <c r="E224" s="356" t="s">
        <v>24</v>
      </c>
      <c r="F224" s="468" t="s">
        <v>1265</v>
      </c>
      <c r="G224" s="469" t="s">
        <v>1266</v>
      </c>
      <c r="H224" s="468" t="s">
        <v>1267</v>
      </c>
      <c r="I224" s="468" t="s">
        <v>3359</v>
      </c>
      <c r="J224" s="468" t="s">
        <v>3360</v>
      </c>
      <c r="K224" s="468" t="s">
        <v>3338</v>
      </c>
      <c r="L224" s="468" t="s">
        <v>3339</v>
      </c>
      <c r="M224" s="468" t="s">
        <v>3340</v>
      </c>
      <c r="N224" s="468" t="s">
        <v>3361</v>
      </c>
      <c r="O224" s="468" t="s">
        <v>3362</v>
      </c>
      <c r="P224" s="468" t="s">
        <v>3363</v>
      </c>
      <c r="Q224" s="466" t="s">
        <v>1795</v>
      </c>
      <c r="R224" s="468" t="s">
        <v>1796</v>
      </c>
      <c r="S224" s="468" t="s">
        <v>1824</v>
      </c>
      <c r="T224" s="468" t="s">
        <v>3364</v>
      </c>
      <c r="U224" s="468" t="s">
        <v>3365</v>
      </c>
      <c r="V224" s="468" t="s">
        <v>2896</v>
      </c>
      <c r="W224" s="468" t="s">
        <v>3366</v>
      </c>
      <c r="X224" s="468" t="s">
        <v>3367</v>
      </c>
      <c r="Y224" s="468" t="s">
        <v>2857</v>
      </c>
      <c r="Z224" s="468" t="s">
        <v>3310</v>
      </c>
      <c r="AA224" s="468" t="s">
        <v>2503</v>
      </c>
      <c r="AB224" s="468" t="s">
        <v>3368</v>
      </c>
      <c r="AC224" s="442" t="s">
        <v>1803</v>
      </c>
      <c r="AD224" s="442" t="s">
        <v>1804</v>
      </c>
      <c r="AE224" s="442" t="s">
        <v>3369</v>
      </c>
      <c r="AF224" s="386"/>
      <c r="BA224" s="356" t="s">
        <v>1107</v>
      </c>
      <c r="BB224" s="545" t="s">
        <v>1805</v>
      </c>
      <c r="BC224" s="545" t="s">
        <v>33</v>
      </c>
      <c r="BD224" s="545" t="s">
        <v>1806</v>
      </c>
      <c r="BE224" s="356" t="s">
        <v>145</v>
      </c>
      <c r="BF224" s="421" t="s">
        <v>1807</v>
      </c>
    </row>
    <row r="225" spans="1:58" ht="300">
      <c r="A225" s="356" t="s">
        <v>3370</v>
      </c>
      <c r="B225" s="356"/>
      <c r="C225" s="356"/>
      <c r="D225" s="356"/>
      <c r="E225" s="356" t="s">
        <v>24</v>
      </c>
      <c r="F225" s="468" t="s">
        <v>1268</v>
      </c>
      <c r="G225" s="469" t="s">
        <v>1269</v>
      </c>
      <c r="H225" s="468" t="s">
        <v>1270</v>
      </c>
      <c r="I225" s="468" t="s">
        <v>3371</v>
      </c>
      <c r="J225" s="468" t="s">
        <v>3372</v>
      </c>
      <c r="K225" s="468" t="s">
        <v>3338</v>
      </c>
      <c r="L225" s="468" t="s">
        <v>3339</v>
      </c>
      <c r="M225" s="468" t="s">
        <v>3340</v>
      </c>
      <c r="N225" s="468" t="s">
        <v>3373</v>
      </c>
      <c r="O225" s="468" t="s">
        <v>3374</v>
      </c>
      <c r="P225" s="468" t="s">
        <v>3375</v>
      </c>
      <c r="Q225" s="450" t="s">
        <v>2462</v>
      </c>
      <c r="R225" s="468" t="s">
        <v>1796</v>
      </c>
      <c r="S225" s="468" t="s">
        <v>1797</v>
      </c>
      <c r="T225" s="468" t="s">
        <v>3376</v>
      </c>
      <c r="U225" s="468" t="s">
        <v>3377</v>
      </c>
      <c r="V225" s="468" t="s">
        <v>3346</v>
      </c>
      <c r="W225" s="468" t="s">
        <v>3378</v>
      </c>
      <c r="X225" s="468" t="s">
        <v>1801</v>
      </c>
      <c r="Y225" s="468" t="s">
        <v>2857</v>
      </c>
      <c r="Z225" s="468" t="s">
        <v>3321</v>
      </c>
      <c r="AA225" s="468" t="s">
        <v>2503</v>
      </c>
      <c r="AB225" s="468" t="s">
        <v>3288</v>
      </c>
      <c r="AC225" s="442" t="s">
        <v>1803</v>
      </c>
      <c r="AD225" s="442" t="s">
        <v>1804</v>
      </c>
      <c r="AE225" s="442" t="s">
        <v>3379</v>
      </c>
      <c r="AF225" s="386"/>
      <c r="BA225" s="356" t="s">
        <v>1107</v>
      </c>
      <c r="BB225" s="545" t="s">
        <v>1805</v>
      </c>
      <c r="BC225" s="545" t="s">
        <v>33</v>
      </c>
      <c r="BD225" s="545" t="s">
        <v>1806</v>
      </c>
      <c r="BE225" s="356" t="s">
        <v>145</v>
      </c>
      <c r="BF225" s="421" t="s">
        <v>1807</v>
      </c>
    </row>
    <row r="226" spans="1:58" ht="225">
      <c r="A226" s="356" t="s">
        <v>3380</v>
      </c>
      <c r="B226" s="356"/>
      <c r="C226" s="356"/>
      <c r="D226" s="356"/>
      <c r="E226" s="356" t="s">
        <v>24</v>
      </c>
      <c r="F226" s="468" t="s">
        <v>1271</v>
      </c>
      <c r="G226" s="469" t="s">
        <v>1272</v>
      </c>
      <c r="H226" s="468" t="s">
        <v>1273</v>
      </c>
      <c r="I226" s="468" t="s">
        <v>3381</v>
      </c>
      <c r="J226" s="468" t="s">
        <v>3382</v>
      </c>
      <c r="K226" s="468" t="s">
        <v>3338</v>
      </c>
      <c r="L226" s="468" t="s">
        <v>3339</v>
      </c>
      <c r="M226" s="468" t="s">
        <v>3340</v>
      </c>
      <c r="N226" s="468" t="s">
        <v>3373</v>
      </c>
      <c r="O226" s="468" t="s">
        <v>3374</v>
      </c>
      <c r="P226" s="468" t="s">
        <v>3375</v>
      </c>
      <c r="Q226" s="450" t="s">
        <v>2462</v>
      </c>
      <c r="R226" s="468" t="s">
        <v>1796</v>
      </c>
      <c r="S226" s="468" t="s">
        <v>1797</v>
      </c>
      <c r="T226" s="468" t="s">
        <v>3383</v>
      </c>
      <c r="U226" s="468" t="s">
        <v>3384</v>
      </c>
      <c r="V226" s="468" t="s">
        <v>3346</v>
      </c>
      <c r="W226" s="468" t="s">
        <v>3385</v>
      </c>
      <c r="X226" s="468" t="s">
        <v>1801</v>
      </c>
      <c r="Y226" s="468" t="s">
        <v>2857</v>
      </c>
      <c r="Z226" s="468" t="s">
        <v>3328</v>
      </c>
      <c r="AA226" s="468" t="s">
        <v>2503</v>
      </c>
      <c r="AB226" s="468" t="s">
        <v>3288</v>
      </c>
      <c r="AC226" s="442" t="s">
        <v>1803</v>
      </c>
      <c r="AD226" s="442" t="s">
        <v>1804</v>
      </c>
      <c r="AE226" s="442" t="s">
        <v>3379</v>
      </c>
      <c r="AF226" s="386"/>
      <c r="BA226" s="356" t="s">
        <v>1107</v>
      </c>
      <c r="BB226" s="545" t="s">
        <v>1805</v>
      </c>
      <c r="BC226" s="545" t="s">
        <v>33</v>
      </c>
      <c r="BD226" s="545" t="s">
        <v>1806</v>
      </c>
      <c r="BE226" s="356" t="s">
        <v>145</v>
      </c>
      <c r="BF226" s="421" t="s">
        <v>1807</v>
      </c>
    </row>
    <row r="227" spans="1:58" ht="225">
      <c r="A227" s="356" t="s">
        <v>3386</v>
      </c>
      <c r="B227" s="356"/>
      <c r="C227" s="356"/>
      <c r="D227" s="356"/>
      <c r="E227" s="356" t="s">
        <v>24</v>
      </c>
      <c r="F227" s="468" t="s">
        <v>1274</v>
      </c>
      <c r="G227" s="469" t="s">
        <v>1275</v>
      </c>
      <c r="H227" s="468" t="s">
        <v>1276</v>
      </c>
      <c r="I227" s="468" t="s">
        <v>3387</v>
      </c>
      <c r="J227" s="468" t="s">
        <v>3388</v>
      </c>
      <c r="K227" s="468" t="s">
        <v>3338</v>
      </c>
      <c r="L227" s="468" t="s">
        <v>3339</v>
      </c>
      <c r="M227" s="468" t="s">
        <v>3340</v>
      </c>
      <c r="N227" s="468" t="s">
        <v>3373</v>
      </c>
      <c r="O227" s="468" t="s">
        <v>3374</v>
      </c>
      <c r="P227" s="468" t="s">
        <v>3375</v>
      </c>
      <c r="Q227" s="450" t="s">
        <v>2462</v>
      </c>
      <c r="R227" s="468" t="s">
        <v>1796</v>
      </c>
      <c r="S227" s="468" t="s">
        <v>1797</v>
      </c>
      <c r="T227" s="468" t="s">
        <v>3389</v>
      </c>
      <c r="U227" s="468" t="s">
        <v>3390</v>
      </c>
      <c r="V227" s="468" t="s">
        <v>3346</v>
      </c>
      <c r="W227" s="468" t="s">
        <v>3391</v>
      </c>
      <c r="X227" s="468" t="s">
        <v>1801</v>
      </c>
      <c r="Y227" s="468" t="s">
        <v>2857</v>
      </c>
      <c r="Z227" s="468" t="s">
        <v>3392</v>
      </c>
      <c r="AA227" s="468" t="s">
        <v>2503</v>
      </c>
      <c r="AB227" s="468" t="s">
        <v>3288</v>
      </c>
      <c r="AC227" s="442" t="s">
        <v>1803</v>
      </c>
      <c r="AD227" s="442" t="s">
        <v>1804</v>
      </c>
      <c r="AE227" s="442" t="s">
        <v>3379</v>
      </c>
      <c r="AF227" s="386"/>
      <c r="BA227" s="356" t="s">
        <v>1107</v>
      </c>
      <c r="BB227" s="545" t="s">
        <v>1805</v>
      </c>
      <c r="BC227" s="545" t="s">
        <v>33</v>
      </c>
      <c r="BD227" s="545" t="s">
        <v>1806</v>
      </c>
      <c r="BE227" s="356" t="s">
        <v>145</v>
      </c>
      <c r="BF227" s="421" t="s">
        <v>1807</v>
      </c>
    </row>
    <row r="228" spans="1:58" ht="409.5">
      <c r="A228" s="356" t="s">
        <v>3393</v>
      </c>
      <c r="B228" s="356"/>
      <c r="C228" s="356"/>
      <c r="D228" s="356"/>
      <c r="E228" s="356" t="s">
        <v>24</v>
      </c>
      <c r="F228" s="468" t="s">
        <v>1277</v>
      </c>
      <c r="G228" s="468" t="s">
        <v>1278</v>
      </c>
      <c r="H228" s="468" t="s">
        <v>1279</v>
      </c>
      <c r="I228" s="468" t="s">
        <v>3394</v>
      </c>
      <c r="J228" s="468" t="s">
        <v>3395</v>
      </c>
      <c r="K228" s="468" t="s">
        <v>3396</v>
      </c>
      <c r="L228" s="468" t="s">
        <v>3397</v>
      </c>
      <c r="M228" s="468" t="s">
        <v>3398</v>
      </c>
      <c r="N228" s="468" t="s">
        <v>3341</v>
      </c>
      <c r="O228" s="468" t="s">
        <v>3342</v>
      </c>
      <c r="P228" s="468" t="s">
        <v>3343</v>
      </c>
      <c r="Q228" s="453" t="s">
        <v>1795</v>
      </c>
      <c r="R228" s="468" t="s">
        <v>1796</v>
      </c>
      <c r="S228" s="468" t="s">
        <v>1797</v>
      </c>
      <c r="T228" s="468" t="s">
        <v>3399</v>
      </c>
      <c r="U228" s="468" t="s">
        <v>3400</v>
      </c>
      <c r="V228" s="468" t="s">
        <v>3346</v>
      </c>
      <c r="W228" s="468" t="s">
        <v>3401</v>
      </c>
      <c r="X228" s="468" t="s">
        <v>1801</v>
      </c>
      <c r="Y228" s="468" t="s">
        <v>2857</v>
      </c>
      <c r="Z228" s="468" t="s">
        <v>3287</v>
      </c>
      <c r="AA228" s="468" t="s">
        <v>2503</v>
      </c>
      <c r="AB228" s="468" t="s">
        <v>3288</v>
      </c>
      <c r="AC228" s="442" t="s">
        <v>1803</v>
      </c>
      <c r="AD228" s="442" t="s">
        <v>1804</v>
      </c>
      <c r="AE228" s="442" t="s">
        <v>3348</v>
      </c>
      <c r="AF228" s="386"/>
      <c r="BA228" s="356" t="s">
        <v>1107</v>
      </c>
      <c r="BB228" s="545" t="s">
        <v>1805</v>
      </c>
      <c r="BC228" s="545" t="s">
        <v>33</v>
      </c>
      <c r="BD228" s="545" t="s">
        <v>1806</v>
      </c>
      <c r="BE228" s="356" t="s">
        <v>145</v>
      </c>
      <c r="BF228" s="421" t="s">
        <v>1807</v>
      </c>
    </row>
    <row r="229" spans="1:58" ht="409.5">
      <c r="A229" s="356" t="s">
        <v>3402</v>
      </c>
      <c r="B229" s="356"/>
      <c r="C229" s="356"/>
      <c r="D229" s="356"/>
      <c r="E229" s="356" t="s">
        <v>24</v>
      </c>
      <c r="F229" s="468" t="s">
        <v>1280</v>
      </c>
      <c r="G229" s="469" t="s">
        <v>1281</v>
      </c>
      <c r="H229" s="468" t="s">
        <v>1282</v>
      </c>
      <c r="I229" s="468" t="s">
        <v>3403</v>
      </c>
      <c r="J229" s="468" t="s">
        <v>3404</v>
      </c>
      <c r="K229" s="468" t="s">
        <v>3396</v>
      </c>
      <c r="L229" s="468" t="s">
        <v>3397</v>
      </c>
      <c r="M229" s="468" t="s">
        <v>3398</v>
      </c>
      <c r="N229" s="468" t="s">
        <v>3352</v>
      </c>
      <c r="O229" s="468" t="s">
        <v>3353</v>
      </c>
      <c r="P229" s="468" t="s">
        <v>3354</v>
      </c>
      <c r="Q229" s="453" t="s">
        <v>1795</v>
      </c>
      <c r="R229" s="468" t="s">
        <v>1796</v>
      </c>
      <c r="S229" s="468" t="s">
        <v>1797</v>
      </c>
      <c r="T229" s="468" t="s">
        <v>3405</v>
      </c>
      <c r="U229" s="468" t="s">
        <v>3406</v>
      </c>
      <c r="V229" s="468" t="s">
        <v>3346</v>
      </c>
      <c r="W229" s="468" t="s">
        <v>3407</v>
      </c>
      <c r="X229" s="468" t="s">
        <v>1801</v>
      </c>
      <c r="Y229" s="468" t="s">
        <v>2857</v>
      </c>
      <c r="Z229" s="468" t="s">
        <v>3287</v>
      </c>
      <c r="AA229" s="468" t="s">
        <v>2503</v>
      </c>
      <c r="AB229" s="468" t="s">
        <v>3288</v>
      </c>
      <c r="AC229" s="442" t="s">
        <v>1803</v>
      </c>
      <c r="AD229" s="442" t="s">
        <v>1804</v>
      </c>
      <c r="AE229" s="442" t="s">
        <v>3348</v>
      </c>
      <c r="AF229" s="386"/>
      <c r="BA229" s="356" t="s">
        <v>1107</v>
      </c>
      <c r="BB229" s="545" t="s">
        <v>1805</v>
      </c>
      <c r="BC229" s="545" t="s">
        <v>33</v>
      </c>
      <c r="BD229" s="545" t="s">
        <v>1806</v>
      </c>
      <c r="BE229" s="356" t="s">
        <v>145</v>
      </c>
      <c r="BF229" s="421" t="s">
        <v>1807</v>
      </c>
    </row>
    <row r="230" spans="1:58" ht="150">
      <c r="A230" s="356" t="s">
        <v>3408</v>
      </c>
      <c r="B230" s="356"/>
      <c r="C230" s="356"/>
      <c r="D230" s="356"/>
      <c r="E230" s="356" t="s">
        <v>24</v>
      </c>
      <c r="F230" s="468" t="s">
        <v>1283</v>
      </c>
      <c r="G230" s="469" t="s">
        <v>1284</v>
      </c>
      <c r="H230" s="468" t="s">
        <v>1285</v>
      </c>
      <c r="I230" s="468" t="s">
        <v>3409</v>
      </c>
      <c r="J230" s="468" t="s">
        <v>3410</v>
      </c>
      <c r="K230" s="468" t="s">
        <v>3396</v>
      </c>
      <c r="L230" s="468" t="s">
        <v>3397</v>
      </c>
      <c r="M230" s="468" t="s">
        <v>3398</v>
      </c>
      <c r="N230" s="468" t="s">
        <v>3361</v>
      </c>
      <c r="O230" s="468" t="s">
        <v>3411</v>
      </c>
      <c r="P230" s="468" t="s">
        <v>3363</v>
      </c>
      <c r="Q230" s="466" t="s">
        <v>1795</v>
      </c>
      <c r="R230" s="468" t="s">
        <v>1796</v>
      </c>
      <c r="S230" s="468" t="s">
        <v>1824</v>
      </c>
      <c r="T230" s="468" t="s">
        <v>3412</v>
      </c>
      <c r="U230" s="468" t="s">
        <v>3365</v>
      </c>
      <c r="V230" s="468" t="s">
        <v>2896</v>
      </c>
      <c r="W230" s="468" t="s">
        <v>3413</v>
      </c>
      <c r="X230" s="468" t="s">
        <v>3367</v>
      </c>
      <c r="Y230" s="468" t="s">
        <v>2857</v>
      </c>
      <c r="Z230" s="468" t="s">
        <v>3310</v>
      </c>
      <c r="AA230" s="468" t="s">
        <v>2503</v>
      </c>
      <c r="AB230" s="468" t="s">
        <v>3368</v>
      </c>
      <c r="AC230" s="442" t="s">
        <v>1803</v>
      </c>
      <c r="AD230" s="442" t="s">
        <v>1804</v>
      </c>
      <c r="AE230" s="442" t="s">
        <v>3369</v>
      </c>
      <c r="AF230" s="386"/>
      <c r="BA230" s="356" t="s">
        <v>1107</v>
      </c>
      <c r="BB230" s="545" t="s">
        <v>1805</v>
      </c>
      <c r="BC230" s="545" t="s">
        <v>33</v>
      </c>
      <c r="BD230" s="545" t="s">
        <v>1806</v>
      </c>
      <c r="BE230" s="356" t="s">
        <v>145</v>
      </c>
      <c r="BF230" s="421" t="s">
        <v>1807</v>
      </c>
    </row>
    <row r="231" spans="1:58" ht="300">
      <c r="A231" s="356" t="s">
        <v>3414</v>
      </c>
      <c r="B231" s="356"/>
      <c r="C231" s="356"/>
      <c r="D231" s="356"/>
      <c r="E231" s="356" t="s">
        <v>24</v>
      </c>
      <c r="F231" s="468" t="s">
        <v>1286</v>
      </c>
      <c r="G231" s="469" t="s">
        <v>1287</v>
      </c>
      <c r="H231" s="468" t="s">
        <v>1288</v>
      </c>
      <c r="I231" s="468" t="s">
        <v>3415</v>
      </c>
      <c r="J231" s="468" t="s">
        <v>3416</v>
      </c>
      <c r="K231" s="468" t="s">
        <v>3396</v>
      </c>
      <c r="L231" s="468" t="s">
        <v>3397</v>
      </c>
      <c r="M231" s="468" t="s">
        <v>3398</v>
      </c>
      <c r="N231" s="468" t="s">
        <v>3373</v>
      </c>
      <c r="O231" s="468" t="s">
        <v>3374</v>
      </c>
      <c r="P231" s="468" t="s">
        <v>3375</v>
      </c>
      <c r="Q231" s="450" t="s">
        <v>2462</v>
      </c>
      <c r="R231" s="468" t="s">
        <v>1796</v>
      </c>
      <c r="S231" s="468" t="s">
        <v>1797</v>
      </c>
      <c r="T231" s="468" t="s">
        <v>3417</v>
      </c>
      <c r="U231" s="468" t="s">
        <v>3377</v>
      </c>
      <c r="V231" s="468" t="s">
        <v>3346</v>
      </c>
      <c r="W231" s="468" t="s">
        <v>3418</v>
      </c>
      <c r="X231" s="468" t="s">
        <v>1801</v>
      </c>
      <c r="Y231" s="468" t="s">
        <v>2857</v>
      </c>
      <c r="Z231" s="468" t="s">
        <v>3321</v>
      </c>
      <c r="AA231" s="468" t="s">
        <v>2503</v>
      </c>
      <c r="AB231" s="468" t="s">
        <v>3288</v>
      </c>
      <c r="AC231" s="442" t="s">
        <v>1803</v>
      </c>
      <c r="AD231" s="442" t="s">
        <v>1804</v>
      </c>
      <c r="AE231" s="442" t="s">
        <v>3379</v>
      </c>
      <c r="AF231" s="386"/>
      <c r="BA231" s="356" t="s">
        <v>1107</v>
      </c>
      <c r="BB231" s="545" t="s">
        <v>1805</v>
      </c>
      <c r="BC231" s="545" t="s">
        <v>33</v>
      </c>
      <c r="BD231" s="545" t="s">
        <v>1806</v>
      </c>
      <c r="BE231" s="356" t="s">
        <v>145</v>
      </c>
      <c r="BF231" s="421" t="s">
        <v>1807</v>
      </c>
    </row>
    <row r="232" spans="1:58" ht="270">
      <c r="A232" s="356" t="s">
        <v>3419</v>
      </c>
      <c r="B232" s="356"/>
      <c r="C232" s="356"/>
      <c r="D232" s="356"/>
      <c r="E232" s="356" t="s">
        <v>24</v>
      </c>
      <c r="F232" s="468" t="s">
        <v>1289</v>
      </c>
      <c r="G232" s="469" t="s">
        <v>1290</v>
      </c>
      <c r="H232" s="468" t="s">
        <v>1291</v>
      </c>
      <c r="I232" s="468" t="s">
        <v>3420</v>
      </c>
      <c r="J232" s="468" t="s">
        <v>3421</v>
      </c>
      <c r="K232" s="468" t="s">
        <v>3396</v>
      </c>
      <c r="L232" s="468" t="s">
        <v>3397</v>
      </c>
      <c r="M232" s="468" t="s">
        <v>3398</v>
      </c>
      <c r="N232" s="468" t="s">
        <v>3373</v>
      </c>
      <c r="O232" s="468" t="s">
        <v>3374</v>
      </c>
      <c r="P232" s="468" t="s">
        <v>3375</v>
      </c>
      <c r="Q232" s="450" t="s">
        <v>2462</v>
      </c>
      <c r="R232" s="468" t="s">
        <v>1796</v>
      </c>
      <c r="S232" s="468" t="s">
        <v>1797</v>
      </c>
      <c r="T232" s="468" t="s">
        <v>3422</v>
      </c>
      <c r="U232" s="468" t="s">
        <v>3384</v>
      </c>
      <c r="V232" s="468" t="s">
        <v>3346</v>
      </c>
      <c r="W232" s="468" t="s">
        <v>3423</v>
      </c>
      <c r="X232" s="468" t="s">
        <v>1801</v>
      </c>
      <c r="Y232" s="468" t="s">
        <v>2857</v>
      </c>
      <c r="Z232" s="468" t="s">
        <v>3424</v>
      </c>
      <c r="AA232" s="468" t="s">
        <v>2503</v>
      </c>
      <c r="AB232" s="468" t="s">
        <v>3288</v>
      </c>
      <c r="AC232" s="442" t="s">
        <v>1803</v>
      </c>
      <c r="AD232" s="442" t="s">
        <v>1804</v>
      </c>
      <c r="AE232" s="442" t="s">
        <v>3379</v>
      </c>
      <c r="AF232" s="386"/>
      <c r="BA232" s="356" t="s">
        <v>1107</v>
      </c>
      <c r="BB232" s="545" t="s">
        <v>1805</v>
      </c>
      <c r="BC232" s="545" t="s">
        <v>33</v>
      </c>
      <c r="BD232" s="545" t="s">
        <v>1806</v>
      </c>
      <c r="BE232" s="356" t="s">
        <v>145</v>
      </c>
      <c r="BF232" s="421" t="s">
        <v>1807</v>
      </c>
    </row>
    <row r="233" spans="1:58" ht="225">
      <c r="A233" s="356" t="s">
        <v>3425</v>
      </c>
      <c r="B233" s="356"/>
      <c r="C233" s="356"/>
      <c r="D233" s="356"/>
      <c r="E233" s="356" t="s">
        <v>24</v>
      </c>
      <c r="F233" s="468" t="s">
        <v>1292</v>
      </c>
      <c r="G233" s="469" t="s">
        <v>1293</v>
      </c>
      <c r="H233" s="468" t="s">
        <v>1294</v>
      </c>
      <c r="I233" s="468" t="s">
        <v>3426</v>
      </c>
      <c r="J233" s="468" t="s">
        <v>3427</v>
      </c>
      <c r="K233" s="468" t="s">
        <v>3396</v>
      </c>
      <c r="L233" s="468" t="s">
        <v>3397</v>
      </c>
      <c r="M233" s="468" t="s">
        <v>3398</v>
      </c>
      <c r="N233" s="468" t="s">
        <v>3373</v>
      </c>
      <c r="O233" s="468" t="s">
        <v>3374</v>
      </c>
      <c r="P233" s="468" t="s">
        <v>3375</v>
      </c>
      <c r="Q233" s="450" t="s">
        <v>2462</v>
      </c>
      <c r="R233" s="468" t="s">
        <v>1796</v>
      </c>
      <c r="S233" s="468" t="s">
        <v>1797</v>
      </c>
      <c r="T233" s="468" t="s">
        <v>3428</v>
      </c>
      <c r="U233" s="468" t="s">
        <v>3390</v>
      </c>
      <c r="V233" s="468" t="s">
        <v>3346</v>
      </c>
      <c r="W233" s="468" t="s">
        <v>3429</v>
      </c>
      <c r="X233" s="468" t="s">
        <v>1801</v>
      </c>
      <c r="Y233" s="468" t="s">
        <v>2857</v>
      </c>
      <c r="Z233" s="468" t="s">
        <v>3430</v>
      </c>
      <c r="AA233" s="468" t="s">
        <v>2503</v>
      </c>
      <c r="AB233" s="468" t="s">
        <v>3288</v>
      </c>
      <c r="AC233" s="442" t="s">
        <v>1803</v>
      </c>
      <c r="AD233" s="442" t="s">
        <v>1804</v>
      </c>
      <c r="AE233" s="442" t="s">
        <v>3379</v>
      </c>
      <c r="AF233" s="386"/>
      <c r="BA233" s="356" t="s">
        <v>1107</v>
      </c>
      <c r="BB233" s="545" t="s">
        <v>1805</v>
      </c>
      <c r="BC233" s="545" t="s">
        <v>33</v>
      </c>
      <c r="BD233" s="545" t="s">
        <v>1806</v>
      </c>
      <c r="BE233" s="356" t="s">
        <v>145</v>
      </c>
      <c r="BF233" s="421" t="s">
        <v>1807</v>
      </c>
    </row>
    <row r="234" spans="1:58" ht="165">
      <c r="A234" s="356" t="s">
        <v>3431</v>
      </c>
      <c r="B234" s="356"/>
      <c r="C234" s="356"/>
      <c r="D234" s="356"/>
      <c r="E234" s="356" t="s">
        <v>24</v>
      </c>
      <c r="F234" s="468" t="s">
        <v>1295</v>
      </c>
      <c r="G234" s="469" t="s">
        <v>1296</v>
      </c>
      <c r="H234" s="468" t="s">
        <v>1297</v>
      </c>
      <c r="I234" s="468" t="s">
        <v>3432</v>
      </c>
      <c r="J234" s="468" t="s">
        <v>3433</v>
      </c>
      <c r="K234" s="468" t="s">
        <v>3434</v>
      </c>
      <c r="L234" s="468" t="s">
        <v>3435</v>
      </c>
      <c r="M234" s="468" t="s">
        <v>3436</v>
      </c>
      <c r="N234" s="468" t="s">
        <v>3437</v>
      </c>
      <c r="O234" s="468" t="s">
        <v>3438</v>
      </c>
      <c r="P234" s="468" t="s">
        <v>3439</v>
      </c>
      <c r="Q234" s="450" t="s">
        <v>2462</v>
      </c>
      <c r="R234" s="468" t="s">
        <v>2151</v>
      </c>
      <c r="S234" s="468" t="s">
        <v>1797</v>
      </c>
      <c r="T234" s="468" t="s">
        <v>3440</v>
      </c>
      <c r="U234" s="468" t="s">
        <v>3441</v>
      </c>
      <c r="V234" s="468" t="s">
        <v>3442</v>
      </c>
      <c r="W234" s="468" t="s">
        <v>3443</v>
      </c>
      <c r="X234" s="468" t="s">
        <v>1801</v>
      </c>
      <c r="Y234" s="468" t="s">
        <v>2857</v>
      </c>
      <c r="Z234" s="468" t="s">
        <v>3444</v>
      </c>
      <c r="AA234" s="468" t="s">
        <v>2503</v>
      </c>
      <c r="AB234" s="468" t="s">
        <v>3288</v>
      </c>
      <c r="AC234" s="442" t="s">
        <v>1803</v>
      </c>
      <c r="AD234" s="442" t="s">
        <v>1804</v>
      </c>
      <c r="AE234" s="442"/>
      <c r="AF234" s="386"/>
      <c r="BA234" s="356" t="s">
        <v>1107</v>
      </c>
      <c r="BB234" s="545" t="s">
        <v>1805</v>
      </c>
      <c r="BC234" s="545" t="s">
        <v>33</v>
      </c>
      <c r="BD234" s="545" t="s">
        <v>1806</v>
      </c>
      <c r="BE234" s="356" t="s">
        <v>145</v>
      </c>
      <c r="BF234" s="421" t="s">
        <v>1807</v>
      </c>
    </row>
    <row r="235" spans="1:58" ht="165">
      <c r="A235" s="356" t="s">
        <v>3445</v>
      </c>
      <c r="B235" s="356"/>
      <c r="C235" s="356"/>
      <c r="D235" s="356"/>
      <c r="E235" s="356" t="s">
        <v>24</v>
      </c>
      <c r="F235" s="468" t="s">
        <v>1298</v>
      </c>
      <c r="G235" s="469" t="s">
        <v>1299</v>
      </c>
      <c r="H235" s="468" t="s">
        <v>1300</v>
      </c>
      <c r="I235" s="468" t="s">
        <v>3446</v>
      </c>
      <c r="J235" s="468" t="s">
        <v>3447</v>
      </c>
      <c r="K235" s="468" t="s">
        <v>3448</v>
      </c>
      <c r="L235" s="468" t="s">
        <v>3449</v>
      </c>
      <c r="M235" s="468" t="s">
        <v>3450</v>
      </c>
      <c r="N235" s="468" t="s">
        <v>3451</v>
      </c>
      <c r="O235" s="468" t="s">
        <v>3452</v>
      </c>
      <c r="P235" s="468" t="s">
        <v>3453</v>
      </c>
      <c r="Q235" s="450" t="s">
        <v>2462</v>
      </c>
      <c r="R235" s="468" t="s">
        <v>2151</v>
      </c>
      <c r="S235" s="468" t="s">
        <v>1797</v>
      </c>
      <c r="T235" s="468" t="s">
        <v>3454</v>
      </c>
      <c r="U235" s="468" t="s">
        <v>3455</v>
      </c>
      <c r="V235" s="468" t="s">
        <v>3442</v>
      </c>
      <c r="W235" s="468" t="s">
        <v>3456</v>
      </c>
      <c r="X235" s="468" t="s">
        <v>1801</v>
      </c>
      <c r="Y235" s="468" t="s">
        <v>2857</v>
      </c>
      <c r="Z235" s="468" t="s">
        <v>3457</v>
      </c>
      <c r="AA235" s="468" t="s">
        <v>2503</v>
      </c>
      <c r="AB235" s="468" t="s">
        <v>3288</v>
      </c>
      <c r="AC235" s="442" t="s">
        <v>1803</v>
      </c>
      <c r="AD235" s="442" t="s">
        <v>1804</v>
      </c>
      <c r="AE235" s="442"/>
      <c r="AF235" s="386"/>
      <c r="BA235" s="356" t="s">
        <v>1107</v>
      </c>
      <c r="BB235" s="545" t="s">
        <v>1805</v>
      </c>
      <c r="BC235" s="545" t="s">
        <v>33</v>
      </c>
      <c r="BD235" s="545" t="s">
        <v>1806</v>
      </c>
      <c r="BE235" s="356" t="s">
        <v>145</v>
      </c>
      <c r="BF235" s="421" t="s">
        <v>1807</v>
      </c>
    </row>
    <row r="236" spans="1:58" ht="150">
      <c r="A236" s="356" t="s">
        <v>3458</v>
      </c>
      <c r="B236" s="356"/>
      <c r="C236" s="356"/>
      <c r="D236" s="356"/>
      <c r="E236" s="356" t="s">
        <v>24</v>
      </c>
      <c r="F236" s="468" t="s">
        <v>1301</v>
      </c>
      <c r="G236" s="469" t="s">
        <v>1302</v>
      </c>
      <c r="H236" s="468" t="s">
        <v>1303</v>
      </c>
      <c r="I236" s="468" t="s">
        <v>3459</v>
      </c>
      <c r="J236" s="468" t="s">
        <v>3460</v>
      </c>
      <c r="K236" s="468" t="s">
        <v>3461</v>
      </c>
      <c r="L236" s="468" t="s">
        <v>3462</v>
      </c>
      <c r="M236" s="468" t="s">
        <v>3463</v>
      </c>
      <c r="N236" s="468" t="s">
        <v>3464</v>
      </c>
      <c r="O236" s="468" t="s">
        <v>3465</v>
      </c>
      <c r="P236" s="468" t="s">
        <v>3466</v>
      </c>
      <c r="Q236" s="450" t="s">
        <v>2462</v>
      </c>
      <c r="R236" s="468" t="s">
        <v>2151</v>
      </c>
      <c r="S236" s="468" t="s">
        <v>1797</v>
      </c>
      <c r="T236" s="468" t="s">
        <v>3467</v>
      </c>
      <c r="U236" s="468" t="s">
        <v>3468</v>
      </c>
      <c r="V236" s="468" t="s">
        <v>3442</v>
      </c>
      <c r="W236" s="468" t="s">
        <v>3469</v>
      </c>
      <c r="X236" s="468" t="s">
        <v>1801</v>
      </c>
      <c r="Y236" s="468" t="s">
        <v>2857</v>
      </c>
      <c r="Z236" s="468" t="s">
        <v>3470</v>
      </c>
      <c r="AA236" s="468" t="s">
        <v>2503</v>
      </c>
      <c r="AB236" s="468" t="s">
        <v>3288</v>
      </c>
      <c r="AC236" s="442" t="s">
        <v>1803</v>
      </c>
      <c r="AD236" s="442" t="s">
        <v>1804</v>
      </c>
      <c r="AE236" s="442"/>
      <c r="AF236" s="386"/>
      <c r="BA236" s="356" t="s">
        <v>1107</v>
      </c>
      <c r="BB236" s="545" t="s">
        <v>1805</v>
      </c>
      <c r="BC236" s="545" t="s">
        <v>33</v>
      </c>
      <c r="BD236" s="545" t="s">
        <v>1806</v>
      </c>
      <c r="BE236" s="356" t="s">
        <v>145</v>
      </c>
      <c r="BF236" s="421" t="s">
        <v>1807</v>
      </c>
    </row>
    <row r="237" spans="1:58" ht="165">
      <c r="A237" s="356" t="s">
        <v>3471</v>
      </c>
      <c r="B237" s="356"/>
      <c r="C237" s="356"/>
      <c r="D237" s="356"/>
      <c r="E237" s="356" t="s">
        <v>24</v>
      </c>
      <c r="F237" s="468" t="s">
        <v>1304</v>
      </c>
      <c r="G237" s="469" t="s">
        <v>1305</v>
      </c>
      <c r="H237" s="468" t="s">
        <v>1306</v>
      </c>
      <c r="I237" s="468" t="s">
        <v>3472</v>
      </c>
      <c r="J237" s="468" t="s">
        <v>3473</v>
      </c>
      <c r="K237" s="468" t="s">
        <v>3474</v>
      </c>
      <c r="L237" s="468" t="s">
        <v>3475</v>
      </c>
      <c r="M237" s="468" t="s">
        <v>3476</v>
      </c>
      <c r="N237" s="468" t="s">
        <v>3477</v>
      </c>
      <c r="O237" s="468" t="s">
        <v>3478</v>
      </c>
      <c r="P237" s="468" t="s">
        <v>3479</v>
      </c>
      <c r="Q237" s="450" t="s">
        <v>2462</v>
      </c>
      <c r="R237" s="468" t="s">
        <v>2151</v>
      </c>
      <c r="S237" s="468" t="s">
        <v>1797</v>
      </c>
      <c r="T237" s="468" t="s">
        <v>3480</v>
      </c>
      <c r="U237" s="468" t="s">
        <v>3481</v>
      </c>
      <c r="V237" s="468" t="s">
        <v>3442</v>
      </c>
      <c r="W237" s="468" t="s">
        <v>3482</v>
      </c>
      <c r="X237" s="468" t="s">
        <v>1801</v>
      </c>
      <c r="Y237" s="468" t="s">
        <v>2857</v>
      </c>
      <c r="Z237" s="468" t="s">
        <v>3444</v>
      </c>
      <c r="AA237" s="468" t="s">
        <v>2503</v>
      </c>
      <c r="AB237" s="468" t="s">
        <v>3288</v>
      </c>
      <c r="AC237" s="442" t="s">
        <v>1803</v>
      </c>
      <c r="AD237" s="442" t="s">
        <v>1804</v>
      </c>
      <c r="AE237" s="442"/>
      <c r="AF237" s="386"/>
      <c r="BA237" s="356" t="s">
        <v>1107</v>
      </c>
      <c r="BB237" s="545" t="s">
        <v>1805</v>
      </c>
      <c r="BC237" s="545" t="s">
        <v>33</v>
      </c>
      <c r="BD237" s="545" t="s">
        <v>1806</v>
      </c>
      <c r="BE237" s="356" t="s">
        <v>145</v>
      </c>
      <c r="BF237" s="421" t="s">
        <v>1807</v>
      </c>
    </row>
    <row r="238" spans="1:58" ht="165">
      <c r="A238" s="356" t="s">
        <v>3483</v>
      </c>
      <c r="B238" s="356"/>
      <c r="C238" s="356"/>
      <c r="D238" s="356"/>
      <c r="E238" s="356" t="s">
        <v>24</v>
      </c>
      <c r="F238" s="468" t="s">
        <v>1307</v>
      </c>
      <c r="G238" s="469" t="s">
        <v>1308</v>
      </c>
      <c r="H238" s="468" t="s">
        <v>1309</v>
      </c>
      <c r="I238" s="468" t="s">
        <v>3484</v>
      </c>
      <c r="J238" s="468" t="s">
        <v>3485</v>
      </c>
      <c r="K238" s="468" t="s">
        <v>3474</v>
      </c>
      <c r="L238" s="468" t="s">
        <v>3475</v>
      </c>
      <c r="M238" s="468" t="s">
        <v>3476</v>
      </c>
      <c r="N238" s="468" t="s">
        <v>3486</v>
      </c>
      <c r="O238" s="468" t="s">
        <v>3487</v>
      </c>
      <c r="P238" s="468" t="s">
        <v>3488</v>
      </c>
      <c r="Q238" s="450" t="s">
        <v>2462</v>
      </c>
      <c r="R238" s="468" t="s">
        <v>2151</v>
      </c>
      <c r="S238" s="468" t="s">
        <v>1797</v>
      </c>
      <c r="T238" s="468" t="s">
        <v>3489</v>
      </c>
      <c r="U238" s="468" t="s">
        <v>3481</v>
      </c>
      <c r="V238" s="468" t="s">
        <v>3442</v>
      </c>
      <c r="W238" s="468" t="s">
        <v>3490</v>
      </c>
      <c r="X238" s="468" t="s">
        <v>1801</v>
      </c>
      <c r="Y238" s="468" t="s">
        <v>2857</v>
      </c>
      <c r="Z238" s="468" t="s">
        <v>3457</v>
      </c>
      <c r="AA238" s="468" t="s">
        <v>2503</v>
      </c>
      <c r="AB238" s="468" t="s">
        <v>3288</v>
      </c>
      <c r="AC238" s="442" t="s">
        <v>1803</v>
      </c>
      <c r="AD238" s="442" t="s">
        <v>1804</v>
      </c>
      <c r="AE238" s="442"/>
      <c r="AF238" s="386"/>
      <c r="BA238" s="356" t="s">
        <v>1107</v>
      </c>
      <c r="BB238" s="545" t="s">
        <v>1805</v>
      </c>
      <c r="BC238" s="545" t="s">
        <v>33</v>
      </c>
      <c r="BD238" s="545" t="s">
        <v>1806</v>
      </c>
      <c r="BE238" s="356" t="s">
        <v>145</v>
      </c>
      <c r="BF238" s="421" t="s">
        <v>1807</v>
      </c>
    </row>
    <row r="239" spans="1:58" ht="409.5">
      <c r="A239" s="356" t="s">
        <v>3491</v>
      </c>
      <c r="B239" s="356"/>
      <c r="C239" s="356"/>
      <c r="D239" s="356"/>
      <c r="E239" s="356" t="s">
        <v>24</v>
      </c>
      <c r="F239" s="468" t="s">
        <v>1310</v>
      </c>
      <c r="G239" s="469" t="s">
        <v>1311</v>
      </c>
      <c r="H239" s="468" t="s">
        <v>1312</v>
      </c>
      <c r="I239" s="468" t="s">
        <v>3492</v>
      </c>
      <c r="J239" s="468" t="s">
        <v>3493</v>
      </c>
      <c r="K239" s="468" t="s">
        <v>3494</v>
      </c>
      <c r="L239" s="468" t="s">
        <v>3495</v>
      </c>
      <c r="M239" s="468" t="s">
        <v>3496</v>
      </c>
      <c r="N239" s="468" t="s">
        <v>3497</v>
      </c>
      <c r="O239" s="470" t="s">
        <v>3081</v>
      </c>
      <c r="P239" s="470" t="s">
        <v>3082</v>
      </c>
      <c r="Q239" s="450" t="s">
        <v>2462</v>
      </c>
      <c r="R239" s="468" t="s">
        <v>3498</v>
      </c>
      <c r="S239" s="468" t="s">
        <v>1797</v>
      </c>
      <c r="T239" s="468" t="s">
        <v>3499</v>
      </c>
      <c r="U239" s="468" t="s">
        <v>3500</v>
      </c>
      <c r="V239" s="468" t="s">
        <v>3501</v>
      </c>
      <c r="W239" s="468" t="s">
        <v>3502</v>
      </c>
      <c r="X239" s="468" t="s">
        <v>1801</v>
      </c>
      <c r="Y239" s="468" t="s">
        <v>2857</v>
      </c>
      <c r="Z239" s="468" t="s">
        <v>3503</v>
      </c>
      <c r="AA239" s="468" t="s">
        <v>2503</v>
      </c>
      <c r="AB239" s="468" t="s">
        <v>3288</v>
      </c>
      <c r="AC239" s="442" t="s">
        <v>1803</v>
      </c>
      <c r="AD239" s="442" t="s">
        <v>1804</v>
      </c>
      <c r="AE239" s="442"/>
      <c r="AF239" s="386"/>
      <c r="BA239" s="356" t="s">
        <v>1107</v>
      </c>
      <c r="BB239" s="545" t="s">
        <v>1805</v>
      </c>
      <c r="BC239" s="545" t="s">
        <v>33</v>
      </c>
      <c r="BD239" s="545" t="s">
        <v>1806</v>
      </c>
      <c r="BE239" s="356" t="s">
        <v>145</v>
      </c>
      <c r="BF239" s="421" t="s">
        <v>1807</v>
      </c>
    </row>
    <row r="240" spans="1:58" ht="409.5">
      <c r="A240" s="356" t="s">
        <v>3504</v>
      </c>
      <c r="B240" s="356"/>
      <c r="C240" s="356"/>
      <c r="D240" s="356"/>
      <c r="E240" s="356" t="s">
        <v>24</v>
      </c>
      <c r="F240" s="468" t="s">
        <v>1313</v>
      </c>
      <c r="G240" s="469" t="s">
        <v>1314</v>
      </c>
      <c r="H240" s="468" t="s">
        <v>1315</v>
      </c>
      <c r="I240" s="468" t="s">
        <v>3505</v>
      </c>
      <c r="J240" s="468" t="s">
        <v>3506</v>
      </c>
      <c r="K240" s="468" t="s">
        <v>3507</v>
      </c>
      <c r="L240" s="468" t="s">
        <v>3508</v>
      </c>
      <c r="M240" s="468" t="s">
        <v>3509</v>
      </c>
      <c r="N240" s="468" t="s">
        <v>3510</v>
      </c>
      <c r="O240" s="470" t="s">
        <v>3081</v>
      </c>
      <c r="P240" s="470" t="s">
        <v>3082</v>
      </c>
      <c r="Q240" s="450" t="s">
        <v>2462</v>
      </c>
      <c r="R240" s="468" t="s">
        <v>3498</v>
      </c>
      <c r="S240" s="468" t="s">
        <v>1797</v>
      </c>
      <c r="T240" s="468" t="s">
        <v>3511</v>
      </c>
      <c r="U240" s="468" t="s">
        <v>3512</v>
      </c>
      <c r="V240" s="468" t="s">
        <v>3501</v>
      </c>
      <c r="W240" s="468" t="s">
        <v>3513</v>
      </c>
      <c r="X240" s="468" t="s">
        <v>1801</v>
      </c>
      <c r="Y240" s="468" t="s">
        <v>2857</v>
      </c>
      <c r="Z240" s="468" t="s">
        <v>3503</v>
      </c>
      <c r="AA240" s="468" t="s">
        <v>2503</v>
      </c>
      <c r="AB240" s="468" t="s">
        <v>3288</v>
      </c>
      <c r="AC240" s="442" t="s">
        <v>1803</v>
      </c>
      <c r="AD240" s="442" t="s">
        <v>1804</v>
      </c>
      <c r="AE240" s="442"/>
      <c r="AF240" s="386"/>
      <c r="BA240" s="356" t="s">
        <v>1107</v>
      </c>
      <c r="BB240" s="545" t="s">
        <v>1805</v>
      </c>
      <c r="BC240" s="545" t="s">
        <v>33</v>
      </c>
      <c r="BD240" s="545" t="s">
        <v>1806</v>
      </c>
      <c r="BE240" s="356" t="s">
        <v>145</v>
      </c>
      <c r="BF240" s="421" t="s">
        <v>1807</v>
      </c>
    </row>
    <row r="241" spans="1:101" ht="210">
      <c r="A241" s="356" t="s">
        <v>3514</v>
      </c>
      <c r="B241" s="356"/>
      <c r="C241" s="356"/>
      <c r="D241" s="356"/>
      <c r="E241" s="356" t="s">
        <v>24</v>
      </c>
      <c r="F241" s="468" t="s">
        <v>1316</v>
      </c>
      <c r="G241" s="468" t="s">
        <v>1317</v>
      </c>
      <c r="H241" s="468" t="s">
        <v>1318</v>
      </c>
      <c r="I241" s="468" t="s">
        <v>3515</v>
      </c>
      <c r="J241" s="468" t="s">
        <v>3516</v>
      </c>
      <c r="K241" s="468" t="s">
        <v>1342</v>
      </c>
      <c r="L241" s="468" t="s">
        <v>3517</v>
      </c>
      <c r="M241" s="468" t="s">
        <v>3518</v>
      </c>
      <c r="N241" s="468" t="s">
        <v>3519</v>
      </c>
      <c r="O241" s="470" t="s">
        <v>3520</v>
      </c>
      <c r="P241" s="470" t="s">
        <v>3521</v>
      </c>
      <c r="Q241" s="466" t="s">
        <v>1795</v>
      </c>
      <c r="R241" s="468" t="s">
        <v>3498</v>
      </c>
      <c r="S241" s="468" t="s">
        <v>1844</v>
      </c>
      <c r="T241" s="468" t="s">
        <v>3522</v>
      </c>
      <c r="U241" s="468" t="s">
        <v>3523</v>
      </c>
      <c r="V241" s="468" t="s">
        <v>3524</v>
      </c>
      <c r="W241" s="468" t="s">
        <v>3525</v>
      </c>
      <c r="X241" s="468" t="s">
        <v>1801</v>
      </c>
      <c r="Y241" s="468" t="s">
        <v>2857</v>
      </c>
      <c r="Z241" s="468" t="s">
        <v>3526</v>
      </c>
      <c r="AA241" s="468" t="s">
        <v>2503</v>
      </c>
      <c r="AB241" s="468" t="s">
        <v>3244</v>
      </c>
      <c r="AC241" s="442" t="s">
        <v>1803</v>
      </c>
      <c r="AD241" s="442" t="s">
        <v>3527</v>
      </c>
      <c r="AE241" s="442"/>
      <c r="AF241" s="386"/>
      <c r="BA241" s="356" t="s">
        <v>1107</v>
      </c>
      <c r="BB241" s="545" t="s">
        <v>1805</v>
      </c>
      <c r="BC241" s="545" t="s">
        <v>33</v>
      </c>
      <c r="BD241" s="545" t="s">
        <v>1806</v>
      </c>
      <c r="BE241" s="356" t="s">
        <v>145</v>
      </c>
      <c r="BF241" s="421" t="s">
        <v>1807</v>
      </c>
    </row>
    <row r="242" spans="1:101" ht="210">
      <c r="A242" s="356" t="s">
        <v>3528</v>
      </c>
      <c r="B242" s="356"/>
      <c r="C242" s="356"/>
      <c r="D242" s="356"/>
      <c r="E242" s="356" t="s">
        <v>24</v>
      </c>
      <c r="F242" s="468" t="s">
        <v>1319</v>
      </c>
      <c r="G242" s="469" t="s">
        <v>1320</v>
      </c>
      <c r="H242" s="468" t="s">
        <v>1321</v>
      </c>
      <c r="I242" s="468" t="s">
        <v>3529</v>
      </c>
      <c r="J242" s="468" t="s">
        <v>3530</v>
      </c>
      <c r="K242" s="468" t="s">
        <v>1342</v>
      </c>
      <c r="L242" s="468" t="s">
        <v>3517</v>
      </c>
      <c r="M242" s="468" t="s">
        <v>3518</v>
      </c>
      <c r="N242" s="468" t="s">
        <v>3519</v>
      </c>
      <c r="O242" s="470" t="s">
        <v>3520</v>
      </c>
      <c r="P242" s="470" t="s">
        <v>3521</v>
      </c>
      <c r="Q242" s="466" t="s">
        <v>1795</v>
      </c>
      <c r="R242" s="468" t="s">
        <v>3498</v>
      </c>
      <c r="S242" s="468" t="s">
        <v>1844</v>
      </c>
      <c r="T242" s="468" t="s">
        <v>3531</v>
      </c>
      <c r="U242" s="468" t="s">
        <v>3532</v>
      </c>
      <c r="V242" s="468" t="s">
        <v>3524</v>
      </c>
      <c r="W242" s="468" t="s">
        <v>3533</v>
      </c>
      <c r="X242" s="468" t="s">
        <v>1801</v>
      </c>
      <c r="Y242" s="468" t="s">
        <v>2857</v>
      </c>
      <c r="Z242" s="468" t="s">
        <v>3534</v>
      </c>
      <c r="AA242" s="468" t="s">
        <v>2503</v>
      </c>
      <c r="AB242" s="468" t="s">
        <v>3244</v>
      </c>
      <c r="AC242" s="442" t="s">
        <v>1803</v>
      </c>
      <c r="AD242" s="442" t="s">
        <v>3527</v>
      </c>
      <c r="AE242" s="442"/>
      <c r="AF242" s="386"/>
      <c r="BA242" s="356" t="s">
        <v>1107</v>
      </c>
      <c r="BB242" s="545" t="s">
        <v>1805</v>
      </c>
      <c r="BC242" s="545" t="s">
        <v>33</v>
      </c>
      <c r="BD242" s="545" t="s">
        <v>1806</v>
      </c>
      <c r="BE242" s="356" t="s">
        <v>145</v>
      </c>
      <c r="BF242" s="421" t="s">
        <v>1807</v>
      </c>
    </row>
    <row r="243" spans="1:101" ht="225">
      <c r="A243" s="356" t="s">
        <v>3535</v>
      </c>
      <c r="B243" s="356"/>
      <c r="C243" s="356"/>
      <c r="D243" s="356"/>
      <c r="E243" s="356" t="s">
        <v>24</v>
      </c>
      <c r="F243" s="468" t="s">
        <v>1322</v>
      </c>
      <c r="G243" s="469" t="s">
        <v>1323</v>
      </c>
      <c r="H243" s="468" t="s">
        <v>1324</v>
      </c>
      <c r="I243" s="468" t="s">
        <v>3536</v>
      </c>
      <c r="J243" s="468" t="s">
        <v>3537</v>
      </c>
      <c r="K243" s="468" t="s">
        <v>3145</v>
      </c>
      <c r="L243" s="468" t="s">
        <v>3146</v>
      </c>
      <c r="M243" s="468" t="s">
        <v>3147</v>
      </c>
      <c r="N243" s="468" t="s">
        <v>3538</v>
      </c>
      <c r="O243" s="468" t="s">
        <v>3539</v>
      </c>
      <c r="P243" s="468" t="s">
        <v>3540</v>
      </c>
      <c r="Q243" s="466" t="s">
        <v>1795</v>
      </c>
      <c r="R243" s="468" t="s">
        <v>2151</v>
      </c>
      <c r="S243" s="468" t="s">
        <v>1797</v>
      </c>
      <c r="T243" s="468" t="s">
        <v>3541</v>
      </c>
      <c r="U243" s="468" t="s">
        <v>3012</v>
      </c>
      <c r="V243" s="468" t="s">
        <v>3542</v>
      </c>
      <c r="W243" s="468" t="s">
        <v>3543</v>
      </c>
      <c r="X243" s="468" t="s">
        <v>1801</v>
      </c>
      <c r="Y243" s="468" t="s">
        <v>2857</v>
      </c>
      <c r="Z243" s="468" t="s">
        <v>3544</v>
      </c>
      <c r="AA243" s="468" t="s">
        <v>2503</v>
      </c>
      <c r="AB243" s="468" t="s">
        <v>3155</v>
      </c>
      <c r="AC243" s="442" t="s">
        <v>1803</v>
      </c>
      <c r="AD243" s="442" t="s">
        <v>1804</v>
      </c>
      <c r="AE243" s="442"/>
      <c r="AF243" s="386"/>
      <c r="BA243" s="356" t="s">
        <v>1107</v>
      </c>
      <c r="BB243" s="545" t="s">
        <v>1805</v>
      </c>
      <c r="BC243" s="545" t="s">
        <v>33</v>
      </c>
      <c r="BD243" s="545" t="s">
        <v>1806</v>
      </c>
      <c r="BE243" s="356" t="s">
        <v>145</v>
      </c>
      <c r="BF243" s="421" t="s">
        <v>1807</v>
      </c>
    </row>
    <row r="244" spans="1:101" ht="240">
      <c r="A244" s="356" t="s">
        <v>3545</v>
      </c>
      <c r="B244" s="356"/>
      <c r="C244" s="356"/>
      <c r="D244" s="356"/>
      <c r="E244" s="356" t="s">
        <v>24</v>
      </c>
      <c r="F244" s="468" t="s">
        <v>1325</v>
      </c>
      <c r="G244" s="469" t="s">
        <v>1326</v>
      </c>
      <c r="H244" s="468" t="s">
        <v>1327</v>
      </c>
      <c r="I244" s="468" t="s">
        <v>3546</v>
      </c>
      <c r="J244" s="468" t="s">
        <v>3547</v>
      </c>
      <c r="K244" s="468" t="s">
        <v>3145</v>
      </c>
      <c r="L244" s="468" t="s">
        <v>3146</v>
      </c>
      <c r="M244" s="468" t="s">
        <v>3147</v>
      </c>
      <c r="N244" s="468" t="s">
        <v>3548</v>
      </c>
      <c r="O244" s="468" t="s">
        <v>3549</v>
      </c>
      <c r="P244" s="468" t="s">
        <v>3550</v>
      </c>
      <c r="Q244" s="466" t="s">
        <v>1795</v>
      </c>
      <c r="R244" s="468" t="s">
        <v>2151</v>
      </c>
      <c r="S244" s="468" t="s">
        <v>1797</v>
      </c>
      <c r="T244" s="468" t="s">
        <v>3551</v>
      </c>
      <c r="U244" s="468" t="s">
        <v>3012</v>
      </c>
      <c r="V244" s="468" t="s">
        <v>3542</v>
      </c>
      <c r="W244" s="468" t="s">
        <v>3552</v>
      </c>
      <c r="X244" s="468" t="s">
        <v>1801</v>
      </c>
      <c r="Y244" s="468" t="s">
        <v>2857</v>
      </c>
      <c r="Z244" s="468" t="s">
        <v>3553</v>
      </c>
      <c r="AA244" s="468" t="s">
        <v>2503</v>
      </c>
      <c r="AB244" s="468" t="s">
        <v>3155</v>
      </c>
      <c r="AC244" s="442" t="s">
        <v>1803</v>
      </c>
      <c r="AD244" s="442" t="s">
        <v>1804</v>
      </c>
      <c r="AE244" s="442"/>
      <c r="AF244" s="386"/>
      <c r="BA244" s="356" t="s">
        <v>1107</v>
      </c>
      <c r="BB244" s="545" t="s">
        <v>1805</v>
      </c>
      <c r="BC244" s="545" t="s">
        <v>33</v>
      </c>
      <c r="BD244" s="545" t="s">
        <v>1806</v>
      </c>
      <c r="BE244" s="356" t="s">
        <v>145</v>
      </c>
      <c r="BF244" s="421" t="s">
        <v>1807</v>
      </c>
    </row>
    <row r="245" spans="1:101" ht="150">
      <c r="A245" s="356" t="s">
        <v>3554</v>
      </c>
      <c r="B245" s="356"/>
      <c r="C245" s="356"/>
      <c r="D245" s="356"/>
      <c r="E245" s="471" t="s">
        <v>24</v>
      </c>
      <c r="F245" s="472" t="s">
        <v>3555</v>
      </c>
      <c r="G245" s="471" t="s">
        <v>1329</v>
      </c>
      <c r="H245" s="472" t="s">
        <v>1330</v>
      </c>
      <c r="I245" s="473" t="s">
        <v>3556</v>
      </c>
      <c r="J245" s="474" t="s">
        <v>3556</v>
      </c>
      <c r="K245" s="475" t="s">
        <v>3557</v>
      </c>
      <c r="L245" s="475" t="s">
        <v>3558</v>
      </c>
      <c r="M245" s="476" t="s">
        <v>3559</v>
      </c>
      <c r="N245" s="472" t="s">
        <v>3560</v>
      </c>
      <c r="O245" s="472" t="s">
        <v>3316</v>
      </c>
      <c r="P245" s="472" t="s">
        <v>3325</v>
      </c>
      <c r="Q245" s="450" t="s">
        <v>2462</v>
      </c>
      <c r="R245" s="472" t="s">
        <v>1796</v>
      </c>
      <c r="S245" s="472" t="s">
        <v>1797</v>
      </c>
      <c r="T245" s="472" t="s">
        <v>3561</v>
      </c>
      <c r="U245" s="472" t="s">
        <v>3307</v>
      </c>
      <c r="V245" s="472" t="s">
        <v>3319</v>
      </c>
      <c r="W245" s="472" t="s">
        <v>3562</v>
      </c>
      <c r="X245" s="472" t="s">
        <v>1801</v>
      </c>
      <c r="Y245" s="472" t="s">
        <v>2857</v>
      </c>
      <c r="Z245" s="472" t="s">
        <v>2503</v>
      </c>
      <c r="AA245" s="472" t="s">
        <v>2503</v>
      </c>
      <c r="AB245" s="472" t="s">
        <v>3288</v>
      </c>
      <c r="AC245" s="472" t="s">
        <v>1803</v>
      </c>
      <c r="AD245" s="472" t="s">
        <v>1804</v>
      </c>
      <c r="AE245" s="442"/>
      <c r="AF245" s="386"/>
      <c r="BA245" s="356" t="s">
        <v>1107</v>
      </c>
      <c r="BB245" s="545" t="s">
        <v>1805</v>
      </c>
      <c r="BC245" s="545" t="s">
        <v>33</v>
      </c>
      <c r="BD245" s="545" t="s">
        <v>1806</v>
      </c>
      <c r="BE245" s="356" t="s">
        <v>145</v>
      </c>
      <c r="BF245" s="421" t="s">
        <v>1807</v>
      </c>
    </row>
    <row r="246" spans="1:101" ht="227.25">
      <c r="A246" s="356" t="s">
        <v>3563</v>
      </c>
      <c r="B246" s="356"/>
      <c r="C246" s="356"/>
      <c r="D246" s="356"/>
      <c r="E246" s="471" t="s">
        <v>24</v>
      </c>
      <c r="F246" s="472" t="s">
        <v>1331</v>
      </c>
      <c r="G246" s="471" t="s">
        <v>1332</v>
      </c>
      <c r="H246" s="472" t="s">
        <v>1333</v>
      </c>
      <c r="I246" s="473" t="s">
        <v>3564</v>
      </c>
      <c r="J246" s="473" t="s">
        <v>3565</v>
      </c>
      <c r="K246" s="475" t="s">
        <v>3557</v>
      </c>
      <c r="L246" s="475" t="s">
        <v>3558</v>
      </c>
      <c r="M246" s="476" t="s">
        <v>3559</v>
      </c>
      <c r="N246" s="472" t="s">
        <v>3560</v>
      </c>
      <c r="O246" s="472" t="s">
        <v>3316</v>
      </c>
      <c r="P246" s="472" t="s">
        <v>3325</v>
      </c>
      <c r="Q246" s="450" t="s">
        <v>2462</v>
      </c>
      <c r="R246" s="472" t="s">
        <v>1796</v>
      </c>
      <c r="S246" s="472" t="s">
        <v>1797</v>
      </c>
      <c r="T246" s="472" t="s">
        <v>3566</v>
      </c>
      <c r="U246" s="472" t="s">
        <v>3307</v>
      </c>
      <c r="V246" s="472" t="s">
        <v>3319</v>
      </c>
      <c r="W246" s="472" t="s">
        <v>3567</v>
      </c>
      <c r="X246" s="472" t="s">
        <v>1801</v>
      </c>
      <c r="Y246" s="472" t="s">
        <v>2857</v>
      </c>
      <c r="Z246" s="477" t="s">
        <v>3568</v>
      </c>
      <c r="AA246" s="472" t="s">
        <v>2503</v>
      </c>
      <c r="AB246" s="472" t="s">
        <v>3288</v>
      </c>
      <c r="AC246" s="472" t="s">
        <v>1803</v>
      </c>
      <c r="AD246" s="472" t="s">
        <v>1804</v>
      </c>
      <c r="AE246" s="442"/>
      <c r="AF246" s="386"/>
      <c r="BA246" s="356" t="s">
        <v>1107</v>
      </c>
      <c r="BB246" s="545" t="s">
        <v>1805</v>
      </c>
      <c r="BC246" s="545" t="s">
        <v>33</v>
      </c>
      <c r="BD246" s="545" t="s">
        <v>1806</v>
      </c>
      <c r="BE246" s="356" t="s">
        <v>145</v>
      </c>
      <c r="BF246" s="421" t="s">
        <v>1807</v>
      </c>
    </row>
    <row r="247" spans="1:101" ht="150">
      <c r="A247" s="356" t="s">
        <v>3569</v>
      </c>
      <c r="B247" s="356"/>
      <c r="C247" s="356"/>
      <c r="D247" s="356"/>
      <c r="E247" s="471" t="s">
        <v>24</v>
      </c>
      <c r="F247" s="472" t="s">
        <v>1334</v>
      </c>
      <c r="G247" s="471" t="s">
        <v>1335</v>
      </c>
      <c r="H247" s="472" t="s">
        <v>1336</v>
      </c>
      <c r="I247" s="473" t="s">
        <v>3570</v>
      </c>
      <c r="J247" s="473" t="s">
        <v>3571</v>
      </c>
      <c r="K247" s="475" t="s">
        <v>3557</v>
      </c>
      <c r="L247" s="475" t="s">
        <v>3558</v>
      </c>
      <c r="M247" s="476" t="s">
        <v>3559</v>
      </c>
      <c r="N247" s="472" t="s">
        <v>3560</v>
      </c>
      <c r="O247" s="472" t="s">
        <v>3316</v>
      </c>
      <c r="P247" s="472" t="s">
        <v>3325</v>
      </c>
      <c r="Q247" s="450" t="s">
        <v>2462</v>
      </c>
      <c r="R247" s="472" t="s">
        <v>1796</v>
      </c>
      <c r="S247" s="472" t="s">
        <v>1797</v>
      </c>
      <c r="T247" s="472" t="s">
        <v>3572</v>
      </c>
      <c r="U247" s="472" t="s">
        <v>3573</v>
      </c>
      <c r="V247" s="472" t="s">
        <v>3346</v>
      </c>
      <c r="W247" s="472" t="s">
        <v>3574</v>
      </c>
      <c r="X247" s="472" t="s">
        <v>1801</v>
      </c>
      <c r="Y247" s="472" t="s">
        <v>3575</v>
      </c>
      <c r="Z247" s="477" t="s">
        <v>3576</v>
      </c>
      <c r="AA247" s="472" t="s">
        <v>2503</v>
      </c>
      <c r="AB247" s="472" t="s">
        <v>3288</v>
      </c>
      <c r="AC247" s="472" t="s">
        <v>1803</v>
      </c>
      <c r="AD247" s="472" t="s">
        <v>1804</v>
      </c>
      <c r="AE247" s="442"/>
      <c r="AF247" s="386"/>
      <c r="BA247" s="356" t="s">
        <v>1107</v>
      </c>
      <c r="BB247" s="545" t="s">
        <v>1805</v>
      </c>
      <c r="BC247" s="545" t="s">
        <v>33</v>
      </c>
      <c r="BD247" s="545" t="s">
        <v>1806</v>
      </c>
      <c r="BE247" s="356" t="s">
        <v>145</v>
      </c>
      <c r="BF247" s="421" t="s">
        <v>1807</v>
      </c>
    </row>
    <row r="248" spans="1:101" ht="150">
      <c r="A248" s="356" t="s">
        <v>3577</v>
      </c>
      <c r="B248" s="356"/>
      <c r="C248" s="356"/>
      <c r="D248" s="356"/>
      <c r="E248" s="471" t="s">
        <v>24</v>
      </c>
      <c r="F248" s="472" t="s">
        <v>1337</v>
      </c>
      <c r="G248" s="471" t="s">
        <v>1338</v>
      </c>
      <c r="H248" s="472" t="s">
        <v>1339</v>
      </c>
      <c r="I248" s="473" t="s">
        <v>3578</v>
      </c>
      <c r="J248" s="473" t="s">
        <v>3579</v>
      </c>
      <c r="K248" s="475" t="s">
        <v>3396</v>
      </c>
      <c r="L248" s="475" t="s">
        <v>3580</v>
      </c>
      <c r="M248" s="476" t="s">
        <v>3581</v>
      </c>
      <c r="N248" s="472" t="s">
        <v>3560</v>
      </c>
      <c r="O248" s="472" t="s">
        <v>3316</v>
      </c>
      <c r="P248" s="472" t="s">
        <v>3325</v>
      </c>
      <c r="Q248" s="450" t="s">
        <v>2462</v>
      </c>
      <c r="R248" s="472" t="s">
        <v>1796</v>
      </c>
      <c r="S248" s="472" t="s">
        <v>1797</v>
      </c>
      <c r="T248" s="472" t="s">
        <v>3582</v>
      </c>
      <c r="U248" s="472" t="s">
        <v>3573</v>
      </c>
      <c r="V248" s="472" t="s">
        <v>3346</v>
      </c>
      <c r="W248" s="472" t="s">
        <v>3583</v>
      </c>
      <c r="X248" s="472" t="s">
        <v>1801</v>
      </c>
      <c r="Y248" s="472" t="s">
        <v>2857</v>
      </c>
      <c r="Z248" s="477" t="s">
        <v>3576</v>
      </c>
      <c r="AA248" s="472" t="s">
        <v>2503</v>
      </c>
      <c r="AB248" s="472" t="s">
        <v>3288</v>
      </c>
      <c r="AC248" s="472" t="s">
        <v>1803</v>
      </c>
      <c r="AD248" s="472" t="s">
        <v>1804</v>
      </c>
      <c r="AE248" s="442"/>
      <c r="AF248" s="386"/>
      <c r="BA248" s="356" t="s">
        <v>1107</v>
      </c>
      <c r="BB248" s="545" t="s">
        <v>1805</v>
      </c>
      <c r="BC248" s="545" t="s">
        <v>33</v>
      </c>
      <c r="BD248" s="545" t="s">
        <v>1806</v>
      </c>
      <c r="BE248" s="356" t="s">
        <v>145</v>
      </c>
      <c r="BF248" s="421" t="s">
        <v>1807</v>
      </c>
    </row>
    <row r="249" spans="1:101" ht="150">
      <c r="A249" s="356" t="s">
        <v>3584</v>
      </c>
      <c r="B249" s="356"/>
      <c r="C249" s="356"/>
      <c r="D249" s="356"/>
      <c r="E249" s="471" t="s">
        <v>24</v>
      </c>
      <c r="F249" s="472" t="s">
        <v>1340</v>
      </c>
      <c r="G249" s="471" t="s">
        <v>1341</v>
      </c>
      <c r="H249" s="477" t="s">
        <v>1342</v>
      </c>
      <c r="I249" s="478" t="s">
        <v>3517</v>
      </c>
      <c r="J249" s="478" t="s">
        <v>3585</v>
      </c>
      <c r="K249" s="477" t="s">
        <v>1433</v>
      </c>
      <c r="L249" s="478" t="s">
        <v>3517</v>
      </c>
      <c r="M249" s="478" t="s">
        <v>3585</v>
      </c>
      <c r="N249" s="477" t="s">
        <v>3586</v>
      </c>
      <c r="O249" s="479" t="s">
        <v>3520</v>
      </c>
      <c r="P249" s="479" t="s">
        <v>3521</v>
      </c>
      <c r="Q249" s="466" t="s">
        <v>1795</v>
      </c>
      <c r="R249" s="477" t="s">
        <v>3587</v>
      </c>
      <c r="S249" s="477" t="s">
        <v>1797</v>
      </c>
      <c r="T249" s="472" t="s">
        <v>3588</v>
      </c>
      <c r="U249" s="472" t="s">
        <v>3589</v>
      </c>
      <c r="V249" s="472" t="s">
        <v>3590</v>
      </c>
      <c r="W249" s="472" t="s">
        <v>3591</v>
      </c>
      <c r="X249" s="477" t="s">
        <v>1801</v>
      </c>
      <c r="Y249" s="472" t="s">
        <v>2857</v>
      </c>
      <c r="Z249" s="477" t="s">
        <v>3592</v>
      </c>
      <c r="AA249" s="472" t="s">
        <v>2503</v>
      </c>
      <c r="AB249" s="472" t="s">
        <v>3593</v>
      </c>
      <c r="AC249" s="477" t="s">
        <v>1803</v>
      </c>
      <c r="AD249" s="472" t="s">
        <v>1804</v>
      </c>
      <c r="AE249" s="442"/>
      <c r="AF249" s="386"/>
      <c r="BA249" s="356" t="s">
        <v>1107</v>
      </c>
      <c r="BB249" s="545" t="s">
        <v>1805</v>
      </c>
      <c r="BC249" s="545" t="s">
        <v>33</v>
      </c>
      <c r="BD249" s="545" t="s">
        <v>1806</v>
      </c>
      <c r="BE249" s="356" t="s">
        <v>145</v>
      </c>
      <c r="BF249" s="421" t="s">
        <v>1807</v>
      </c>
    </row>
    <row r="250" spans="1:101" ht="150">
      <c r="A250" s="356" t="s">
        <v>3594</v>
      </c>
      <c r="B250" s="356"/>
      <c r="C250" s="356"/>
      <c r="D250" s="356"/>
      <c r="E250" s="471" t="s">
        <v>24</v>
      </c>
      <c r="F250" s="472" t="s">
        <v>1343</v>
      </c>
      <c r="G250" s="476" t="s">
        <v>1344</v>
      </c>
      <c r="H250" s="472" t="s">
        <v>1345</v>
      </c>
      <c r="I250" s="472" t="s">
        <v>3595</v>
      </c>
      <c r="J250" s="472" t="s">
        <v>3596</v>
      </c>
      <c r="K250" s="472" t="s">
        <v>3597</v>
      </c>
      <c r="L250" s="472" t="s">
        <v>3598</v>
      </c>
      <c r="M250" s="472" t="s">
        <v>3599</v>
      </c>
      <c r="N250" s="472" t="s">
        <v>3600</v>
      </c>
      <c r="O250" s="472" t="s">
        <v>3601</v>
      </c>
      <c r="P250" s="472" t="s">
        <v>3602</v>
      </c>
      <c r="Q250" s="466" t="s">
        <v>1795</v>
      </c>
      <c r="R250" s="472" t="s">
        <v>2930</v>
      </c>
      <c r="S250" s="472" t="s">
        <v>1797</v>
      </c>
      <c r="T250" s="472" t="s">
        <v>3603</v>
      </c>
      <c r="U250" s="472" t="s">
        <v>3604</v>
      </c>
      <c r="V250" s="472" t="s">
        <v>3605</v>
      </c>
      <c r="W250" s="472" t="s">
        <v>3606</v>
      </c>
      <c r="X250" s="472" t="s">
        <v>1801</v>
      </c>
      <c r="Y250" s="472" t="s">
        <v>2503</v>
      </c>
      <c r="Z250" s="472" t="s">
        <v>2934</v>
      </c>
      <c r="AA250" s="472" t="s">
        <v>2503</v>
      </c>
      <c r="AB250" s="472" t="s">
        <v>3607</v>
      </c>
      <c r="AC250" s="472" t="s">
        <v>1803</v>
      </c>
      <c r="AD250" s="472" t="s">
        <v>1804</v>
      </c>
      <c r="AE250" s="442"/>
      <c r="AF250" s="386"/>
      <c r="BA250" s="356" t="s">
        <v>1107</v>
      </c>
      <c r="BB250" s="545" t="s">
        <v>1805</v>
      </c>
      <c r="BC250" s="545" t="s">
        <v>33</v>
      </c>
      <c r="BD250" s="545" t="s">
        <v>1806</v>
      </c>
      <c r="BE250" s="356" t="s">
        <v>145</v>
      </c>
      <c r="BF250" s="421" t="s">
        <v>1807</v>
      </c>
    </row>
    <row r="251" spans="1:101" ht="105">
      <c r="A251" s="356" t="s">
        <v>3608</v>
      </c>
      <c r="B251" s="356"/>
      <c r="C251" s="356"/>
      <c r="D251" s="356"/>
      <c r="E251" s="356" t="s">
        <v>24</v>
      </c>
      <c r="F251" s="480" t="s">
        <v>1346</v>
      </c>
      <c r="G251" s="481" t="s">
        <v>1347</v>
      </c>
      <c r="H251" s="480" t="s">
        <v>1348</v>
      </c>
      <c r="I251" s="480" t="s">
        <v>3609</v>
      </c>
      <c r="J251" s="480" t="s">
        <v>3610</v>
      </c>
      <c r="K251" s="480" t="s">
        <v>3277</v>
      </c>
      <c r="L251" s="480" t="s">
        <v>3278</v>
      </c>
      <c r="M251" s="480" t="s">
        <v>3279</v>
      </c>
      <c r="N251" s="480" t="s">
        <v>3611</v>
      </c>
      <c r="O251" s="480" t="s">
        <v>3612</v>
      </c>
      <c r="P251" s="480" t="s">
        <v>3613</v>
      </c>
      <c r="Q251" s="466" t="s">
        <v>1795</v>
      </c>
      <c r="R251" s="480" t="s">
        <v>1796</v>
      </c>
      <c r="S251" s="480" t="s">
        <v>1797</v>
      </c>
      <c r="T251" s="480" t="s">
        <v>3614</v>
      </c>
      <c r="U251" s="480" t="s">
        <v>3307</v>
      </c>
      <c r="V251" s="480" t="s">
        <v>3319</v>
      </c>
      <c r="W251" s="480" t="s">
        <v>3615</v>
      </c>
      <c r="X251" s="480" t="s">
        <v>1801</v>
      </c>
      <c r="Y251" s="480" t="s">
        <v>2857</v>
      </c>
      <c r="Z251" s="480" t="s">
        <v>3616</v>
      </c>
      <c r="AA251" s="480" t="s">
        <v>2503</v>
      </c>
      <c r="AB251" s="480" t="s">
        <v>3617</v>
      </c>
      <c r="AC251" s="442" t="s">
        <v>1804</v>
      </c>
      <c r="AD251" s="442" t="s">
        <v>1804</v>
      </c>
      <c r="AE251" s="442"/>
      <c r="AF251" s="386"/>
      <c r="BA251" s="356" t="s">
        <v>1349</v>
      </c>
      <c r="BB251" s="545" t="s">
        <v>1805</v>
      </c>
      <c r="BC251" s="545" t="s">
        <v>33</v>
      </c>
      <c r="BD251" s="545" t="s">
        <v>1806</v>
      </c>
      <c r="BE251" s="356" t="s">
        <v>145</v>
      </c>
      <c r="BF251" s="421" t="s">
        <v>1807</v>
      </c>
    </row>
    <row r="252" spans="1:101" ht="105">
      <c r="A252" s="356" t="s">
        <v>3618</v>
      </c>
      <c r="B252" s="356"/>
      <c r="C252" s="356"/>
      <c r="D252" s="356"/>
      <c r="E252" s="356" t="s">
        <v>24</v>
      </c>
      <c r="F252" s="480" t="s">
        <v>1350</v>
      </c>
      <c r="G252" s="481" t="s">
        <v>1351</v>
      </c>
      <c r="H252" s="480" t="s">
        <v>1352</v>
      </c>
      <c r="I252" s="480" t="s">
        <v>3619</v>
      </c>
      <c r="J252" s="480" t="s">
        <v>3620</v>
      </c>
      <c r="K252" s="480" t="s">
        <v>3277</v>
      </c>
      <c r="L252" s="480" t="s">
        <v>3278</v>
      </c>
      <c r="M252" s="480" t="s">
        <v>3279</v>
      </c>
      <c r="N252" s="480" t="s">
        <v>3611</v>
      </c>
      <c r="O252" s="480" t="s">
        <v>3612</v>
      </c>
      <c r="P252" s="480" t="s">
        <v>3613</v>
      </c>
      <c r="Q252" s="466" t="s">
        <v>1795</v>
      </c>
      <c r="R252" s="480" t="s">
        <v>1796</v>
      </c>
      <c r="S252" s="480" t="s">
        <v>1797</v>
      </c>
      <c r="T252" s="480" t="s">
        <v>3621</v>
      </c>
      <c r="U252" s="480" t="s">
        <v>3307</v>
      </c>
      <c r="V252" s="480" t="s">
        <v>3319</v>
      </c>
      <c r="W252" s="480" t="s">
        <v>3622</v>
      </c>
      <c r="X252" s="480" t="s">
        <v>1801</v>
      </c>
      <c r="Y252" s="480" t="s">
        <v>2857</v>
      </c>
      <c r="Z252" s="480" t="s">
        <v>3616</v>
      </c>
      <c r="AA252" s="480" t="s">
        <v>2503</v>
      </c>
      <c r="AB252" s="480" t="s">
        <v>3617</v>
      </c>
      <c r="AC252" s="442" t="s">
        <v>1804</v>
      </c>
      <c r="AD252" s="442" t="s">
        <v>1804</v>
      </c>
      <c r="AE252" s="442"/>
      <c r="AF252" s="386"/>
      <c r="BA252" s="356" t="s">
        <v>1349</v>
      </c>
      <c r="BB252" s="545" t="s">
        <v>1805</v>
      </c>
      <c r="BC252" s="545"/>
      <c r="BD252" s="545" t="s">
        <v>1806</v>
      </c>
      <c r="BE252" s="356" t="s">
        <v>145</v>
      </c>
      <c r="BF252" s="421" t="s">
        <v>1807</v>
      </c>
    </row>
    <row r="253" spans="1:101" ht="105">
      <c r="A253" s="356" t="s">
        <v>3623</v>
      </c>
      <c r="B253" s="356"/>
      <c r="C253" s="356"/>
      <c r="D253" s="356"/>
      <c r="E253" s="356" t="s">
        <v>24</v>
      </c>
      <c r="F253" s="480" t="s">
        <v>1353</v>
      </c>
      <c r="G253" s="481" t="s">
        <v>1354</v>
      </c>
      <c r="H253" s="480" t="s">
        <v>1355</v>
      </c>
      <c r="I253" s="480" t="s">
        <v>3624</v>
      </c>
      <c r="J253" s="480" t="s">
        <v>3625</v>
      </c>
      <c r="K253" s="480" t="s">
        <v>3277</v>
      </c>
      <c r="L253" s="480" t="s">
        <v>3278</v>
      </c>
      <c r="M253" s="480" t="s">
        <v>3279</v>
      </c>
      <c r="N253" s="480" t="s">
        <v>3611</v>
      </c>
      <c r="O253" s="480" t="s">
        <v>3612</v>
      </c>
      <c r="P253" s="480" t="s">
        <v>3613</v>
      </c>
      <c r="Q253" s="466" t="s">
        <v>1795</v>
      </c>
      <c r="R253" s="480" t="s">
        <v>1796</v>
      </c>
      <c r="S253" s="480" t="s">
        <v>1824</v>
      </c>
      <c r="T253" s="480" t="s">
        <v>3626</v>
      </c>
      <c r="U253" s="480" t="s">
        <v>3307</v>
      </c>
      <c r="V253" s="480" t="s">
        <v>3308</v>
      </c>
      <c r="W253" s="480" t="s">
        <v>3627</v>
      </c>
      <c r="X253" s="480" t="s">
        <v>1801</v>
      </c>
      <c r="Y253" s="480" t="s">
        <v>2857</v>
      </c>
      <c r="Z253" s="480" t="s">
        <v>3616</v>
      </c>
      <c r="AA253" s="480" t="s">
        <v>2503</v>
      </c>
      <c r="AB253" s="480" t="s">
        <v>3617</v>
      </c>
      <c r="AC253" s="442" t="s">
        <v>1804</v>
      </c>
      <c r="AD253" s="442" t="s">
        <v>1804</v>
      </c>
      <c r="AE253" s="442"/>
      <c r="AF253" s="386"/>
      <c r="BA253" s="356" t="s">
        <v>1349</v>
      </c>
      <c r="BB253" s="545" t="s">
        <v>1805</v>
      </c>
      <c r="BC253" s="545" t="s">
        <v>33</v>
      </c>
      <c r="BD253" s="545" t="s">
        <v>1806</v>
      </c>
      <c r="BE253" s="356" t="s">
        <v>145</v>
      </c>
      <c r="BF253" s="421" t="s">
        <v>1807</v>
      </c>
    </row>
    <row r="254" spans="1:101" ht="105">
      <c r="A254" s="356" t="s">
        <v>3628</v>
      </c>
      <c r="B254" s="356"/>
      <c r="C254" s="356"/>
      <c r="D254" s="356"/>
      <c r="E254" s="356" t="s">
        <v>24</v>
      </c>
      <c r="F254" s="480" t="s">
        <v>1356</v>
      </c>
      <c r="G254" s="481" t="s">
        <v>1357</v>
      </c>
      <c r="H254" s="480" t="s">
        <v>1358</v>
      </c>
      <c r="I254" s="480" t="s">
        <v>3629</v>
      </c>
      <c r="J254" s="480" t="s">
        <v>3630</v>
      </c>
      <c r="K254" s="480" t="s">
        <v>3277</v>
      </c>
      <c r="L254" s="480" t="s">
        <v>3278</v>
      </c>
      <c r="M254" s="480" t="s">
        <v>3279</v>
      </c>
      <c r="N254" s="480" t="s">
        <v>3611</v>
      </c>
      <c r="O254" s="480" t="s">
        <v>3612</v>
      </c>
      <c r="P254" s="480" t="s">
        <v>3613</v>
      </c>
      <c r="Q254" s="466" t="s">
        <v>1795</v>
      </c>
      <c r="R254" s="480" t="s">
        <v>1796</v>
      </c>
      <c r="S254" s="480" t="s">
        <v>1824</v>
      </c>
      <c r="T254" s="480" t="s">
        <v>3631</v>
      </c>
      <c r="U254" s="480" t="s">
        <v>3307</v>
      </c>
      <c r="V254" s="480" t="s">
        <v>3308</v>
      </c>
      <c r="W254" s="480" t="s">
        <v>3632</v>
      </c>
      <c r="X254" s="480" t="s">
        <v>1801</v>
      </c>
      <c r="Y254" s="480" t="s">
        <v>2857</v>
      </c>
      <c r="Z254" s="480" t="s">
        <v>3616</v>
      </c>
      <c r="AA254" s="480" t="s">
        <v>2503</v>
      </c>
      <c r="AB254" s="480" t="s">
        <v>3617</v>
      </c>
      <c r="AC254" s="442" t="s">
        <v>1804</v>
      </c>
      <c r="AD254" s="442" t="s">
        <v>1804</v>
      </c>
      <c r="AE254" s="442"/>
      <c r="AF254" s="386"/>
      <c r="BA254" s="356" t="s">
        <v>1349</v>
      </c>
      <c r="BB254" s="545" t="s">
        <v>1805</v>
      </c>
      <c r="BC254" s="545" t="s">
        <v>33</v>
      </c>
      <c r="BD254" s="545" t="s">
        <v>1806</v>
      </c>
      <c r="BE254" s="356" t="s">
        <v>145</v>
      </c>
      <c r="BF254" s="421" t="s">
        <v>1807</v>
      </c>
    </row>
    <row r="255" spans="1:101" ht="210">
      <c r="A255" s="356" t="s">
        <v>3633</v>
      </c>
      <c r="B255" s="356"/>
      <c r="C255" s="356"/>
      <c r="D255" s="356"/>
      <c r="E255" s="356" t="s">
        <v>24</v>
      </c>
      <c r="F255" s="480" t="s">
        <v>1359</v>
      </c>
      <c r="G255" s="481" t="s">
        <v>1360</v>
      </c>
      <c r="H255" s="480" t="s">
        <v>1361</v>
      </c>
      <c r="I255" s="480" t="s">
        <v>3634</v>
      </c>
      <c r="J255" s="480" t="s">
        <v>3635</v>
      </c>
      <c r="K255" s="480" t="s">
        <v>3277</v>
      </c>
      <c r="L255" s="480" t="s">
        <v>3636</v>
      </c>
      <c r="M255" s="480" t="s">
        <v>3637</v>
      </c>
      <c r="N255" s="480" t="s">
        <v>3638</v>
      </c>
      <c r="O255" s="480" t="s">
        <v>3639</v>
      </c>
      <c r="P255" s="480" t="s">
        <v>3640</v>
      </c>
      <c r="Q255" s="466" t="s">
        <v>1795</v>
      </c>
      <c r="R255" s="480" t="s">
        <v>1796</v>
      </c>
      <c r="S255" s="480" t="s">
        <v>1824</v>
      </c>
      <c r="T255" s="480" t="s">
        <v>3641</v>
      </c>
      <c r="U255" s="480" t="s">
        <v>3307</v>
      </c>
      <c r="V255" s="480" t="s">
        <v>3308</v>
      </c>
      <c r="W255" s="480" t="s">
        <v>3642</v>
      </c>
      <c r="X255" s="480" t="s">
        <v>1801</v>
      </c>
      <c r="Y255" s="480" t="s">
        <v>2857</v>
      </c>
      <c r="Z255" s="480" t="s">
        <v>3643</v>
      </c>
      <c r="AA255" s="480" t="s">
        <v>2503</v>
      </c>
      <c r="AB255" s="480" t="s">
        <v>3644</v>
      </c>
      <c r="AC255" s="442" t="s">
        <v>1804</v>
      </c>
      <c r="AD255" s="442" t="s">
        <v>1804</v>
      </c>
      <c r="AE255" s="442"/>
      <c r="AF255" s="386"/>
      <c r="BA255" s="356" t="s">
        <v>1349</v>
      </c>
      <c r="BB255" s="545" t="s">
        <v>1805</v>
      </c>
      <c r="BC255" s="545" t="s">
        <v>33</v>
      </c>
      <c r="BD255" s="545" t="s">
        <v>1806</v>
      </c>
      <c r="BE255" s="356" t="s">
        <v>145</v>
      </c>
      <c r="BF255" s="421" t="s">
        <v>1807</v>
      </c>
    </row>
    <row r="256" spans="1:101" s="387" customFormat="1" ht="180.6" customHeight="1">
      <c r="A256" s="356" t="s">
        <v>3645</v>
      </c>
      <c r="B256" s="356"/>
      <c r="C256" s="356"/>
      <c r="D256" s="356"/>
      <c r="E256" s="356" t="s">
        <v>24</v>
      </c>
      <c r="F256" s="480" t="s">
        <v>1362</v>
      </c>
      <c r="G256" s="481" t="s">
        <v>1363</v>
      </c>
      <c r="H256" s="480" t="s">
        <v>1364</v>
      </c>
      <c r="I256" s="480" t="s">
        <v>3646</v>
      </c>
      <c r="J256" s="480" t="s">
        <v>3647</v>
      </c>
      <c r="K256" s="480" t="s">
        <v>3338</v>
      </c>
      <c r="L256" s="480" t="s">
        <v>3339</v>
      </c>
      <c r="M256" s="480" t="s">
        <v>3340</v>
      </c>
      <c r="N256" s="480" t="s">
        <v>3611</v>
      </c>
      <c r="O256" s="480" t="s">
        <v>3612</v>
      </c>
      <c r="P256" s="480" t="s">
        <v>3613</v>
      </c>
      <c r="Q256" s="466" t="s">
        <v>1795</v>
      </c>
      <c r="R256" s="480" t="s">
        <v>1796</v>
      </c>
      <c r="S256" s="480" t="s">
        <v>1797</v>
      </c>
      <c r="T256" s="480" t="s">
        <v>3648</v>
      </c>
      <c r="U256" s="480" t="s">
        <v>3649</v>
      </c>
      <c r="V256" s="480" t="s">
        <v>3346</v>
      </c>
      <c r="W256" s="480" t="s">
        <v>3650</v>
      </c>
      <c r="X256" s="480" t="s">
        <v>1801</v>
      </c>
      <c r="Y256" s="480" t="s">
        <v>2857</v>
      </c>
      <c r="Z256" s="480" t="s">
        <v>3616</v>
      </c>
      <c r="AA256" s="480" t="s">
        <v>2503</v>
      </c>
      <c r="AB256" s="480" t="s">
        <v>3617</v>
      </c>
      <c r="AC256" s="442" t="s">
        <v>1803</v>
      </c>
      <c r="AD256" s="442" t="s">
        <v>1804</v>
      </c>
      <c r="AE256" s="442"/>
      <c r="AF256" s="386"/>
      <c r="AG256" s="384"/>
      <c r="AH256" s="384"/>
      <c r="AI256" s="384"/>
      <c r="AJ256" s="384"/>
      <c r="AK256" s="384"/>
      <c r="AL256" s="384"/>
      <c r="AM256" s="384"/>
      <c r="AN256" s="384"/>
      <c r="AO256" s="384"/>
      <c r="AP256" s="384"/>
      <c r="AQ256" s="384"/>
      <c r="AR256" s="384"/>
      <c r="AS256" s="384"/>
      <c r="AT256" s="384"/>
      <c r="AU256" s="384"/>
      <c r="AV256" s="384"/>
      <c r="AW256" s="384"/>
      <c r="AX256" s="384"/>
      <c r="AY256" s="384"/>
      <c r="AZ256" s="384"/>
      <c r="BA256" s="356" t="s">
        <v>1349</v>
      </c>
      <c r="BB256" s="545" t="s">
        <v>1805</v>
      </c>
      <c r="BC256" s="545" t="s">
        <v>33</v>
      </c>
      <c r="BD256" s="545" t="s">
        <v>1806</v>
      </c>
      <c r="BE256" s="356" t="s">
        <v>145</v>
      </c>
      <c r="BF256" s="421" t="s">
        <v>1807</v>
      </c>
      <c r="BG256" s="384"/>
      <c r="BH256" s="384"/>
      <c r="BI256" s="384"/>
      <c r="BJ256" s="384"/>
      <c r="BK256" s="384"/>
      <c r="BL256" s="384"/>
      <c r="BM256" s="384"/>
      <c r="BN256" s="384"/>
      <c r="BO256" s="384"/>
      <c r="BP256" s="384"/>
      <c r="BQ256" s="384"/>
      <c r="BR256" s="384"/>
      <c r="BS256" s="384"/>
      <c r="BT256" s="384"/>
      <c r="BU256" s="384"/>
      <c r="BV256" s="384"/>
      <c r="BW256" s="384"/>
      <c r="BX256" s="384"/>
      <c r="BY256" s="384"/>
      <c r="BZ256" s="384"/>
      <c r="CA256" s="384"/>
      <c r="CB256" s="384"/>
      <c r="CC256" s="384"/>
      <c r="CD256" s="384"/>
      <c r="CE256" s="384"/>
      <c r="CF256" s="384"/>
      <c r="CG256" s="384"/>
      <c r="CH256" s="384"/>
      <c r="CI256" s="384"/>
      <c r="CJ256" s="384"/>
      <c r="CK256" s="384"/>
      <c r="CL256" s="384"/>
      <c r="CM256" s="384"/>
      <c r="CN256" s="384"/>
      <c r="CO256" s="384"/>
      <c r="CP256" s="384"/>
      <c r="CQ256" s="384"/>
      <c r="CR256" s="384"/>
      <c r="CS256" s="384"/>
      <c r="CT256" s="384"/>
      <c r="CU256" s="384"/>
      <c r="CV256" s="384"/>
      <c r="CW256" s="384"/>
    </row>
    <row r="257" spans="1:101" s="387" customFormat="1" ht="180.6" customHeight="1">
      <c r="A257" s="356" t="s">
        <v>3651</v>
      </c>
      <c r="B257" s="356"/>
      <c r="C257" s="356"/>
      <c r="D257" s="356"/>
      <c r="E257" s="356" t="s">
        <v>24</v>
      </c>
      <c r="F257" s="480" t="s">
        <v>1365</v>
      </c>
      <c r="G257" s="481" t="s">
        <v>1366</v>
      </c>
      <c r="H257" s="480" t="s">
        <v>1367</v>
      </c>
      <c r="I257" s="480" t="s">
        <v>3652</v>
      </c>
      <c r="J257" s="480" t="s">
        <v>3653</v>
      </c>
      <c r="K257" s="480" t="s">
        <v>3338</v>
      </c>
      <c r="L257" s="480" t="s">
        <v>3339</v>
      </c>
      <c r="M257" s="480" t="s">
        <v>3340</v>
      </c>
      <c r="N257" s="480" t="s">
        <v>3611</v>
      </c>
      <c r="O257" s="480" t="s">
        <v>3612</v>
      </c>
      <c r="P257" s="480" t="s">
        <v>3613</v>
      </c>
      <c r="Q257" s="466" t="s">
        <v>1795</v>
      </c>
      <c r="R257" s="480" t="s">
        <v>1796</v>
      </c>
      <c r="S257" s="480" t="s">
        <v>1797</v>
      </c>
      <c r="T257" s="480" t="s">
        <v>3654</v>
      </c>
      <c r="U257" s="480" t="s">
        <v>3655</v>
      </c>
      <c r="V257" s="480" t="s">
        <v>3346</v>
      </c>
      <c r="W257" s="480" t="s">
        <v>3656</v>
      </c>
      <c r="X257" s="480" t="s">
        <v>1801</v>
      </c>
      <c r="Y257" s="480" t="s">
        <v>2857</v>
      </c>
      <c r="Z257" s="480" t="s">
        <v>3616</v>
      </c>
      <c r="AA257" s="480" t="s">
        <v>2503</v>
      </c>
      <c r="AB257" s="480" t="s">
        <v>3617</v>
      </c>
      <c r="AC257" s="442" t="s">
        <v>1803</v>
      </c>
      <c r="AD257" s="442" t="s">
        <v>1804</v>
      </c>
      <c r="AE257" s="442"/>
      <c r="AF257" s="386"/>
      <c r="AG257" s="384"/>
      <c r="AH257" s="384"/>
      <c r="AI257" s="384"/>
      <c r="AJ257" s="384"/>
      <c r="AK257" s="384"/>
      <c r="AL257" s="384"/>
      <c r="AM257" s="384"/>
      <c r="AN257" s="384"/>
      <c r="AO257" s="384"/>
      <c r="AP257" s="384"/>
      <c r="AQ257" s="384"/>
      <c r="AR257" s="384"/>
      <c r="AS257" s="384"/>
      <c r="AT257" s="384"/>
      <c r="AU257" s="384"/>
      <c r="AV257" s="384"/>
      <c r="AW257" s="384"/>
      <c r="AX257" s="384"/>
      <c r="AY257" s="384"/>
      <c r="AZ257" s="384"/>
      <c r="BA257" s="356" t="s">
        <v>1349</v>
      </c>
      <c r="BB257" s="545" t="s">
        <v>1805</v>
      </c>
      <c r="BC257" s="545" t="s">
        <v>33</v>
      </c>
      <c r="BD257" s="545" t="s">
        <v>1806</v>
      </c>
      <c r="BE257" s="356" t="s">
        <v>145</v>
      </c>
      <c r="BF257" s="421" t="s">
        <v>1807</v>
      </c>
      <c r="BG257" s="384"/>
      <c r="BH257" s="384"/>
      <c r="BI257" s="384"/>
      <c r="BJ257" s="384"/>
      <c r="BK257" s="384"/>
      <c r="BL257" s="384"/>
      <c r="BM257" s="384"/>
      <c r="BN257" s="384"/>
      <c r="BO257" s="384"/>
      <c r="BP257" s="384"/>
      <c r="BQ257" s="384"/>
      <c r="BR257" s="384"/>
      <c r="BS257" s="384"/>
      <c r="BT257" s="384"/>
      <c r="BU257" s="384"/>
      <c r="BV257" s="384"/>
      <c r="BW257" s="384"/>
      <c r="BX257" s="384"/>
      <c r="BY257" s="384"/>
      <c r="BZ257" s="384"/>
      <c r="CA257" s="384"/>
      <c r="CB257" s="384"/>
      <c r="CC257" s="384"/>
      <c r="CD257" s="384"/>
      <c r="CE257" s="384"/>
      <c r="CF257" s="384"/>
      <c r="CG257" s="384"/>
      <c r="CH257" s="384"/>
      <c r="CI257" s="384"/>
      <c r="CJ257" s="384"/>
      <c r="CK257" s="384"/>
      <c r="CL257" s="384"/>
      <c r="CM257" s="384"/>
      <c r="CN257" s="384"/>
      <c r="CO257" s="384"/>
      <c r="CP257" s="384"/>
      <c r="CQ257" s="384"/>
      <c r="CR257" s="384"/>
      <c r="CS257" s="384"/>
      <c r="CT257" s="384"/>
      <c r="CU257" s="384"/>
      <c r="CV257" s="384"/>
      <c r="CW257" s="384"/>
    </row>
    <row r="258" spans="1:101" s="387" customFormat="1" ht="180.6" customHeight="1">
      <c r="A258" s="356" t="s">
        <v>3657</v>
      </c>
      <c r="B258" s="356"/>
      <c r="C258" s="356"/>
      <c r="D258" s="356"/>
      <c r="E258" s="356" t="s">
        <v>145</v>
      </c>
      <c r="F258" s="442" t="s">
        <v>1368</v>
      </c>
      <c r="G258" s="443" t="s">
        <v>1369</v>
      </c>
      <c r="H258" s="442" t="s">
        <v>1370</v>
      </c>
      <c r="I258" s="442" t="s">
        <v>3658</v>
      </c>
      <c r="J258" s="442" t="s">
        <v>3659</v>
      </c>
      <c r="K258" s="442" t="s">
        <v>3338</v>
      </c>
      <c r="L258" s="442" t="s">
        <v>3339</v>
      </c>
      <c r="M258" s="442" t="s">
        <v>3340</v>
      </c>
      <c r="N258" s="442" t="s">
        <v>3660</v>
      </c>
      <c r="O258" s="442" t="s">
        <v>3661</v>
      </c>
      <c r="P258" s="442" t="s">
        <v>3662</v>
      </c>
      <c r="Q258" s="466" t="s">
        <v>1795</v>
      </c>
      <c r="R258" s="442" t="s">
        <v>1796</v>
      </c>
      <c r="S258" s="442" t="s">
        <v>1824</v>
      </c>
      <c r="T258" s="442" t="s">
        <v>3663</v>
      </c>
      <c r="U258" s="442" t="s">
        <v>3664</v>
      </c>
      <c r="V258" s="442" t="s">
        <v>2896</v>
      </c>
      <c r="W258" s="442" t="s">
        <v>3665</v>
      </c>
      <c r="X258" s="442" t="s">
        <v>1801</v>
      </c>
      <c r="Y258" s="442" t="s">
        <v>3666</v>
      </c>
      <c r="Z258" s="442" t="s">
        <v>3667</v>
      </c>
      <c r="AA258" s="442" t="s">
        <v>3668</v>
      </c>
      <c r="AB258" s="442" t="s">
        <v>3669</v>
      </c>
      <c r="AC258" s="442" t="s">
        <v>1803</v>
      </c>
      <c r="AD258" s="442" t="s">
        <v>1804</v>
      </c>
      <c r="AE258" s="442"/>
      <c r="AF258" s="386"/>
      <c r="AG258" s="384"/>
      <c r="AH258" s="384"/>
      <c r="AI258" s="384"/>
      <c r="AJ258" s="384"/>
      <c r="AK258" s="384"/>
      <c r="AL258" s="384"/>
      <c r="AM258" s="384"/>
      <c r="AN258" s="384"/>
      <c r="AO258" s="384"/>
      <c r="AP258" s="384"/>
      <c r="AQ258" s="384"/>
      <c r="AR258" s="384"/>
      <c r="AS258" s="384"/>
      <c r="AT258" s="384"/>
      <c r="AU258" s="384"/>
      <c r="AV258" s="384"/>
      <c r="AW258" s="384"/>
      <c r="AX258" s="384"/>
      <c r="AY258" s="384"/>
      <c r="AZ258" s="384"/>
      <c r="BA258" s="356" t="s">
        <v>1349</v>
      </c>
      <c r="BB258" s="545" t="s">
        <v>1805</v>
      </c>
      <c r="BC258" s="545" t="s">
        <v>33</v>
      </c>
      <c r="BD258" s="545" t="s">
        <v>1806</v>
      </c>
      <c r="BE258" s="356" t="s">
        <v>145</v>
      </c>
      <c r="BF258" s="421" t="s">
        <v>1807</v>
      </c>
      <c r="BG258" s="384"/>
      <c r="BH258" s="384"/>
      <c r="BI258" s="384"/>
      <c r="BJ258" s="384"/>
      <c r="BK258" s="384"/>
      <c r="BL258" s="384"/>
      <c r="BM258" s="384"/>
      <c r="BN258" s="384"/>
      <c r="BO258" s="384"/>
      <c r="BP258" s="384"/>
      <c r="BQ258" s="384"/>
      <c r="BR258" s="384"/>
      <c r="BS258" s="384"/>
      <c r="BT258" s="384"/>
      <c r="BU258" s="384"/>
      <c r="BV258" s="384"/>
      <c r="BW258" s="384"/>
      <c r="BX258" s="384"/>
      <c r="BY258" s="384"/>
      <c r="BZ258" s="384"/>
      <c r="CA258" s="384"/>
      <c r="CB258" s="384"/>
      <c r="CC258" s="384"/>
      <c r="CD258" s="384"/>
      <c r="CE258" s="384"/>
      <c r="CF258" s="384"/>
      <c r="CG258" s="384"/>
      <c r="CH258" s="384"/>
      <c r="CI258" s="384"/>
      <c r="CJ258" s="384"/>
      <c r="CK258" s="384"/>
      <c r="CL258" s="384"/>
      <c r="CM258" s="384"/>
      <c r="CN258" s="384"/>
      <c r="CO258" s="384"/>
      <c r="CP258" s="384"/>
      <c r="CQ258" s="384"/>
      <c r="CR258" s="384"/>
      <c r="CS258" s="384"/>
      <c r="CT258" s="384"/>
      <c r="CU258" s="384"/>
      <c r="CV258" s="384"/>
      <c r="CW258" s="384"/>
    </row>
    <row r="259" spans="1:101" s="387" customFormat="1" ht="122.45" customHeight="1">
      <c r="A259" s="356" t="s">
        <v>3670</v>
      </c>
      <c r="B259" s="356"/>
      <c r="C259" s="356"/>
      <c r="D259" s="356"/>
      <c r="E259" s="356" t="s">
        <v>145</v>
      </c>
      <c r="F259" s="442" t="s">
        <v>1371</v>
      </c>
      <c r="G259" s="443" t="s">
        <v>1372</v>
      </c>
      <c r="H259" s="442" t="s">
        <v>1373</v>
      </c>
      <c r="I259" s="442" t="s">
        <v>3671</v>
      </c>
      <c r="J259" s="442" t="s">
        <v>3672</v>
      </c>
      <c r="K259" s="442" t="s">
        <v>3338</v>
      </c>
      <c r="L259" s="442" t="s">
        <v>3339</v>
      </c>
      <c r="M259" s="442" t="s">
        <v>3340</v>
      </c>
      <c r="N259" s="442" t="s">
        <v>3660</v>
      </c>
      <c r="O259" s="442" t="s">
        <v>3661</v>
      </c>
      <c r="P259" s="442" t="s">
        <v>3662</v>
      </c>
      <c r="Q259" s="466" t="s">
        <v>1795</v>
      </c>
      <c r="R259" s="442" t="s">
        <v>1796</v>
      </c>
      <c r="S259" s="442" t="s">
        <v>1824</v>
      </c>
      <c r="T259" s="442" t="s">
        <v>3673</v>
      </c>
      <c r="U259" s="442" t="s">
        <v>3664</v>
      </c>
      <c r="V259" s="442" t="s">
        <v>2896</v>
      </c>
      <c r="W259" s="442" t="s">
        <v>3674</v>
      </c>
      <c r="X259" s="442" t="s">
        <v>1801</v>
      </c>
      <c r="Y259" s="442" t="s">
        <v>3675</v>
      </c>
      <c r="Z259" s="442" t="s">
        <v>3676</v>
      </c>
      <c r="AA259" s="442" t="s">
        <v>3668</v>
      </c>
      <c r="AB259" s="442" t="s">
        <v>3669</v>
      </c>
      <c r="AC259" s="442" t="s">
        <v>1803</v>
      </c>
      <c r="AD259" s="442" t="s">
        <v>1804</v>
      </c>
      <c r="AE259" s="442"/>
      <c r="AF259" s="386"/>
      <c r="AG259" s="384"/>
      <c r="AH259" s="384"/>
      <c r="AI259" s="384"/>
      <c r="AJ259" s="384"/>
      <c r="AK259" s="384"/>
      <c r="AL259" s="384"/>
      <c r="AM259" s="384"/>
      <c r="AN259" s="384"/>
      <c r="AO259" s="384"/>
      <c r="AP259" s="384"/>
      <c r="AQ259" s="384"/>
      <c r="AR259" s="384"/>
      <c r="AS259" s="384"/>
      <c r="AT259" s="384"/>
      <c r="AU259" s="384"/>
      <c r="AV259" s="384"/>
      <c r="AW259" s="384"/>
      <c r="AX259" s="384"/>
      <c r="AY259" s="384"/>
      <c r="AZ259" s="384"/>
      <c r="BA259" s="356" t="s">
        <v>1349</v>
      </c>
      <c r="BB259" s="545" t="s">
        <v>1805</v>
      </c>
      <c r="BC259" s="545" t="s">
        <v>33</v>
      </c>
      <c r="BD259" s="545" t="s">
        <v>1806</v>
      </c>
      <c r="BE259" s="356" t="s">
        <v>145</v>
      </c>
      <c r="BF259" s="421" t="s">
        <v>1807</v>
      </c>
      <c r="BG259" s="384"/>
      <c r="BH259" s="384"/>
      <c r="BI259" s="384"/>
      <c r="BJ259" s="384"/>
      <c r="BK259" s="384"/>
      <c r="BL259" s="384"/>
      <c r="BM259" s="384"/>
      <c r="BN259" s="384"/>
      <c r="BO259" s="384"/>
      <c r="BP259" s="384"/>
      <c r="BQ259" s="384"/>
      <c r="BR259" s="384"/>
      <c r="BS259" s="384"/>
      <c r="BT259" s="384"/>
      <c r="BU259" s="384"/>
      <c r="BV259" s="384"/>
      <c r="BW259" s="384"/>
      <c r="BX259" s="384"/>
      <c r="BY259" s="384"/>
      <c r="BZ259" s="384"/>
      <c r="CA259" s="384"/>
      <c r="CB259" s="384"/>
      <c r="CC259" s="384"/>
      <c r="CD259" s="384"/>
      <c r="CE259" s="384"/>
      <c r="CF259" s="384"/>
      <c r="CG259" s="384"/>
      <c r="CH259" s="384"/>
      <c r="CI259" s="384"/>
      <c r="CJ259" s="384"/>
      <c r="CK259" s="384"/>
      <c r="CL259" s="384"/>
      <c r="CM259" s="384"/>
      <c r="CN259" s="384"/>
      <c r="CO259" s="384"/>
      <c r="CP259" s="384"/>
      <c r="CQ259" s="384"/>
      <c r="CR259" s="384"/>
      <c r="CS259" s="384"/>
      <c r="CT259" s="384"/>
      <c r="CU259" s="384"/>
      <c r="CV259" s="384"/>
      <c r="CW259" s="384"/>
    </row>
    <row r="260" spans="1:101" s="387" customFormat="1" ht="122.45" customHeight="1">
      <c r="A260" s="356" t="s">
        <v>3677</v>
      </c>
      <c r="B260" s="356"/>
      <c r="C260" s="356"/>
      <c r="D260" s="356"/>
      <c r="E260" s="356" t="s">
        <v>145</v>
      </c>
      <c r="F260" s="442" t="s">
        <v>1374</v>
      </c>
      <c r="G260" s="442" t="s">
        <v>1375</v>
      </c>
      <c r="H260" s="442" t="s">
        <v>1376</v>
      </c>
      <c r="I260" s="442" t="s">
        <v>3678</v>
      </c>
      <c r="J260" s="442" t="s">
        <v>3679</v>
      </c>
      <c r="K260" s="442" t="s">
        <v>3338</v>
      </c>
      <c r="L260" s="442" t="s">
        <v>3339</v>
      </c>
      <c r="M260" s="442" t="s">
        <v>3340</v>
      </c>
      <c r="N260" s="442" t="s">
        <v>3660</v>
      </c>
      <c r="O260" s="442" t="s">
        <v>3661</v>
      </c>
      <c r="P260" s="442" t="s">
        <v>3662</v>
      </c>
      <c r="Q260" s="466" t="s">
        <v>1795</v>
      </c>
      <c r="R260" s="442" t="s">
        <v>1796</v>
      </c>
      <c r="S260" s="442" t="s">
        <v>1824</v>
      </c>
      <c r="T260" s="442" t="s">
        <v>3680</v>
      </c>
      <c r="U260" s="442" t="s">
        <v>3664</v>
      </c>
      <c r="V260" s="442" t="s">
        <v>3681</v>
      </c>
      <c r="W260" s="442" t="s">
        <v>3682</v>
      </c>
      <c r="X260" s="442" t="s">
        <v>1801</v>
      </c>
      <c r="Y260" s="442" t="s">
        <v>3683</v>
      </c>
      <c r="Z260" s="442" t="s">
        <v>3684</v>
      </c>
      <c r="AA260" s="442" t="s">
        <v>3668</v>
      </c>
      <c r="AB260" s="442" t="s">
        <v>3685</v>
      </c>
      <c r="AC260" s="442" t="s">
        <v>1803</v>
      </c>
      <c r="AD260" s="442" t="s">
        <v>1804</v>
      </c>
      <c r="AE260" s="442"/>
      <c r="AF260" s="386"/>
      <c r="AG260" s="384"/>
      <c r="AH260" s="384"/>
      <c r="AI260" s="384"/>
      <c r="AJ260" s="384"/>
      <c r="AK260" s="384"/>
      <c r="AL260" s="384"/>
      <c r="AM260" s="384"/>
      <c r="AN260" s="384"/>
      <c r="AO260" s="384"/>
      <c r="AP260" s="384"/>
      <c r="AQ260" s="384"/>
      <c r="AR260" s="384"/>
      <c r="AS260" s="384"/>
      <c r="AT260" s="384"/>
      <c r="AU260" s="384"/>
      <c r="AV260" s="384"/>
      <c r="AW260" s="384"/>
      <c r="AX260" s="384"/>
      <c r="AY260" s="384"/>
      <c r="AZ260" s="384"/>
      <c r="BA260" s="356" t="s">
        <v>1349</v>
      </c>
      <c r="BB260" s="545" t="s">
        <v>1805</v>
      </c>
      <c r="BC260" s="545" t="s">
        <v>33</v>
      </c>
      <c r="BD260" s="545" t="s">
        <v>1806</v>
      </c>
      <c r="BE260" s="356" t="s">
        <v>145</v>
      </c>
      <c r="BF260" s="421" t="s">
        <v>1807</v>
      </c>
      <c r="BG260" s="384"/>
      <c r="BH260" s="384"/>
      <c r="BI260" s="384"/>
      <c r="BJ260" s="384"/>
      <c r="BK260" s="384"/>
      <c r="BL260" s="384"/>
      <c r="BM260" s="384"/>
      <c r="BN260" s="384"/>
      <c r="BO260" s="384"/>
      <c r="BP260" s="384"/>
      <c r="BQ260" s="384"/>
      <c r="BR260" s="384"/>
      <c r="BS260" s="384"/>
      <c r="BT260" s="384"/>
      <c r="BU260" s="384"/>
      <c r="BV260" s="384"/>
      <c r="BW260" s="384"/>
      <c r="BX260" s="384"/>
      <c r="BY260" s="384"/>
      <c r="BZ260" s="384"/>
      <c r="CA260" s="384"/>
      <c r="CB260" s="384"/>
      <c r="CC260" s="384"/>
      <c r="CD260" s="384"/>
      <c r="CE260" s="384"/>
      <c r="CF260" s="384"/>
      <c r="CG260" s="384"/>
      <c r="CH260" s="384"/>
      <c r="CI260" s="384"/>
      <c r="CJ260" s="384"/>
      <c r="CK260" s="384"/>
      <c r="CL260" s="384"/>
      <c r="CM260" s="384"/>
      <c r="CN260" s="384"/>
      <c r="CO260" s="384"/>
      <c r="CP260" s="384"/>
      <c r="CQ260" s="384"/>
      <c r="CR260" s="384"/>
      <c r="CS260" s="384"/>
      <c r="CT260" s="384"/>
      <c r="CU260" s="384"/>
      <c r="CV260" s="384"/>
      <c r="CW260" s="384"/>
    </row>
    <row r="261" spans="1:101" s="387" customFormat="1" ht="122.45" customHeight="1">
      <c r="A261" s="356" t="s">
        <v>3686</v>
      </c>
      <c r="B261" s="356"/>
      <c r="C261" s="356"/>
      <c r="D261" s="356"/>
      <c r="E261" s="356" t="s">
        <v>24</v>
      </c>
      <c r="F261" s="482" t="s">
        <v>1377</v>
      </c>
      <c r="G261" s="483" t="s">
        <v>1378</v>
      </c>
      <c r="H261" s="482" t="s">
        <v>1379</v>
      </c>
      <c r="I261" s="482" t="s">
        <v>3687</v>
      </c>
      <c r="J261" s="482" t="s">
        <v>3688</v>
      </c>
      <c r="K261" s="482" t="s">
        <v>3396</v>
      </c>
      <c r="L261" s="482" t="s">
        <v>3397</v>
      </c>
      <c r="M261" s="482" t="s">
        <v>3398</v>
      </c>
      <c r="N261" s="482" t="s">
        <v>3611</v>
      </c>
      <c r="O261" s="482" t="s">
        <v>3612</v>
      </c>
      <c r="P261" s="482" t="s">
        <v>3613</v>
      </c>
      <c r="Q261" s="466" t="s">
        <v>1795</v>
      </c>
      <c r="R261" s="482" t="s">
        <v>1796</v>
      </c>
      <c r="S261" s="482" t="s">
        <v>1797</v>
      </c>
      <c r="T261" s="482" t="s">
        <v>3689</v>
      </c>
      <c r="U261" s="482" t="s">
        <v>3649</v>
      </c>
      <c r="V261" s="482" t="s">
        <v>3346</v>
      </c>
      <c r="W261" s="482" t="s">
        <v>3690</v>
      </c>
      <c r="X261" s="482" t="s">
        <v>1801</v>
      </c>
      <c r="Y261" s="482" t="s">
        <v>2857</v>
      </c>
      <c r="Z261" s="482" t="s">
        <v>3616</v>
      </c>
      <c r="AA261" s="482" t="s">
        <v>2503</v>
      </c>
      <c r="AB261" s="482" t="s">
        <v>3617</v>
      </c>
      <c r="AC261" s="442" t="s">
        <v>1803</v>
      </c>
      <c r="AD261" s="442" t="s">
        <v>1804</v>
      </c>
      <c r="AE261" s="442"/>
      <c r="AF261" s="386"/>
      <c r="AG261" s="384"/>
      <c r="AH261" s="384"/>
      <c r="AI261" s="384"/>
      <c r="AJ261" s="384"/>
      <c r="AK261" s="384"/>
      <c r="AL261" s="384"/>
      <c r="AM261" s="384"/>
      <c r="AN261" s="384"/>
      <c r="AO261" s="384"/>
      <c r="AP261" s="384"/>
      <c r="AQ261" s="384"/>
      <c r="AR261" s="384"/>
      <c r="AS261" s="384"/>
      <c r="AT261" s="384"/>
      <c r="AU261" s="384"/>
      <c r="AV261" s="384"/>
      <c r="AW261" s="384"/>
      <c r="AX261" s="384"/>
      <c r="AY261" s="384"/>
      <c r="AZ261" s="384"/>
      <c r="BA261" s="356" t="s">
        <v>1349</v>
      </c>
      <c r="BB261" s="545" t="s">
        <v>1805</v>
      </c>
      <c r="BC261" s="545" t="s">
        <v>33</v>
      </c>
      <c r="BD261" s="545" t="s">
        <v>1806</v>
      </c>
      <c r="BE261" s="356" t="s">
        <v>145</v>
      </c>
      <c r="BF261" s="421" t="s">
        <v>1807</v>
      </c>
      <c r="BG261" s="384"/>
      <c r="BH261" s="384"/>
      <c r="BI261" s="384"/>
      <c r="BJ261" s="384"/>
      <c r="BK261" s="384"/>
      <c r="BL261" s="384"/>
      <c r="BM261" s="384"/>
      <c r="BN261" s="384"/>
      <c r="BO261" s="384"/>
      <c r="BP261" s="384"/>
      <c r="BQ261" s="384"/>
      <c r="BR261" s="384"/>
      <c r="BS261" s="384"/>
      <c r="BT261" s="384"/>
      <c r="BU261" s="384"/>
      <c r="BV261" s="384"/>
      <c r="BW261" s="384"/>
      <c r="BX261" s="384"/>
      <c r="BY261" s="384"/>
      <c r="BZ261" s="384"/>
      <c r="CA261" s="384"/>
      <c r="CB261" s="384"/>
      <c r="CC261" s="384"/>
      <c r="CD261" s="384"/>
      <c r="CE261" s="384"/>
      <c r="CF261" s="384"/>
      <c r="CG261" s="384"/>
      <c r="CH261" s="384"/>
      <c r="CI261" s="384"/>
      <c r="CJ261" s="384"/>
      <c r="CK261" s="384"/>
      <c r="CL261" s="384"/>
      <c r="CM261" s="384"/>
      <c r="CN261" s="384"/>
      <c r="CO261" s="384"/>
      <c r="CP261" s="384"/>
      <c r="CQ261" s="384"/>
      <c r="CR261" s="384"/>
      <c r="CS261" s="384"/>
      <c r="CT261" s="384"/>
      <c r="CU261" s="384"/>
      <c r="CV261" s="384"/>
      <c r="CW261" s="384"/>
    </row>
    <row r="262" spans="1:101" ht="150">
      <c r="A262" s="356" t="s">
        <v>3691</v>
      </c>
      <c r="B262" s="356"/>
      <c r="C262" s="356"/>
      <c r="D262" s="356"/>
      <c r="E262" s="356" t="s">
        <v>24</v>
      </c>
      <c r="F262" s="482" t="s">
        <v>1380</v>
      </c>
      <c r="G262" s="483" t="s">
        <v>1381</v>
      </c>
      <c r="H262" s="482" t="s">
        <v>1382</v>
      </c>
      <c r="I262" s="482" t="s">
        <v>3692</v>
      </c>
      <c r="J262" s="482" t="s">
        <v>3693</v>
      </c>
      <c r="K262" s="482" t="s">
        <v>3396</v>
      </c>
      <c r="L262" s="482" t="s">
        <v>3397</v>
      </c>
      <c r="M262" s="482" t="s">
        <v>3398</v>
      </c>
      <c r="N262" s="482" t="s">
        <v>3611</v>
      </c>
      <c r="O262" s="482" t="s">
        <v>3612</v>
      </c>
      <c r="P262" s="482" t="s">
        <v>3613</v>
      </c>
      <c r="Q262" s="466" t="s">
        <v>1795</v>
      </c>
      <c r="R262" s="482" t="s">
        <v>1796</v>
      </c>
      <c r="S262" s="482" t="s">
        <v>1797</v>
      </c>
      <c r="T262" s="482" t="s">
        <v>3694</v>
      </c>
      <c r="U262" s="482" t="s">
        <v>3655</v>
      </c>
      <c r="V262" s="482" t="s">
        <v>3346</v>
      </c>
      <c r="W262" s="482" t="s">
        <v>3695</v>
      </c>
      <c r="X262" s="482" t="s">
        <v>1801</v>
      </c>
      <c r="Y262" s="482" t="s">
        <v>2857</v>
      </c>
      <c r="Z262" s="482" t="s">
        <v>3616</v>
      </c>
      <c r="AA262" s="482" t="s">
        <v>2503</v>
      </c>
      <c r="AB262" s="482" t="s">
        <v>3617</v>
      </c>
      <c r="AC262" s="442" t="s">
        <v>1803</v>
      </c>
      <c r="AD262" s="442" t="s">
        <v>1804</v>
      </c>
      <c r="AE262" s="442"/>
      <c r="AF262" s="386"/>
      <c r="BA262" s="356" t="s">
        <v>1349</v>
      </c>
      <c r="BB262" s="545" t="s">
        <v>1805</v>
      </c>
      <c r="BC262" s="545" t="s">
        <v>33</v>
      </c>
      <c r="BD262" s="545" t="s">
        <v>1806</v>
      </c>
      <c r="BE262" s="356" t="s">
        <v>145</v>
      </c>
      <c r="BF262" s="421" t="s">
        <v>1807</v>
      </c>
    </row>
    <row r="263" spans="1:101" ht="150">
      <c r="A263" s="356" t="s">
        <v>3696</v>
      </c>
      <c r="B263" s="356"/>
      <c r="C263" s="356"/>
      <c r="D263" s="356"/>
      <c r="E263" s="356" t="s">
        <v>24</v>
      </c>
      <c r="F263" s="482" t="s">
        <v>1383</v>
      </c>
      <c r="G263" s="483" t="s">
        <v>1384</v>
      </c>
      <c r="H263" s="482" t="s">
        <v>1385</v>
      </c>
      <c r="I263" s="482" t="s">
        <v>3697</v>
      </c>
      <c r="J263" s="482" t="s">
        <v>3698</v>
      </c>
      <c r="K263" s="482" t="s">
        <v>3396</v>
      </c>
      <c r="L263" s="482" t="s">
        <v>3397</v>
      </c>
      <c r="M263" s="482" t="s">
        <v>3398</v>
      </c>
      <c r="N263" s="482" t="s">
        <v>3611</v>
      </c>
      <c r="O263" s="482" t="s">
        <v>3612</v>
      </c>
      <c r="P263" s="482" t="s">
        <v>3613</v>
      </c>
      <c r="Q263" s="466" t="s">
        <v>1795</v>
      </c>
      <c r="R263" s="482" t="s">
        <v>1796</v>
      </c>
      <c r="S263" s="482" t="s">
        <v>1824</v>
      </c>
      <c r="T263" s="482" t="s">
        <v>3699</v>
      </c>
      <c r="U263" s="482" t="s">
        <v>3700</v>
      </c>
      <c r="V263" s="482" t="s">
        <v>2896</v>
      </c>
      <c r="W263" s="482" t="s">
        <v>3701</v>
      </c>
      <c r="X263" s="482" t="s">
        <v>1801</v>
      </c>
      <c r="Y263" s="482" t="s">
        <v>2857</v>
      </c>
      <c r="Z263" s="482" t="s">
        <v>3616</v>
      </c>
      <c r="AA263" s="482" t="s">
        <v>2503</v>
      </c>
      <c r="AB263" s="482" t="s">
        <v>3617</v>
      </c>
      <c r="AC263" s="442" t="s">
        <v>1803</v>
      </c>
      <c r="AD263" s="442" t="s">
        <v>1804</v>
      </c>
      <c r="AE263" s="442"/>
      <c r="AF263" s="386"/>
      <c r="BA263" s="356" t="s">
        <v>1349</v>
      </c>
      <c r="BB263" s="545" t="s">
        <v>1805</v>
      </c>
      <c r="BC263" s="545" t="s">
        <v>33</v>
      </c>
      <c r="BD263" s="545" t="s">
        <v>1806</v>
      </c>
      <c r="BE263" s="356" t="s">
        <v>145</v>
      </c>
      <c r="BF263" s="421" t="s">
        <v>1807</v>
      </c>
    </row>
    <row r="264" spans="1:101" ht="150">
      <c r="A264" s="356" t="s">
        <v>3702</v>
      </c>
      <c r="B264" s="356"/>
      <c r="C264" s="356"/>
      <c r="D264" s="356"/>
      <c r="E264" s="356" t="s">
        <v>24</v>
      </c>
      <c r="F264" s="482" t="s">
        <v>1386</v>
      </c>
      <c r="G264" s="483" t="s">
        <v>1387</v>
      </c>
      <c r="H264" s="482" t="s">
        <v>1388</v>
      </c>
      <c r="I264" s="482" t="s">
        <v>3703</v>
      </c>
      <c r="J264" s="482" t="s">
        <v>3704</v>
      </c>
      <c r="K264" s="482" t="s">
        <v>3396</v>
      </c>
      <c r="L264" s="482" t="s">
        <v>3397</v>
      </c>
      <c r="M264" s="482" t="s">
        <v>3398</v>
      </c>
      <c r="N264" s="482" t="s">
        <v>3611</v>
      </c>
      <c r="O264" s="482" t="s">
        <v>3612</v>
      </c>
      <c r="P264" s="482" t="s">
        <v>3613</v>
      </c>
      <c r="Q264" s="466" t="s">
        <v>1795</v>
      </c>
      <c r="R264" s="482" t="s">
        <v>1796</v>
      </c>
      <c r="S264" s="482" t="s">
        <v>1824</v>
      </c>
      <c r="T264" s="482" t="s">
        <v>3705</v>
      </c>
      <c r="U264" s="482" t="s">
        <v>3706</v>
      </c>
      <c r="V264" s="482" t="s">
        <v>2896</v>
      </c>
      <c r="W264" s="482" t="s">
        <v>3707</v>
      </c>
      <c r="X264" s="482" t="s">
        <v>1801</v>
      </c>
      <c r="Y264" s="482" t="s">
        <v>2857</v>
      </c>
      <c r="Z264" s="482" t="s">
        <v>3616</v>
      </c>
      <c r="AA264" s="482" t="s">
        <v>2503</v>
      </c>
      <c r="AB264" s="482" t="s">
        <v>3617</v>
      </c>
      <c r="AC264" s="442" t="s">
        <v>1803</v>
      </c>
      <c r="AD264" s="442" t="s">
        <v>1804</v>
      </c>
      <c r="AE264" s="442"/>
      <c r="AF264" s="386"/>
      <c r="BA264" s="356" t="s">
        <v>1349</v>
      </c>
      <c r="BB264" s="545" t="s">
        <v>1805</v>
      </c>
      <c r="BC264" s="545" t="s">
        <v>33</v>
      </c>
      <c r="BD264" s="545" t="s">
        <v>1806</v>
      </c>
      <c r="BE264" s="356" t="s">
        <v>145</v>
      </c>
      <c r="BF264" s="421" t="s">
        <v>1807</v>
      </c>
    </row>
    <row r="265" spans="1:101" ht="150">
      <c r="A265" s="356" t="s">
        <v>3708</v>
      </c>
      <c r="B265" s="356"/>
      <c r="C265" s="356"/>
      <c r="D265" s="356"/>
      <c r="E265" s="356" t="s">
        <v>145</v>
      </c>
      <c r="F265" s="442" t="s">
        <v>1389</v>
      </c>
      <c r="G265" s="443" t="s">
        <v>1390</v>
      </c>
      <c r="H265" s="442" t="s">
        <v>1391</v>
      </c>
      <c r="I265" s="442" t="s">
        <v>3709</v>
      </c>
      <c r="J265" s="442" t="s">
        <v>3710</v>
      </c>
      <c r="K265" s="442" t="s">
        <v>3396</v>
      </c>
      <c r="L265" s="442" t="s">
        <v>3397</v>
      </c>
      <c r="M265" s="442" t="s">
        <v>3398</v>
      </c>
      <c r="N265" s="442" t="s">
        <v>3711</v>
      </c>
      <c r="O265" s="442" t="s">
        <v>3712</v>
      </c>
      <c r="P265" s="442" t="s">
        <v>3713</v>
      </c>
      <c r="Q265" s="466" t="s">
        <v>1795</v>
      </c>
      <c r="R265" s="442" t="s">
        <v>1796</v>
      </c>
      <c r="S265" s="442" t="s">
        <v>1824</v>
      </c>
      <c r="T265" s="442" t="s">
        <v>3714</v>
      </c>
      <c r="U265" s="442" t="s">
        <v>3664</v>
      </c>
      <c r="V265" s="442" t="s">
        <v>3681</v>
      </c>
      <c r="W265" s="442" t="s">
        <v>3715</v>
      </c>
      <c r="X265" s="442" t="s">
        <v>1801</v>
      </c>
      <c r="Y265" s="442" t="s">
        <v>3683</v>
      </c>
      <c r="Z265" s="442" t="s">
        <v>3684</v>
      </c>
      <c r="AA265" s="442" t="s">
        <v>3668</v>
      </c>
      <c r="AB265" s="442" t="s">
        <v>3685</v>
      </c>
      <c r="AC265" s="442" t="s">
        <v>1803</v>
      </c>
      <c r="AD265" s="442" t="s">
        <v>1804</v>
      </c>
      <c r="AE265" s="442"/>
      <c r="AF265" s="386"/>
      <c r="BA265" s="544" t="s">
        <v>1349</v>
      </c>
      <c r="BB265" s="545" t="s">
        <v>1805</v>
      </c>
      <c r="BC265" s="545" t="s">
        <v>33</v>
      </c>
      <c r="BD265" s="545" t="s">
        <v>1806</v>
      </c>
      <c r="BE265" s="356" t="s">
        <v>145</v>
      </c>
      <c r="BF265" s="421" t="s">
        <v>1807</v>
      </c>
    </row>
    <row r="266" spans="1:101" ht="255">
      <c r="A266" s="356" t="s">
        <v>3716</v>
      </c>
      <c r="B266" s="356"/>
      <c r="C266" s="356"/>
      <c r="D266" s="356"/>
      <c r="E266" s="356" t="s">
        <v>24</v>
      </c>
      <c r="F266" s="484" t="s">
        <v>1392</v>
      </c>
      <c r="G266" s="485" t="s">
        <v>1393</v>
      </c>
      <c r="H266" s="484" t="s">
        <v>1394</v>
      </c>
      <c r="I266" s="484" t="s">
        <v>3717</v>
      </c>
      <c r="J266" s="484" t="s">
        <v>3718</v>
      </c>
      <c r="K266" s="484" t="s">
        <v>1394</v>
      </c>
      <c r="L266" s="484" t="s">
        <v>3717</v>
      </c>
      <c r="M266" s="484" t="s">
        <v>3718</v>
      </c>
      <c r="N266" s="484" t="s">
        <v>3719</v>
      </c>
      <c r="O266" s="486" t="s">
        <v>3098</v>
      </c>
      <c r="P266" s="486" t="s">
        <v>3099</v>
      </c>
      <c r="Q266" s="466" t="s">
        <v>1795</v>
      </c>
      <c r="R266" s="484" t="s">
        <v>3587</v>
      </c>
      <c r="S266" s="484" t="s">
        <v>1824</v>
      </c>
      <c r="T266" s="484" t="s">
        <v>3720</v>
      </c>
      <c r="U266" s="484" t="s">
        <v>3721</v>
      </c>
      <c r="V266" s="484" t="s">
        <v>3308</v>
      </c>
      <c r="W266" s="484" t="s">
        <v>3722</v>
      </c>
      <c r="X266" s="484" t="s">
        <v>1801</v>
      </c>
      <c r="Y266" s="484" t="s">
        <v>2857</v>
      </c>
      <c r="Z266" s="484" t="s">
        <v>3723</v>
      </c>
      <c r="AA266" s="484" t="s">
        <v>2503</v>
      </c>
      <c r="AB266" s="484" t="s">
        <v>3617</v>
      </c>
      <c r="AC266" s="442" t="s">
        <v>1803</v>
      </c>
      <c r="AD266" s="442" t="s">
        <v>1804</v>
      </c>
      <c r="AE266" s="442"/>
      <c r="AF266" s="386"/>
      <c r="BA266" s="544" t="s">
        <v>1349</v>
      </c>
      <c r="BB266" s="545" t="s">
        <v>1805</v>
      </c>
      <c r="BC266" s="545" t="s">
        <v>33</v>
      </c>
      <c r="BD266" s="545" t="s">
        <v>1806</v>
      </c>
      <c r="BE266" s="356" t="s">
        <v>145</v>
      </c>
      <c r="BF266" s="421" t="s">
        <v>1807</v>
      </c>
    </row>
    <row r="267" spans="1:101" ht="409.5">
      <c r="A267" s="356" t="s">
        <v>3724</v>
      </c>
      <c r="B267" s="356"/>
      <c r="C267" s="356"/>
      <c r="D267" s="356"/>
      <c r="E267" s="356" t="s">
        <v>145</v>
      </c>
      <c r="F267" s="442" t="s">
        <v>1395</v>
      </c>
      <c r="G267" s="443" t="s">
        <v>1396</v>
      </c>
      <c r="H267" s="442" t="s">
        <v>1397</v>
      </c>
      <c r="I267" s="442" t="s">
        <v>3725</v>
      </c>
      <c r="J267" s="442" t="s">
        <v>3726</v>
      </c>
      <c r="K267" s="442" t="s">
        <v>3727</v>
      </c>
      <c r="L267" s="442" t="s">
        <v>3728</v>
      </c>
      <c r="M267" s="442" t="s">
        <v>3729</v>
      </c>
      <c r="N267" s="442" t="s">
        <v>3730</v>
      </c>
      <c r="O267" s="442" t="s">
        <v>3731</v>
      </c>
      <c r="P267" s="442" t="s">
        <v>3732</v>
      </c>
      <c r="Q267" s="466" t="s">
        <v>1795</v>
      </c>
      <c r="R267" s="442" t="s">
        <v>3587</v>
      </c>
      <c r="S267" s="442" t="s">
        <v>1797</v>
      </c>
      <c r="T267" s="442" t="s">
        <v>3733</v>
      </c>
      <c r="U267" s="442" t="s">
        <v>3734</v>
      </c>
      <c r="V267" s="442" t="s">
        <v>3735</v>
      </c>
      <c r="W267" s="442" t="s">
        <v>3736</v>
      </c>
      <c r="X267" s="442" t="s">
        <v>1801</v>
      </c>
      <c r="Y267" s="442" t="s">
        <v>1804</v>
      </c>
      <c r="Z267" s="442" t="s">
        <v>3737</v>
      </c>
      <c r="AA267" s="442" t="s">
        <v>1804</v>
      </c>
      <c r="AB267" s="442" t="s">
        <v>3738</v>
      </c>
      <c r="AC267" s="442" t="s">
        <v>1803</v>
      </c>
      <c r="AD267" s="442" t="s">
        <v>1804</v>
      </c>
      <c r="AE267" s="442"/>
      <c r="AF267" s="386"/>
      <c r="BA267" s="544" t="s">
        <v>1349</v>
      </c>
      <c r="BB267" s="545" t="s">
        <v>1805</v>
      </c>
      <c r="BC267" s="545" t="s">
        <v>33</v>
      </c>
      <c r="BD267" s="545" t="s">
        <v>1806</v>
      </c>
      <c r="BE267" s="356" t="s">
        <v>145</v>
      </c>
      <c r="BF267" s="421" t="s">
        <v>1807</v>
      </c>
    </row>
    <row r="268" spans="1:101" ht="315">
      <c r="A268" s="356" t="s">
        <v>3739</v>
      </c>
      <c r="B268" s="356"/>
      <c r="C268" s="356"/>
      <c r="D268" s="356"/>
      <c r="E268" s="356" t="s">
        <v>24</v>
      </c>
      <c r="F268" s="487" t="s">
        <v>1398</v>
      </c>
      <c r="G268" s="488" t="s">
        <v>1399</v>
      </c>
      <c r="H268" s="487" t="s">
        <v>1400</v>
      </c>
      <c r="I268" s="487" t="s">
        <v>3740</v>
      </c>
      <c r="J268" s="487" t="s">
        <v>3741</v>
      </c>
      <c r="K268" s="487" t="s">
        <v>3742</v>
      </c>
      <c r="L268" s="487" t="s">
        <v>3743</v>
      </c>
      <c r="M268" s="487" t="s">
        <v>3744</v>
      </c>
      <c r="N268" s="487" t="s">
        <v>3745</v>
      </c>
      <c r="O268" s="489" t="s">
        <v>3746</v>
      </c>
      <c r="P268" s="489" t="s">
        <v>3747</v>
      </c>
      <c r="Q268" s="466" t="s">
        <v>1795</v>
      </c>
      <c r="R268" s="487" t="s">
        <v>3587</v>
      </c>
      <c r="S268" s="487" t="s">
        <v>1824</v>
      </c>
      <c r="T268" s="487" t="s">
        <v>3748</v>
      </c>
      <c r="U268" s="487" t="s">
        <v>3749</v>
      </c>
      <c r="V268" s="487" t="s">
        <v>3308</v>
      </c>
      <c r="W268" s="487" t="s">
        <v>3750</v>
      </c>
      <c r="X268" s="487" t="s">
        <v>1801</v>
      </c>
      <c r="Y268" s="487" t="s">
        <v>2857</v>
      </c>
      <c r="Z268" s="487" t="s">
        <v>3751</v>
      </c>
      <c r="AA268" s="487" t="s">
        <v>2503</v>
      </c>
      <c r="AB268" s="487" t="s">
        <v>3617</v>
      </c>
      <c r="AC268" s="442" t="s">
        <v>1803</v>
      </c>
      <c r="AD268" s="442" t="s">
        <v>1804</v>
      </c>
      <c r="AE268" s="442"/>
      <c r="AF268" s="386"/>
      <c r="BA268" s="544" t="s">
        <v>1349</v>
      </c>
      <c r="BB268" s="545" t="s">
        <v>1805</v>
      </c>
      <c r="BC268" s="545" t="s">
        <v>33</v>
      </c>
      <c r="BD268" s="545" t="s">
        <v>1806</v>
      </c>
      <c r="BE268" s="356" t="s">
        <v>145</v>
      </c>
      <c r="BF268" s="421" t="s">
        <v>1807</v>
      </c>
    </row>
    <row r="269" spans="1:101" ht="315">
      <c r="A269" s="356" t="s">
        <v>3752</v>
      </c>
      <c r="B269" s="356"/>
      <c r="C269" s="356"/>
      <c r="D269" s="356"/>
      <c r="E269" s="356" t="s">
        <v>145</v>
      </c>
      <c r="F269" s="442" t="s">
        <v>1401</v>
      </c>
      <c r="G269" s="443" t="s">
        <v>1402</v>
      </c>
      <c r="H269" s="442" t="s">
        <v>1403</v>
      </c>
      <c r="I269" s="442" t="s">
        <v>3753</v>
      </c>
      <c r="J269" s="442" t="s">
        <v>3754</v>
      </c>
      <c r="K269" s="442" t="s">
        <v>3755</v>
      </c>
      <c r="L269" s="442" t="s">
        <v>3756</v>
      </c>
      <c r="M269" s="442" t="s">
        <v>3757</v>
      </c>
      <c r="N269" s="442" t="s">
        <v>3730</v>
      </c>
      <c r="O269" s="442" t="s">
        <v>3731</v>
      </c>
      <c r="P269" s="442" t="s">
        <v>3732</v>
      </c>
      <c r="Q269" s="466" t="s">
        <v>1795</v>
      </c>
      <c r="R269" s="442" t="s">
        <v>3587</v>
      </c>
      <c r="S269" s="442" t="s">
        <v>1797</v>
      </c>
      <c r="T269" s="442" t="s">
        <v>3733</v>
      </c>
      <c r="U269" s="442" t="s">
        <v>3758</v>
      </c>
      <c r="V269" s="442" t="s">
        <v>3735</v>
      </c>
      <c r="W269" s="442" t="s">
        <v>3736</v>
      </c>
      <c r="X269" s="442" t="s">
        <v>1801</v>
      </c>
      <c r="Y269" s="442" t="s">
        <v>1804</v>
      </c>
      <c r="Z269" s="442" t="s">
        <v>3759</v>
      </c>
      <c r="AA269" s="442" t="s">
        <v>1804</v>
      </c>
      <c r="AB269" s="442" t="s">
        <v>3738</v>
      </c>
      <c r="AC269" s="442" t="s">
        <v>1803</v>
      </c>
      <c r="AD269" s="442" t="s">
        <v>1804</v>
      </c>
      <c r="AE269" s="442"/>
      <c r="AF269" s="386"/>
      <c r="BA269" s="544" t="s">
        <v>1349</v>
      </c>
      <c r="BB269" s="545" t="s">
        <v>1805</v>
      </c>
      <c r="BC269" s="545" t="s">
        <v>33</v>
      </c>
      <c r="BD269" s="545" t="s">
        <v>1806</v>
      </c>
      <c r="BE269" s="356" t="s">
        <v>145</v>
      </c>
      <c r="BF269" s="421" t="s">
        <v>1807</v>
      </c>
    </row>
    <row r="270" spans="1:101" ht="315">
      <c r="A270" s="356" t="s">
        <v>3760</v>
      </c>
      <c r="B270" s="356"/>
      <c r="C270" s="356"/>
      <c r="D270" s="356"/>
      <c r="E270" s="356" t="s">
        <v>145</v>
      </c>
      <c r="F270" s="442" t="s">
        <v>1404</v>
      </c>
      <c r="G270" s="443" t="s">
        <v>1405</v>
      </c>
      <c r="H270" s="442" t="s">
        <v>1406</v>
      </c>
      <c r="I270" s="442" t="s">
        <v>3761</v>
      </c>
      <c r="J270" s="442" t="s">
        <v>3762</v>
      </c>
      <c r="K270" s="442" t="s">
        <v>3755</v>
      </c>
      <c r="L270" s="442" t="s">
        <v>3756</v>
      </c>
      <c r="M270" s="442" t="s">
        <v>3757</v>
      </c>
      <c r="N270" s="442" t="s">
        <v>3730</v>
      </c>
      <c r="O270" s="442" t="s">
        <v>3731</v>
      </c>
      <c r="P270" s="442" t="s">
        <v>3732</v>
      </c>
      <c r="Q270" s="466" t="s">
        <v>1795</v>
      </c>
      <c r="R270" s="442" t="s">
        <v>3587</v>
      </c>
      <c r="S270" s="442" t="s">
        <v>1797</v>
      </c>
      <c r="T270" s="442" t="s">
        <v>3733</v>
      </c>
      <c r="U270" s="442" t="s">
        <v>3763</v>
      </c>
      <c r="V270" s="442" t="s">
        <v>3735</v>
      </c>
      <c r="W270" s="442" t="s">
        <v>3736</v>
      </c>
      <c r="X270" s="442" t="s">
        <v>1801</v>
      </c>
      <c r="Y270" s="442" t="s">
        <v>1804</v>
      </c>
      <c r="Z270" s="442" t="s">
        <v>3764</v>
      </c>
      <c r="AA270" s="442" t="s">
        <v>1804</v>
      </c>
      <c r="AB270" s="442" t="s">
        <v>3738</v>
      </c>
      <c r="AC270" s="442" t="s">
        <v>1803</v>
      </c>
      <c r="AD270" s="442" t="s">
        <v>1804</v>
      </c>
      <c r="AE270" s="442"/>
      <c r="AF270" s="386"/>
      <c r="BA270" s="544" t="s">
        <v>1349</v>
      </c>
      <c r="BB270" s="545" t="s">
        <v>1805</v>
      </c>
      <c r="BC270" s="545" t="s">
        <v>33</v>
      </c>
      <c r="BD270" s="545" t="s">
        <v>1806</v>
      </c>
      <c r="BE270" s="356" t="s">
        <v>145</v>
      </c>
      <c r="BF270" s="421" t="s">
        <v>1807</v>
      </c>
    </row>
    <row r="271" spans="1:101" ht="409.5">
      <c r="A271" s="356" t="s">
        <v>3765</v>
      </c>
      <c r="B271" s="356"/>
      <c r="C271" s="356"/>
      <c r="D271" s="356"/>
      <c r="E271" s="356" t="s">
        <v>145</v>
      </c>
      <c r="F271" s="442" t="s">
        <v>1407</v>
      </c>
      <c r="G271" s="443" t="s">
        <v>1408</v>
      </c>
      <c r="H271" s="442" t="s">
        <v>1409</v>
      </c>
      <c r="I271" s="442" t="s">
        <v>3766</v>
      </c>
      <c r="J271" s="442" t="s">
        <v>3767</v>
      </c>
      <c r="K271" s="442" t="s">
        <v>3768</v>
      </c>
      <c r="L271" s="442" t="s">
        <v>3769</v>
      </c>
      <c r="M271" s="442" t="s">
        <v>3770</v>
      </c>
      <c r="N271" s="442" t="s">
        <v>3730</v>
      </c>
      <c r="O271" s="442" t="s">
        <v>3731</v>
      </c>
      <c r="P271" s="442" t="s">
        <v>3732</v>
      </c>
      <c r="Q271" s="466" t="s">
        <v>1795</v>
      </c>
      <c r="R271" s="442" t="s">
        <v>3587</v>
      </c>
      <c r="S271" s="442" t="s">
        <v>1797</v>
      </c>
      <c r="T271" s="442" t="s">
        <v>3733</v>
      </c>
      <c r="U271" s="442" t="s">
        <v>3771</v>
      </c>
      <c r="V271" s="442" t="s">
        <v>3735</v>
      </c>
      <c r="W271" s="442" t="s">
        <v>3736</v>
      </c>
      <c r="X271" s="442" t="s">
        <v>1801</v>
      </c>
      <c r="Y271" s="442" t="s">
        <v>1804</v>
      </c>
      <c r="Z271" s="442" t="s">
        <v>3772</v>
      </c>
      <c r="AA271" s="442" t="s">
        <v>1804</v>
      </c>
      <c r="AB271" s="442" t="s">
        <v>3738</v>
      </c>
      <c r="AC271" s="442" t="s">
        <v>1803</v>
      </c>
      <c r="AD271" s="442" t="s">
        <v>1804</v>
      </c>
      <c r="AE271" s="442"/>
      <c r="AF271" s="386"/>
      <c r="BA271" s="544" t="s">
        <v>1349</v>
      </c>
      <c r="BB271" s="545" t="s">
        <v>1805</v>
      </c>
      <c r="BC271" s="545" t="s">
        <v>33</v>
      </c>
      <c r="BD271" s="545" t="s">
        <v>1806</v>
      </c>
      <c r="BE271" s="356" t="s">
        <v>145</v>
      </c>
      <c r="BF271" s="421" t="s">
        <v>1807</v>
      </c>
    </row>
    <row r="272" spans="1:101" ht="409.5">
      <c r="A272" s="356" t="s">
        <v>3773</v>
      </c>
      <c r="B272" s="356"/>
      <c r="C272" s="356"/>
      <c r="D272" s="356"/>
      <c r="E272" s="356" t="s">
        <v>24</v>
      </c>
      <c r="F272" s="490" t="s">
        <v>1410</v>
      </c>
      <c r="G272" s="491" t="s">
        <v>1411</v>
      </c>
      <c r="H272" s="490" t="s">
        <v>1412</v>
      </c>
      <c r="I272" s="490" t="s">
        <v>3774</v>
      </c>
      <c r="J272" s="490" t="s">
        <v>3775</v>
      </c>
      <c r="K272" s="490" t="s">
        <v>1412</v>
      </c>
      <c r="L272" s="490" t="s">
        <v>3774</v>
      </c>
      <c r="M272" s="490" t="s">
        <v>3775</v>
      </c>
      <c r="N272" s="490" t="s">
        <v>3497</v>
      </c>
      <c r="O272" s="492" t="s">
        <v>3081</v>
      </c>
      <c r="P272" s="492" t="s">
        <v>3082</v>
      </c>
      <c r="Q272" s="466" t="s">
        <v>1795</v>
      </c>
      <c r="R272" s="490" t="s">
        <v>3587</v>
      </c>
      <c r="S272" s="490" t="s">
        <v>1797</v>
      </c>
      <c r="T272" s="490" t="s">
        <v>3776</v>
      </c>
      <c r="U272" s="490" t="s">
        <v>3777</v>
      </c>
      <c r="V272" s="490" t="s">
        <v>3590</v>
      </c>
      <c r="W272" s="490" t="s">
        <v>3778</v>
      </c>
      <c r="X272" s="490" t="s">
        <v>1801</v>
      </c>
      <c r="Y272" s="490" t="s">
        <v>2857</v>
      </c>
      <c r="Z272" s="490" t="s">
        <v>3723</v>
      </c>
      <c r="AA272" s="490" t="s">
        <v>2503</v>
      </c>
      <c r="AB272" s="490" t="s">
        <v>3617</v>
      </c>
      <c r="AC272" s="442" t="s">
        <v>1803</v>
      </c>
      <c r="AD272" s="442" t="s">
        <v>1804</v>
      </c>
      <c r="AE272" s="442"/>
      <c r="AF272" s="386"/>
      <c r="BA272" s="544" t="s">
        <v>1349</v>
      </c>
      <c r="BB272" s="545" t="s">
        <v>1805</v>
      </c>
      <c r="BC272" s="545" t="s">
        <v>33</v>
      </c>
      <c r="BD272" s="545" t="s">
        <v>1806</v>
      </c>
      <c r="BE272" s="356" t="s">
        <v>145</v>
      </c>
      <c r="BF272" s="421" t="s">
        <v>1807</v>
      </c>
    </row>
    <row r="273" spans="1:101" ht="409.5">
      <c r="A273" s="356" t="s">
        <v>3779</v>
      </c>
      <c r="B273" s="356"/>
      <c r="C273" s="356"/>
      <c r="D273" s="356"/>
      <c r="E273" s="356" t="s">
        <v>24</v>
      </c>
      <c r="F273" s="490" t="s">
        <v>1413</v>
      </c>
      <c r="G273" s="490" t="s">
        <v>1414</v>
      </c>
      <c r="H273" s="490" t="s">
        <v>1415</v>
      </c>
      <c r="I273" s="493" t="s">
        <v>3780</v>
      </c>
      <c r="J273" s="490" t="s">
        <v>3781</v>
      </c>
      <c r="K273" s="490" t="s">
        <v>1415</v>
      </c>
      <c r="L273" s="490" t="s">
        <v>3780</v>
      </c>
      <c r="M273" s="490" t="s">
        <v>3781</v>
      </c>
      <c r="N273" s="490" t="s">
        <v>3510</v>
      </c>
      <c r="O273" s="492" t="s">
        <v>3081</v>
      </c>
      <c r="P273" s="492" t="s">
        <v>3082</v>
      </c>
      <c r="Q273" s="466" t="s">
        <v>1795</v>
      </c>
      <c r="R273" s="490" t="s">
        <v>3587</v>
      </c>
      <c r="S273" s="490" t="s">
        <v>1797</v>
      </c>
      <c r="T273" s="490" t="s">
        <v>3782</v>
      </c>
      <c r="U273" s="490" t="s">
        <v>3783</v>
      </c>
      <c r="V273" s="490" t="s">
        <v>3590</v>
      </c>
      <c r="W273" s="490" t="s">
        <v>3784</v>
      </c>
      <c r="X273" s="490" t="s">
        <v>1801</v>
      </c>
      <c r="Y273" s="490" t="s">
        <v>2857</v>
      </c>
      <c r="Z273" s="490" t="s">
        <v>3723</v>
      </c>
      <c r="AA273" s="490" t="s">
        <v>2503</v>
      </c>
      <c r="AB273" s="490" t="s">
        <v>3617</v>
      </c>
      <c r="AC273" s="442" t="s">
        <v>1803</v>
      </c>
      <c r="AD273" s="442" t="s">
        <v>1804</v>
      </c>
      <c r="AE273" s="442"/>
      <c r="AF273" s="386"/>
      <c r="BA273" s="544" t="s">
        <v>1349</v>
      </c>
      <c r="BB273" s="545" t="s">
        <v>1805</v>
      </c>
      <c r="BC273" s="545" t="s">
        <v>33</v>
      </c>
      <c r="BD273" s="545" t="s">
        <v>1806</v>
      </c>
      <c r="BE273" s="356" t="s">
        <v>145</v>
      </c>
      <c r="BF273" s="421" t="s">
        <v>1807</v>
      </c>
    </row>
    <row r="274" spans="1:101" ht="150">
      <c r="A274" s="356" t="s">
        <v>3785</v>
      </c>
      <c r="B274" s="356"/>
      <c r="C274" s="356"/>
      <c r="D274" s="356"/>
      <c r="E274" s="356" t="s">
        <v>24</v>
      </c>
      <c r="F274" s="490" t="s">
        <v>1416</v>
      </c>
      <c r="G274" s="491" t="s">
        <v>1417</v>
      </c>
      <c r="H274" s="490" t="s">
        <v>1418</v>
      </c>
      <c r="I274" s="490" t="s">
        <v>3786</v>
      </c>
      <c r="J274" s="490" t="s">
        <v>3787</v>
      </c>
      <c r="K274" s="490" t="s">
        <v>1418</v>
      </c>
      <c r="L274" s="490" t="s">
        <v>3786</v>
      </c>
      <c r="M274" s="490" t="s">
        <v>3787</v>
      </c>
      <c r="N274" s="490" t="s">
        <v>3788</v>
      </c>
      <c r="O274" s="492" t="s">
        <v>3090</v>
      </c>
      <c r="P274" s="492" t="s">
        <v>3091</v>
      </c>
      <c r="Q274" s="466" t="s">
        <v>1795</v>
      </c>
      <c r="R274" s="490" t="s">
        <v>3587</v>
      </c>
      <c r="S274" s="490" t="s">
        <v>1824</v>
      </c>
      <c r="T274" s="490" t="s">
        <v>3789</v>
      </c>
      <c r="U274" s="490" t="s">
        <v>3790</v>
      </c>
      <c r="V274" s="490" t="s">
        <v>3308</v>
      </c>
      <c r="W274" s="490" t="s">
        <v>3791</v>
      </c>
      <c r="X274" s="490" t="s">
        <v>1801</v>
      </c>
      <c r="Y274" s="490" t="s">
        <v>2857</v>
      </c>
      <c r="Z274" s="490" t="s">
        <v>3723</v>
      </c>
      <c r="AA274" s="490" t="s">
        <v>2503</v>
      </c>
      <c r="AB274" s="490" t="s">
        <v>3617</v>
      </c>
      <c r="AC274" s="442" t="s">
        <v>1803</v>
      </c>
      <c r="AD274" s="442" t="s">
        <v>1804</v>
      </c>
      <c r="AE274" s="442"/>
      <c r="AF274" s="386"/>
      <c r="BA274" s="544" t="s">
        <v>1349</v>
      </c>
      <c r="BB274" s="545" t="s">
        <v>1805</v>
      </c>
      <c r="BC274" s="545" t="s">
        <v>33</v>
      </c>
      <c r="BD274" s="545" t="s">
        <v>1806</v>
      </c>
      <c r="BE274" s="356" t="s">
        <v>145</v>
      </c>
      <c r="BF274" s="421" t="s">
        <v>1807</v>
      </c>
    </row>
    <row r="275" spans="1:101" ht="315">
      <c r="A275" s="356" t="s">
        <v>3792</v>
      </c>
      <c r="B275" s="356"/>
      <c r="C275" s="356"/>
      <c r="D275" s="356"/>
      <c r="E275" s="356" t="s">
        <v>24</v>
      </c>
      <c r="F275" s="490" t="s">
        <v>1419</v>
      </c>
      <c r="G275" s="491" t="s">
        <v>1420</v>
      </c>
      <c r="H275" s="490" t="s">
        <v>1421</v>
      </c>
      <c r="I275" s="490" t="s">
        <v>3793</v>
      </c>
      <c r="J275" s="490" t="s">
        <v>3794</v>
      </c>
      <c r="K275" s="490" t="s">
        <v>3742</v>
      </c>
      <c r="L275" s="490" t="s">
        <v>3743</v>
      </c>
      <c r="M275" s="490" t="s">
        <v>3744</v>
      </c>
      <c r="N275" s="490" t="s">
        <v>3795</v>
      </c>
      <c r="O275" s="490" t="s">
        <v>3796</v>
      </c>
      <c r="P275" s="490" t="s">
        <v>3797</v>
      </c>
      <c r="Q275" s="466" t="s">
        <v>1795</v>
      </c>
      <c r="R275" s="490" t="s">
        <v>3798</v>
      </c>
      <c r="S275" s="490" t="s">
        <v>1797</v>
      </c>
      <c r="T275" s="490" t="s">
        <v>3799</v>
      </c>
      <c r="U275" s="490" t="s">
        <v>3800</v>
      </c>
      <c r="V275" s="490" t="s">
        <v>3801</v>
      </c>
      <c r="W275" s="490" t="s">
        <v>3802</v>
      </c>
      <c r="X275" s="490" t="s">
        <v>1801</v>
      </c>
      <c r="Y275" s="490" t="s">
        <v>2857</v>
      </c>
      <c r="Z275" s="490" t="s">
        <v>3751</v>
      </c>
      <c r="AA275" s="490" t="s">
        <v>2503</v>
      </c>
      <c r="AB275" s="490" t="s">
        <v>3803</v>
      </c>
      <c r="AC275" s="442" t="s">
        <v>1803</v>
      </c>
      <c r="AD275" s="442" t="s">
        <v>1804</v>
      </c>
      <c r="AE275" s="442"/>
      <c r="AF275" s="386"/>
      <c r="BA275" s="544" t="s">
        <v>1349</v>
      </c>
      <c r="BB275" s="545" t="s">
        <v>1805</v>
      </c>
      <c r="BC275" s="545" t="s">
        <v>33</v>
      </c>
      <c r="BD275" s="545" t="s">
        <v>1806</v>
      </c>
      <c r="BE275" s="356" t="s">
        <v>145</v>
      </c>
      <c r="BF275" s="421" t="s">
        <v>1807</v>
      </c>
    </row>
    <row r="276" spans="1:101" ht="150">
      <c r="A276" s="356" t="s">
        <v>3804</v>
      </c>
      <c r="B276" s="386"/>
      <c r="C276" s="386"/>
      <c r="D276" s="386"/>
      <c r="E276" s="494" t="s">
        <v>24</v>
      </c>
      <c r="F276" s="495" t="s">
        <v>3805</v>
      </c>
      <c r="G276" s="496" t="s">
        <v>1423</v>
      </c>
      <c r="H276" s="477" t="s">
        <v>1424</v>
      </c>
      <c r="I276" s="497" t="s">
        <v>3806</v>
      </c>
      <c r="J276" s="497" t="s">
        <v>3806</v>
      </c>
      <c r="K276" s="498" t="s">
        <v>3277</v>
      </c>
      <c r="L276" s="498" t="s">
        <v>3278</v>
      </c>
      <c r="M276" s="499" t="s">
        <v>3807</v>
      </c>
      <c r="N276" s="477" t="s">
        <v>3808</v>
      </c>
      <c r="O276" s="495" t="s">
        <v>3809</v>
      </c>
      <c r="P276" s="495" t="s">
        <v>3810</v>
      </c>
      <c r="Q276" s="450" t="s">
        <v>2462</v>
      </c>
      <c r="R276" s="477" t="s">
        <v>1796</v>
      </c>
      <c r="S276" s="477" t="s">
        <v>3811</v>
      </c>
      <c r="T276" s="477" t="s">
        <v>3812</v>
      </c>
      <c r="U276" s="477" t="s">
        <v>3307</v>
      </c>
      <c r="V276" s="477" t="s">
        <v>3813</v>
      </c>
      <c r="W276" s="495" t="s">
        <v>3814</v>
      </c>
      <c r="X276" s="477" t="s">
        <v>1801</v>
      </c>
      <c r="Y276" s="495" t="s">
        <v>2857</v>
      </c>
      <c r="Z276" s="495" t="s">
        <v>3815</v>
      </c>
      <c r="AA276" s="495" t="s">
        <v>2503</v>
      </c>
      <c r="AB276" s="495" t="s">
        <v>3816</v>
      </c>
      <c r="AC276" s="495" t="s">
        <v>1803</v>
      </c>
      <c r="AD276" s="495" t="s">
        <v>1804</v>
      </c>
      <c r="AE276" s="442"/>
      <c r="AF276" s="386"/>
      <c r="BA276" s="544" t="s">
        <v>1349</v>
      </c>
      <c r="BB276" s="545" t="s">
        <v>1805</v>
      </c>
      <c r="BC276" s="545" t="s">
        <v>33</v>
      </c>
      <c r="BD276" s="545" t="s">
        <v>1806</v>
      </c>
      <c r="BE276" s="356" t="s">
        <v>145</v>
      </c>
      <c r="BF276" s="421" t="s">
        <v>1807</v>
      </c>
    </row>
    <row r="277" spans="1:101" ht="270">
      <c r="A277" s="356" t="s">
        <v>3817</v>
      </c>
      <c r="B277" s="386"/>
      <c r="C277" s="386"/>
      <c r="D277" s="386"/>
      <c r="E277" s="494" t="s">
        <v>24</v>
      </c>
      <c r="F277" s="495" t="s">
        <v>1425</v>
      </c>
      <c r="G277" s="496" t="s">
        <v>1426</v>
      </c>
      <c r="H277" s="477" t="s">
        <v>1427</v>
      </c>
      <c r="I277" s="497" t="s">
        <v>3818</v>
      </c>
      <c r="J277" s="497" t="s">
        <v>3818</v>
      </c>
      <c r="K277" s="498" t="s">
        <v>3277</v>
      </c>
      <c r="L277" s="498" t="s">
        <v>3278</v>
      </c>
      <c r="M277" s="499" t="s">
        <v>3807</v>
      </c>
      <c r="N277" s="477" t="s">
        <v>3819</v>
      </c>
      <c r="O277" s="495" t="s">
        <v>3820</v>
      </c>
      <c r="P277" s="495" t="s">
        <v>3821</v>
      </c>
      <c r="Q277" s="450" t="s">
        <v>2462</v>
      </c>
      <c r="R277" s="477" t="s">
        <v>1796</v>
      </c>
      <c r="S277" s="477" t="s">
        <v>3811</v>
      </c>
      <c r="T277" s="477" t="s">
        <v>3822</v>
      </c>
      <c r="U277" s="477" t="s">
        <v>3307</v>
      </c>
      <c r="V277" s="477" t="s">
        <v>3813</v>
      </c>
      <c r="W277" s="495" t="s">
        <v>3823</v>
      </c>
      <c r="X277" s="477" t="s">
        <v>1801</v>
      </c>
      <c r="Y277" s="495" t="s">
        <v>2857</v>
      </c>
      <c r="Z277" s="468" t="s">
        <v>3824</v>
      </c>
      <c r="AA277" s="495" t="s">
        <v>2503</v>
      </c>
      <c r="AB277" s="495" t="s">
        <v>3816</v>
      </c>
      <c r="AC277" s="495" t="s">
        <v>1803</v>
      </c>
      <c r="AD277" s="495" t="s">
        <v>1804</v>
      </c>
      <c r="AE277" s="442"/>
      <c r="AF277" s="386"/>
      <c r="BA277" s="544" t="s">
        <v>1349</v>
      </c>
      <c r="BB277" s="545" t="s">
        <v>1805</v>
      </c>
      <c r="BC277" s="545" t="s">
        <v>33</v>
      </c>
      <c r="BD277" s="545" t="s">
        <v>1806</v>
      </c>
      <c r="BE277" s="356" t="s">
        <v>145</v>
      </c>
      <c r="BF277" s="421" t="s">
        <v>1807</v>
      </c>
    </row>
    <row r="278" spans="1:101" ht="409.5">
      <c r="A278" s="356" t="s">
        <v>3825</v>
      </c>
      <c r="B278" s="386"/>
      <c r="C278" s="386"/>
      <c r="D278" s="386"/>
      <c r="E278" s="494" t="s">
        <v>24</v>
      </c>
      <c r="F278" s="495" t="s">
        <v>1428</v>
      </c>
      <c r="G278" s="496" t="s">
        <v>1429</v>
      </c>
      <c r="H278" s="477" t="s">
        <v>1430</v>
      </c>
      <c r="I278" s="478" t="s">
        <v>3826</v>
      </c>
      <c r="J278" s="478" t="s">
        <v>3826</v>
      </c>
      <c r="K278" s="477" t="s">
        <v>1430</v>
      </c>
      <c r="L278" s="478" t="s">
        <v>3826</v>
      </c>
      <c r="M278" s="478" t="s">
        <v>3826</v>
      </c>
      <c r="N278" s="477" t="s">
        <v>3827</v>
      </c>
      <c r="O278" s="500" t="s">
        <v>3828</v>
      </c>
      <c r="P278" s="500" t="s">
        <v>3829</v>
      </c>
      <c r="Q278" s="466" t="s">
        <v>1795</v>
      </c>
      <c r="R278" s="477" t="s">
        <v>3587</v>
      </c>
      <c r="S278" s="477" t="s">
        <v>1797</v>
      </c>
      <c r="T278" s="495" t="s">
        <v>3830</v>
      </c>
      <c r="U278" s="495" t="s">
        <v>3831</v>
      </c>
      <c r="V278" s="495" t="s">
        <v>3590</v>
      </c>
      <c r="W278" s="495" t="s">
        <v>3832</v>
      </c>
      <c r="X278" s="477" t="s">
        <v>1801</v>
      </c>
      <c r="Y278" s="495" t="s">
        <v>2857</v>
      </c>
      <c r="Z278" s="477" t="s">
        <v>3723</v>
      </c>
      <c r="AA278" s="495" t="s">
        <v>2503</v>
      </c>
      <c r="AB278" s="495" t="s">
        <v>3833</v>
      </c>
      <c r="AC278" s="477" t="s">
        <v>1803</v>
      </c>
      <c r="AD278" s="495" t="s">
        <v>1804</v>
      </c>
      <c r="AE278" s="442"/>
      <c r="AF278" s="386"/>
      <c r="BA278" s="544" t="s">
        <v>1349</v>
      </c>
      <c r="BB278" s="545" t="s">
        <v>1805</v>
      </c>
      <c r="BC278" s="545" t="s">
        <v>33</v>
      </c>
      <c r="BD278" s="545" t="s">
        <v>1806</v>
      </c>
      <c r="BE278" s="356" t="s">
        <v>145</v>
      </c>
      <c r="BF278" s="421" t="s">
        <v>1807</v>
      </c>
    </row>
    <row r="279" spans="1:101" ht="285">
      <c r="A279" s="356" t="s">
        <v>3834</v>
      </c>
      <c r="B279" s="386"/>
      <c r="C279" s="386"/>
      <c r="D279" s="386"/>
      <c r="E279" s="494" t="s">
        <v>24</v>
      </c>
      <c r="F279" s="495" t="s">
        <v>1431</v>
      </c>
      <c r="G279" s="496" t="s">
        <v>1432</v>
      </c>
      <c r="H279" s="477" t="s">
        <v>1433</v>
      </c>
      <c r="I279" s="478" t="s">
        <v>3835</v>
      </c>
      <c r="J279" s="478" t="s">
        <v>3835</v>
      </c>
      <c r="K279" s="477" t="s">
        <v>1433</v>
      </c>
      <c r="L279" s="478" t="s">
        <v>3835</v>
      </c>
      <c r="M279" s="478" t="s">
        <v>3835</v>
      </c>
      <c r="N279" s="477" t="s">
        <v>3827</v>
      </c>
      <c r="O279" s="500" t="s">
        <v>3828</v>
      </c>
      <c r="P279" s="500" t="s">
        <v>3829</v>
      </c>
      <c r="Q279" s="466" t="s">
        <v>1795</v>
      </c>
      <c r="R279" s="477" t="s">
        <v>3587</v>
      </c>
      <c r="S279" s="477" t="s">
        <v>1797</v>
      </c>
      <c r="T279" s="495" t="s">
        <v>3836</v>
      </c>
      <c r="U279" s="495" t="s">
        <v>3837</v>
      </c>
      <c r="V279" s="495" t="s">
        <v>3590</v>
      </c>
      <c r="W279" s="495" t="s">
        <v>3838</v>
      </c>
      <c r="X279" s="477" t="s">
        <v>1801</v>
      </c>
      <c r="Y279" s="495" t="s">
        <v>2857</v>
      </c>
      <c r="Z279" s="495" t="s">
        <v>3839</v>
      </c>
      <c r="AA279" s="495" t="s">
        <v>2503</v>
      </c>
      <c r="AB279" s="495" t="s">
        <v>3840</v>
      </c>
      <c r="AC279" s="477" t="s">
        <v>1803</v>
      </c>
      <c r="AD279" s="495" t="s">
        <v>1804</v>
      </c>
      <c r="AE279" s="442"/>
      <c r="AF279" s="386"/>
      <c r="BA279" s="544" t="s">
        <v>1349</v>
      </c>
      <c r="BB279" s="545" t="s">
        <v>1805</v>
      </c>
      <c r="BC279" s="545" t="s">
        <v>33</v>
      </c>
      <c r="BD279" s="545" t="s">
        <v>1806</v>
      </c>
      <c r="BE279" s="356" t="s">
        <v>145</v>
      </c>
      <c r="BF279" s="421" t="s">
        <v>1807</v>
      </c>
    </row>
    <row r="280" spans="1:101" ht="180">
      <c r="A280" s="356" t="s">
        <v>3841</v>
      </c>
      <c r="B280" s="386"/>
      <c r="C280" s="386"/>
      <c r="D280" s="386"/>
      <c r="E280" s="494" t="s">
        <v>24</v>
      </c>
      <c r="F280" s="495" t="s">
        <v>1434</v>
      </c>
      <c r="G280" s="496" t="s">
        <v>1435</v>
      </c>
      <c r="H280" s="477" t="s">
        <v>1436</v>
      </c>
      <c r="I280" s="478" t="s">
        <v>3842</v>
      </c>
      <c r="J280" s="478" t="s">
        <v>3842</v>
      </c>
      <c r="K280" s="477" t="s">
        <v>1436</v>
      </c>
      <c r="L280" s="478" t="s">
        <v>3843</v>
      </c>
      <c r="M280" s="478" t="s">
        <v>3842</v>
      </c>
      <c r="N280" s="477" t="s">
        <v>3844</v>
      </c>
      <c r="O280" s="500" t="s">
        <v>3845</v>
      </c>
      <c r="P280" s="500" t="s">
        <v>3846</v>
      </c>
      <c r="Q280" s="466" t="s">
        <v>1795</v>
      </c>
      <c r="R280" s="477" t="s">
        <v>3587</v>
      </c>
      <c r="S280" s="477" t="s">
        <v>1824</v>
      </c>
      <c r="T280" s="495" t="s">
        <v>3847</v>
      </c>
      <c r="U280" s="495" t="s">
        <v>3848</v>
      </c>
      <c r="V280" s="495" t="s">
        <v>3308</v>
      </c>
      <c r="W280" s="495" t="s">
        <v>3849</v>
      </c>
      <c r="X280" s="477" t="s">
        <v>1801</v>
      </c>
      <c r="Y280" s="495" t="s">
        <v>2857</v>
      </c>
      <c r="Z280" s="477" t="s">
        <v>3850</v>
      </c>
      <c r="AA280" s="495" t="s">
        <v>2503</v>
      </c>
      <c r="AB280" s="495" t="s">
        <v>3851</v>
      </c>
      <c r="AC280" s="477" t="s">
        <v>1803</v>
      </c>
      <c r="AD280" s="495" t="s">
        <v>1804</v>
      </c>
      <c r="AE280" s="442"/>
      <c r="AF280" s="386"/>
      <c r="BA280" s="544" t="s">
        <v>1349</v>
      </c>
      <c r="BB280" s="545" t="s">
        <v>1805</v>
      </c>
      <c r="BC280" s="545" t="s">
        <v>33</v>
      </c>
      <c r="BD280" s="545" t="s">
        <v>1806</v>
      </c>
      <c r="BE280" s="356" t="s">
        <v>145</v>
      </c>
      <c r="BF280" s="421" t="s">
        <v>1807</v>
      </c>
    </row>
    <row r="281" spans="1:101" ht="150">
      <c r="A281" s="356" t="s">
        <v>3852</v>
      </c>
      <c r="B281" s="386"/>
      <c r="C281" s="386"/>
      <c r="D281" s="386"/>
      <c r="E281" s="494" t="s">
        <v>24</v>
      </c>
      <c r="F281" s="495" t="s">
        <v>1437</v>
      </c>
      <c r="G281" s="496" t="s">
        <v>1438</v>
      </c>
      <c r="H281" s="495" t="s">
        <v>1439</v>
      </c>
      <c r="I281" s="501" t="s">
        <v>3853</v>
      </c>
      <c r="J281" s="502" t="s">
        <v>3853</v>
      </c>
      <c r="K281" s="503" t="s">
        <v>3277</v>
      </c>
      <c r="L281" s="503" t="s">
        <v>3278</v>
      </c>
      <c r="M281" s="496" t="s">
        <v>3807</v>
      </c>
      <c r="N281" s="495" t="s">
        <v>3854</v>
      </c>
      <c r="O281" s="495" t="s">
        <v>3855</v>
      </c>
      <c r="P281" s="495" t="s">
        <v>3317</v>
      </c>
      <c r="Q281" s="450" t="s">
        <v>2462</v>
      </c>
      <c r="R281" s="495" t="s">
        <v>1796</v>
      </c>
      <c r="S281" s="495" t="s">
        <v>1797</v>
      </c>
      <c r="T281" s="495" t="s">
        <v>3856</v>
      </c>
      <c r="U281" s="495" t="s">
        <v>3307</v>
      </c>
      <c r="V281" s="495" t="s">
        <v>3319</v>
      </c>
      <c r="W281" s="495" t="s">
        <v>3857</v>
      </c>
      <c r="X281" s="495" t="s">
        <v>1801</v>
      </c>
      <c r="Y281" s="495" t="s">
        <v>2857</v>
      </c>
      <c r="Z281" s="495" t="s">
        <v>3858</v>
      </c>
      <c r="AA281" s="495" t="s">
        <v>2503</v>
      </c>
      <c r="AB281" s="495" t="s">
        <v>3816</v>
      </c>
      <c r="AC281" s="495" t="s">
        <v>1803</v>
      </c>
      <c r="AD281" s="495" t="s">
        <v>1804</v>
      </c>
      <c r="AE281" s="442"/>
      <c r="AF281" s="386"/>
      <c r="BA281" s="547" t="s">
        <v>1349</v>
      </c>
      <c r="BB281" s="545" t="s">
        <v>1805</v>
      </c>
      <c r="BC281" s="545" t="s">
        <v>33</v>
      </c>
      <c r="BD281" s="545" t="s">
        <v>1806</v>
      </c>
      <c r="BE281" s="356" t="s">
        <v>145</v>
      </c>
      <c r="BF281" s="421" t="s">
        <v>1807</v>
      </c>
    </row>
    <row r="282" spans="1:101" ht="150">
      <c r="A282" s="356" t="s">
        <v>3859</v>
      </c>
      <c r="B282" s="386"/>
      <c r="C282" s="386"/>
      <c r="D282" s="386"/>
      <c r="E282" s="494" t="s">
        <v>24</v>
      </c>
      <c r="F282" s="495" t="s">
        <v>1440</v>
      </c>
      <c r="G282" s="496" t="s">
        <v>1441</v>
      </c>
      <c r="H282" s="495" t="s">
        <v>1442</v>
      </c>
      <c r="I282" s="501" t="s">
        <v>3860</v>
      </c>
      <c r="J282" s="501" t="s">
        <v>3860</v>
      </c>
      <c r="K282" s="503" t="s">
        <v>3338</v>
      </c>
      <c r="L282" s="503" t="s">
        <v>3339</v>
      </c>
      <c r="M282" s="496" t="s">
        <v>3861</v>
      </c>
      <c r="N282" s="495" t="s">
        <v>3560</v>
      </c>
      <c r="O282" s="495" t="s">
        <v>3855</v>
      </c>
      <c r="P282" s="495" t="s">
        <v>3317</v>
      </c>
      <c r="Q282" s="450" t="s">
        <v>2462</v>
      </c>
      <c r="R282" s="495" t="s">
        <v>1796</v>
      </c>
      <c r="S282" s="495" t="s">
        <v>1797</v>
      </c>
      <c r="T282" s="495" t="s">
        <v>3862</v>
      </c>
      <c r="U282" s="495" t="s">
        <v>3863</v>
      </c>
      <c r="V282" s="495" t="s">
        <v>3346</v>
      </c>
      <c r="W282" s="495" t="s">
        <v>3864</v>
      </c>
      <c r="X282" s="495" t="s">
        <v>1801</v>
      </c>
      <c r="Y282" s="495" t="s">
        <v>2857</v>
      </c>
      <c r="Z282" s="495" t="s">
        <v>3858</v>
      </c>
      <c r="AA282" s="495" t="s">
        <v>2503</v>
      </c>
      <c r="AB282" s="495" t="s">
        <v>3816</v>
      </c>
      <c r="AC282" s="495" t="s">
        <v>1803</v>
      </c>
      <c r="AD282" s="495" t="s">
        <v>1804</v>
      </c>
      <c r="AE282" s="442"/>
      <c r="AF282" s="386"/>
      <c r="BA282" s="544" t="s">
        <v>1349</v>
      </c>
      <c r="BB282" s="545" t="s">
        <v>1805</v>
      </c>
      <c r="BC282" s="545" t="s">
        <v>33</v>
      </c>
      <c r="BD282" s="545" t="s">
        <v>1806</v>
      </c>
      <c r="BE282" s="356" t="s">
        <v>145</v>
      </c>
      <c r="BF282" s="421" t="s">
        <v>1807</v>
      </c>
    </row>
    <row r="283" spans="1:101" s="388" customFormat="1" ht="150">
      <c r="A283" s="356" t="s">
        <v>3865</v>
      </c>
      <c r="B283" s="386"/>
      <c r="C283" s="386"/>
      <c r="D283" s="386"/>
      <c r="E283" s="494" t="s">
        <v>24</v>
      </c>
      <c r="F283" s="495" t="s">
        <v>1443</v>
      </c>
      <c r="G283" s="496" t="s">
        <v>1444</v>
      </c>
      <c r="H283" s="495" t="s">
        <v>1445</v>
      </c>
      <c r="I283" s="501" t="s">
        <v>3866</v>
      </c>
      <c r="J283" s="501" t="s">
        <v>3867</v>
      </c>
      <c r="K283" s="503" t="s">
        <v>3396</v>
      </c>
      <c r="L283" s="503" t="s">
        <v>3868</v>
      </c>
      <c r="M283" s="496" t="s">
        <v>3869</v>
      </c>
      <c r="N283" s="495" t="s">
        <v>3560</v>
      </c>
      <c r="O283" s="495" t="s">
        <v>3855</v>
      </c>
      <c r="P283" s="495" t="s">
        <v>3317</v>
      </c>
      <c r="Q283" s="450" t="s">
        <v>2462</v>
      </c>
      <c r="R283" s="495" t="s">
        <v>1796</v>
      </c>
      <c r="S283" s="495" t="s">
        <v>1797</v>
      </c>
      <c r="T283" s="495" t="s">
        <v>3870</v>
      </c>
      <c r="U283" s="495" t="s">
        <v>3863</v>
      </c>
      <c r="V283" s="495" t="s">
        <v>3346</v>
      </c>
      <c r="W283" s="495" t="s">
        <v>3871</v>
      </c>
      <c r="X283" s="495" t="s">
        <v>1801</v>
      </c>
      <c r="Y283" s="495" t="s">
        <v>2857</v>
      </c>
      <c r="Z283" s="495" t="s">
        <v>3858</v>
      </c>
      <c r="AA283" s="495" t="s">
        <v>2503</v>
      </c>
      <c r="AB283" s="495" t="s">
        <v>3816</v>
      </c>
      <c r="AC283" s="495" t="s">
        <v>1803</v>
      </c>
      <c r="AD283" s="495" t="s">
        <v>1804</v>
      </c>
      <c r="AE283" s="442"/>
      <c r="AF283" s="386"/>
      <c r="AG283" s="386"/>
      <c r="AH283" s="386"/>
      <c r="AI283" s="386"/>
      <c r="AJ283" s="386"/>
      <c r="AK283" s="386"/>
      <c r="AL283" s="386"/>
      <c r="AM283" s="386"/>
      <c r="AN283" s="386"/>
      <c r="AO283" s="386"/>
      <c r="AP283" s="386"/>
      <c r="AQ283" s="386"/>
      <c r="AR283" s="386"/>
      <c r="AS283" s="386"/>
      <c r="AT283" s="386"/>
      <c r="AU283" s="386"/>
      <c r="AV283" s="386"/>
      <c r="AW283" s="386"/>
      <c r="AX283" s="386"/>
      <c r="AY283" s="386"/>
      <c r="AZ283" s="386"/>
      <c r="BA283" s="544" t="s">
        <v>1349</v>
      </c>
      <c r="BB283" s="545" t="s">
        <v>1805</v>
      </c>
      <c r="BC283" s="545" t="s">
        <v>33</v>
      </c>
      <c r="BD283" s="545" t="s">
        <v>1806</v>
      </c>
      <c r="BE283" s="356" t="s">
        <v>145</v>
      </c>
      <c r="BF283" s="421" t="s">
        <v>1807</v>
      </c>
      <c r="BG283" s="384"/>
      <c r="BH283" s="384"/>
      <c r="BI283" s="384"/>
      <c r="BJ283" s="384"/>
      <c r="BK283" s="384"/>
      <c r="BL283" s="384"/>
      <c r="BM283" s="384"/>
      <c r="BN283" s="384"/>
      <c r="BO283" s="384"/>
      <c r="BP283" s="384"/>
      <c r="BQ283" s="384"/>
      <c r="BR283" s="384"/>
      <c r="BS283" s="384"/>
      <c r="BT283" s="384"/>
      <c r="BU283" s="384"/>
      <c r="BV283" s="384"/>
      <c r="BW283" s="384"/>
      <c r="BX283" s="384"/>
      <c r="BY283" s="384"/>
      <c r="BZ283" s="384"/>
      <c r="CA283" s="384"/>
      <c r="CB283" s="384"/>
      <c r="CC283" s="384"/>
      <c r="CD283" s="384"/>
      <c r="CE283" s="384"/>
      <c r="CF283" s="384"/>
      <c r="CG283" s="384"/>
      <c r="CH283" s="384"/>
      <c r="CI283" s="384"/>
      <c r="CJ283" s="384"/>
      <c r="CK283" s="384"/>
      <c r="CL283" s="384"/>
      <c r="CM283" s="384"/>
      <c r="CN283" s="384"/>
      <c r="CO283" s="384"/>
      <c r="CP283" s="384"/>
      <c r="CQ283" s="384"/>
      <c r="CR283" s="384"/>
      <c r="CS283" s="384"/>
      <c r="CT283" s="384"/>
      <c r="CU283" s="384"/>
      <c r="CV283" s="384"/>
      <c r="CW283" s="384"/>
    </row>
    <row r="284" spans="1:101" s="388" customFormat="1" ht="150">
      <c r="A284" s="356" t="s">
        <v>3872</v>
      </c>
      <c r="B284" s="386"/>
      <c r="C284" s="386"/>
      <c r="D284" s="386"/>
      <c r="E284" s="494" t="s">
        <v>24</v>
      </c>
      <c r="F284" s="495" t="s">
        <v>1446</v>
      </c>
      <c r="G284" s="496" t="s">
        <v>1447</v>
      </c>
      <c r="H284" s="495" t="s">
        <v>1448</v>
      </c>
      <c r="I284" s="501" t="s">
        <v>3873</v>
      </c>
      <c r="J284" s="502" t="s">
        <v>3873</v>
      </c>
      <c r="K284" s="503" t="s">
        <v>3277</v>
      </c>
      <c r="L284" s="503" t="s">
        <v>3278</v>
      </c>
      <c r="M284" s="496" t="s">
        <v>3807</v>
      </c>
      <c r="N284" s="495" t="s">
        <v>3560</v>
      </c>
      <c r="O284" s="495" t="s">
        <v>3855</v>
      </c>
      <c r="P284" s="495" t="s">
        <v>3317</v>
      </c>
      <c r="Q284" s="450" t="s">
        <v>2462</v>
      </c>
      <c r="R284" s="495" t="s">
        <v>1796</v>
      </c>
      <c r="S284" s="495" t="s">
        <v>1797</v>
      </c>
      <c r="T284" s="495" t="s">
        <v>3874</v>
      </c>
      <c r="U284" s="495" t="s">
        <v>3307</v>
      </c>
      <c r="V284" s="495" t="s">
        <v>3319</v>
      </c>
      <c r="W284" s="495" t="s">
        <v>3875</v>
      </c>
      <c r="X284" s="495" t="s">
        <v>1801</v>
      </c>
      <c r="Y284" s="495" t="s">
        <v>2857</v>
      </c>
      <c r="Z284" s="495" t="s">
        <v>3858</v>
      </c>
      <c r="AA284" s="495" t="s">
        <v>2503</v>
      </c>
      <c r="AB284" s="495" t="s">
        <v>3816</v>
      </c>
      <c r="AC284" s="495" t="s">
        <v>1803</v>
      </c>
      <c r="AD284" s="495" t="s">
        <v>1804</v>
      </c>
      <c r="AE284" s="442"/>
      <c r="AF284" s="386"/>
      <c r="AG284" s="386"/>
      <c r="AH284" s="386"/>
      <c r="AI284" s="386"/>
      <c r="AJ284" s="386"/>
      <c r="AK284" s="386"/>
      <c r="AL284" s="386"/>
      <c r="AM284" s="386"/>
      <c r="AN284" s="386"/>
      <c r="AO284" s="386"/>
      <c r="AP284" s="386"/>
      <c r="AQ284" s="386"/>
      <c r="AR284" s="386"/>
      <c r="AS284" s="386"/>
      <c r="AT284" s="386"/>
      <c r="AU284" s="386"/>
      <c r="AV284" s="386"/>
      <c r="AW284" s="386"/>
      <c r="AX284" s="386"/>
      <c r="AY284" s="386"/>
      <c r="AZ284" s="386"/>
      <c r="BA284" s="544" t="s">
        <v>1349</v>
      </c>
      <c r="BB284" s="545" t="s">
        <v>1805</v>
      </c>
      <c r="BC284" s="545" t="s">
        <v>33</v>
      </c>
      <c r="BD284" s="545" t="s">
        <v>1806</v>
      </c>
      <c r="BE284" s="356" t="s">
        <v>145</v>
      </c>
      <c r="BF284" s="421" t="s">
        <v>1807</v>
      </c>
      <c r="BG284" s="384"/>
      <c r="BH284" s="384"/>
      <c r="BI284" s="384"/>
      <c r="BJ284" s="384"/>
      <c r="BK284" s="384"/>
      <c r="BL284" s="384"/>
      <c r="BM284" s="384"/>
      <c r="BN284" s="384"/>
      <c r="BO284" s="384"/>
      <c r="BP284" s="384"/>
      <c r="BQ284" s="384"/>
      <c r="BR284" s="384"/>
      <c r="BS284" s="384"/>
      <c r="BT284" s="384"/>
      <c r="BU284" s="384"/>
      <c r="BV284" s="384"/>
      <c r="BW284" s="384"/>
      <c r="BX284" s="384"/>
      <c r="BY284" s="384"/>
      <c r="BZ284" s="384"/>
      <c r="CA284" s="384"/>
      <c r="CB284" s="384"/>
      <c r="CC284" s="384"/>
      <c r="CD284" s="384"/>
      <c r="CE284" s="384"/>
      <c r="CF284" s="384"/>
      <c r="CG284" s="384"/>
      <c r="CH284" s="384"/>
      <c r="CI284" s="384"/>
      <c r="CJ284" s="384"/>
      <c r="CK284" s="384"/>
      <c r="CL284" s="384"/>
      <c r="CM284" s="384"/>
      <c r="CN284" s="384"/>
      <c r="CO284" s="384"/>
      <c r="CP284" s="384"/>
      <c r="CQ284" s="384"/>
      <c r="CR284" s="384"/>
      <c r="CS284" s="384"/>
      <c r="CT284" s="384"/>
      <c r="CU284" s="384"/>
      <c r="CV284" s="384"/>
      <c r="CW284" s="384"/>
    </row>
    <row r="285" spans="1:101" s="388" customFormat="1" ht="150">
      <c r="A285" s="356" t="s">
        <v>3876</v>
      </c>
      <c r="B285" s="386"/>
      <c r="C285" s="386"/>
      <c r="D285" s="386"/>
      <c r="E285" s="494" t="s">
        <v>24</v>
      </c>
      <c r="F285" s="495" t="s">
        <v>1449</v>
      </c>
      <c r="G285" s="496" t="s">
        <v>1450</v>
      </c>
      <c r="H285" s="495" t="s">
        <v>1451</v>
      </c>
      <c r="I285" s="501" t="s">
        <v>3877</v>
      </c>
      <c r="J285" s="501" t="s">
        <v>3877</v>
      </c>
      <c r="K285" s="503" t="s">
        <v>3338</v>
      </c>
      <c r="L285" s="503" t="s">
        <v>3339</v>
      </c>
      <c r="M285" s="496" t="s">
        <v>3861</v>
      </c>
      <c r="N285" s="495" t="s">
        <v>3560</v>
      </c>
      <c r="O285" s="495" t="s">
        <v>3855</v>
      </c>
      <c r="P285" s="495" t="s">
        <v>3317</v>
      </c>
      <c r="Q285" s="450" t="s">
        <v>2462</v>
      </c>
      <c r="R285" s="495" t="s">
        <v>1796</v>
      </c>
      <c r="S285" s="495" t="s">
        <v>1797</v>
      </c>
      <c r="T285" s="495" t="s">
        <v>3878</v>
      </c>
      <c r="U285" s="495" t="s">
        <v>3384</v>
      </c>
      <c r="V285" s="495" t="s">
        <v>3346</v>
      </c>
      <c r="W285" s="495" t="s">
        <v>3879</v>
      </c>
      <c r="X285" s="495" t="s">
        <v>1801</v>
      </c>
      <c r="Y285" s="495" t="s">
        <v>2857</v>
      </c>
      <c r="Z285" s="495" t="s">
        <v>3858</v>
      </c>
      <c r="AA285" s="495" t="s">
        <v>2503</v>
      </c>
      <c r="AB285" s="495" t="s">
        <v>3816</v>
      </c>
      <c r="AC285" s="495" t="s">
        <v>1803</v>
      </c>
      <c r="AD285" s="495" t="s">
        <v>1804</v>
      </c>
      <c r="AE285" s="442"/>
      <c r="AF285" s="386"/>
      <c r="AG285" s="386"/>
      <c r="AH285" s="386"/>
      <c r="AI285" s="386"/>
      <c r="AJ285" s="386"/>
      <c r="AK285" s="386"/>
      <c r="AL285" s="386"/>
      <c r="AM285" s="386"/>
      <c r="AN285" s="386"/>
      <c r="AO285" s="386"/>
      <c r="AP285" s="386"/>
      <c r="AQ285" s="386"/>
      <c r="AR285" s="386"/>
      <c r="AS285" s="386"/>
      <c r="AT285" s="386"/>
      <c r="AU285" s="386"/>
      <c r="AV285" s="386"/>
      <c r="AW285" s="386"/>
      <c r="AX285" s="386"/>
      <c r="AY285" s="386"/>
      <c r="AZ285" s="386"/>
      <c r="BA285" s="544" t="s">
        <v>1349</v>
      </c>
      <c r="BB285" s="545" t="s">
        <v>1805</v>
      </c>
      <c r="BC285" s="545" t="s">
        <v>33</v>
      </c>
      <c r="BD285" s="545" t="s">
        <v>1806</v>
      </c>
      <c r="BE285" s="356" t="s">
        <v>145</v>
      </c>
      <c r="BF285" s="421" t="s">
        <v>1807</v>
      </c>
      <c r="BG285" s="384"/>
      <c r="BH285" s="384"/>
      <c r="BI285" s="384"/>
      <c r="BJ285" s="384"/>
      <c r="BK285" s="384"/>
      <c r="BL285" s="384"/>
      <c r="BM285" s="384"/>
      <c r="BN285" s="384"/>
      <c r="BO285" s="384"/>
      <c r="BP285" s="384"/>
      <c r="BQ285" s="384"/>
      <c r="BR285" s="384"/>
      <c r="BS285" s="384"/>
      <c r="BT285" s="384"/>
      <c r="BU285" s="384"/>
      <c r="BV285" s="384"/>
      <c r="BW285" s="384"/>
      <c r="BX285" s="384"/>
      <c r="BY285" s="384"/>
      <c r="BZ285" s="384"/>
      <c r="CA285" s="384"/>
      <c r="CB285" s="384"/>
      <c r="CC285" s="384"/>
      <c r="CD285" s="384"/>
      <c r="CE285" s="384"/>
      <c r="CF285" s="384"/>
      <c r="CG285" s="384"/>
      <c r="CH285" s="384"/>
      <c r="CI285" s="384"/>
      <c r="CJ285" s="384"/>
      <c r="CK285" s="384"/>
      <c r="CL285" s="384"/>
      <c r="CM285" s="384"/>
      <c r="CN285" s="384"/>
      <c r="CO285" s="384"/>
      <c r="CP285" s="384"/>
      <c r="CQ285" s="384"/>
      <c r="CR285" s="384"/>
      <c r="CS285" s="384"/>
      <c r="CT285" s="384"/>
      <c r="CU285" s="384"/>
      <c r="CV285" s="384"/>
      <c r="CW285" s="384"/>
    </row>
    <row r="286" spans="1:101" s="388" customFormat="1" ht="150">
      <c r="A286" s="356" t="s">
        <v>3880</v>
      </c>
      <c r="B286" s="386"/>
      <c r="C286" s="386"/>
      <c r="D286" s="386"/>
      <c r="E286" s="494" t="s">
        <v>24</v>
      </c>
      <c r="F286" s="495" t="s">
        <v>1452</v>
      </c>
      <c r="G286" s="496" t="s">
        <v>1453</v>
      </c>
      <c r="H286" s="495" t="s">
        <v>1454</v>
      </c>
      <c r="I286" s="501" t="s">
        <v>3881</v>
      </c>
      <c r="J286" s="501" t="s">
        <v>3882</v>
      </c>
      <c r="K286" s="503" t="s">
        <v>3396</v>
      </c>
      <c r="L286" s="503" t="s">
        <v>3868</v>
      </c>
      <c r="M286" s="496" t="s">
        <v>3869</v>
      </c>
      <c r="N286" s="495" t="s">
        <v>3560</v>
      </c>
      <c r="O286" s="495" t="s">
        <v>3855</v>
      </c>
      <c r="P286" s="495" t="s">
        <v>3317</v>
      </c>
      <c r="Q286" s="450" t="s">
        <v>2462</v>
      </c>
      <c r="R286" s="495" t="s">
        <v>1796</v>
      </c>
      <c r="S286" s="495" t="s">
        <v>1797</v>
      </c>
      <c r="T286" s="495" t="s">
        <v>3883</v>
      </c>
      <c r="U286" s="495" t="s">
        <v>3384</v>
      </c>
      <c r="V286" s="495" t="s">
        <v>3346</v>
      </c>
      <c r="W286" s="495" t="s">
        <v>3884</v>
      </c>
      <c r="X286" s="495" t="s">
        <v>1801</v>
      </c>
      <c r="Y286" s="495" t="s">
        <v>2857</v>
      </c>
      <c r="Z286" s="495" t="s">
        <v>3858</v>
      </c>
      <c r="AA286" s="495" t="s">
        <v>2503</v>
      </c>
      <c r="AB286" s="495" t="s">
        <v>3816</v>
      </c>
      <c r="AC286" s="495" t="s">
        <v>1803</v>
      </c>
      <c r="AD286" s="495" t="s">
        <v>1804</v>
      </c>
      <c r="AE286" s="442"/>
      <c r="AF286" s="386"/>
      <c r="AG286" s="386"/>
      <c r="AH286" s="386"/>
      <c r="AI286" s="386"/>
      <c r="AJ286" s="386"/>
      <c r="AK286" s="386"/>
      <c r="AL286" s="386"/>
      <c r="AM286" s="386"/>
      <c r="AN286" s="386"/>
      <c r="AO286" s="386"/>
      <c r="AP286" s="386"/>
      <c r="AQ286" s="386"/>
      <c r="AR286" s="386"/>
      <c r="AS286" s="386"/>
      <c r="AT286" s="386"/>
      <c r="AU286" s="386"/>
      <c r="AV286" s="386"/>
      <c r="AW286" s="386"/>
      <c r="AX286" s="386"/>
      <c r="AY286" s="386"/>
      <c r="AZ286" s="386"/>
      <c r="BA286" s="544" t="s">
        <v>1349</v>
      </c>
      <c r="BB286" s="545" t="s">
        <v>1805</v>
      </c>
      <c r="BC286" s="545" t="s">
        <v>33</v>
      </c>
      <c r="BD286" s="545" t="s">
        <v>1806</v>
      </c>
      <c r="BE286" s="356" t="s">
        <v>145</v>
      </c>
      <c r="BF286" s="421" t="s">
        <v>1807</v>
      </c>
      <c r="BG286" s="384"/>
      <c r="BH286" s="384"/>
      <c r="BI286" s="384"/>
      <c r="BJ286" s="384"/>
      <c r="BK286" s="384"/>
      <c r="BL286" s="384"/>
      <c r="BM286" s="384"/>
      <c r="BN286" s="384"/>
      <c r="BO286" s="384"/>
      <c r="BP286" s="384"/>
      <c r="BQ286" s="384"/>
      <c r="BR286" s="384"/>
      <c r="BS286" s="384"/>
      <c r="BT286" s="384"/>
      <c r="BU286" s="384"/>
      <c r="BV286" s="384"/>
      <c r="BW286" s="384"/>
      <c r="BX286" s="384"/>
      <c r="BY286" s="384"/>
      <c r="BZ286" s="384"/>
      <c r="CA286" s="384"/>
      <c r="CB286" s="384"/>
      <c r="CC286" s="384"/>
      <c r="CD286" s="384"/>
      <c r="CE286" s="384"/>
      <c r="CF286" s="384"/>
      <c r="CG286" s="384"/>
      <c r="CH286" s="384"/>
      <c r="CI286" s="384"/>
      <c r="CJ286" s="384"/>
      <c r="CK286" s="384"/>
      <c r="CL286" s="384"/>
      <c r="CM286" s="384"/>
      <c r="CN286" s="384"/>
      <c r="CO286" s="384"/>
      <c r="CP286" s="384"/>
      <c r="CQ286" s="384"/>
      <c r="CR286" s="384"/>
      <c r="CS286" s="384"/>
      <c r="CT286" s="384"/>
      <c r="CU286" s="384"/>
      <c r="CV286" s="384"/>
      <c r="CW286" s="384"/>
    </row>
    <row r="287" spans="1:101" s="388" customFormat="1" ht="150">
      <c r="A287" s="356" t="s">
        <v>3885</v>
      </c>
      <c r="B287" s="386"/>
      <c r="C287" s="386"/>
      <c r="D287" s="386"/>
      <c r="E287" s="494" t="s">
        <v>24</v>
      </c>
      <c r="F287" s="495" t="s">
        <v>1455</v>
      </c>
      <c r="G287" s="496" t="s">
        <v>1456</v>
      </c>
      <c r="H287" s="495" t="s">
        <v>1457</v>
      </c>
      <c r="I287" s="501" t="s">
        <v>3886</v>
      </c>
      <c r="J287" s="501" t="s">
        <v>3886</v>
      </c>
      <c r="K287" s="503" t="s">
        <v>3277</v>
      </c>
      <c r="L287" s="503" t="s">
        <v>3278</v>
      </c>
      <c r="M287" s="496" t="s">
        <v>3807</v>
      </c>
      <c r="N287" s="495" t="s">
        <v>3887</v>
      </c>
      <c r="O287" s="504" t="s">
        <v>3888</v>
      </c>
      <c r="P287" s="495" t="s">
        <v>3889</v>
      </c>
      <c r="Q287" s="466" t="s">
        <v>1795</v>
      </c>
      <c r="R287" s="495" t="s">
        <v>1796</v>
      </c>
      <c r="S287" s="495" t="s">
        <v>1797</v>
      </c>
      <c r="T287" s="495" t="s">
        <v>3890</v>
      </c>
      <c r="U287" s="495" t="s">
        <v>3891</v>
      </c>
      <c r="V287" s="495" t="s">
        <v>3319</v>
      </c>
      <c r="W287" s="495" t="s">
        <v>3892</v>
      </c>
      <c r="X287" s="495" t="s">
        <v>1801</v>
      </c>
      <c r="Y287" s="495" t="s">
        <v>2857</v>
      </c>
      <c r="Z287" s="495" t="s">
        <v>3839</v>
      </c>
      <c r="AA287" s="495" t="s">
        <v>2503</v>
      </c>
      <c r="AB287" s="495" t="s">
        <v>3840</v>
      </c>
      <c r="AC287" s="495" t="s">
        <v>1803</v>
      </c>
      <c r="AD287" s="495" t="s">
        <v>1804</v>
      </c>
      <c r="AE287" s="442"/>
      <c r="AF287" s="386"/>
      <c r="AG287" s="386"/>
      <c r="AH287" s="386"/>
      <c r="AI287" s="386"/>
      <c r="AJ287" s="386"/>
      <c r="AK287" s="386"/>
      <c r="AL287" s="386"/>
      <c r="AM287" s="386"/>
      <c r="AN287" s="386"/>
      <c r="AO287" s="386"/>
      <c r="AP287" s="386"/>
      <c r="AQ287" s="386"/>
      <c r="AR287" s="386"/>
      <c r="AS287" s="386"/>
      <c r="AT287" s="386"/>
      <c r="AU287" s="386"/>
      <c r="AV287" s="386"/>
      <c r="AW287" s="386"/>
      <c r="AX287" s="386"/>
      <c r="AY287" s="386"/>
      <c r="AZ287" s="386"/>
      <c r="BA287" s="544" t="s">
        <v>1349</v>
      </c>
      <c r="BB287" s="545" t="s">
        <v>1805</v>
      </c>
      <c r="BC287" s="545" t="s">
        <v>33</v>
      </c>
      <c r="BD287" s="545" t="s">
        <v>1806</v>
      </c>
      <c r="BE287" s="356" t="s">
        <v>145</v>
      </c>
      <c r="BF287" s="421" t="s">
        <v>1807</v>
      </c>
      <c r="BG287" s="384"/>
      <c r="BH287" s="384"/>
      <c r="BI287" s="384"/>
      <c r="BJ287" s="384"/>
      <c r="BK287" s="384"/>
      <c r="BL287" s="384"/>
      <c r="BM287" s="384"/>
      <c r="BN287" s="384"/>
      <c r="BO287" s="384"/>
      <c r="BP287" s="384"/>
      <c r="BQ287" s="384"/>
      <c r="BR287" s="384"/>
      <c r="BS287" s="384"/>
      <c r="BT287" s="384"/>
      <c r="BU287" s="384"/>
      <c r="BV287" s="384"/>
      <c r="BW287" s="384"/>
      <c r="BX287" s="384"/>
      <c r="BY287" s="384"/>
      <c r="BZ287" s="384"/>
      <c r="CA287" s="384"/>
      <c r="CB287" s="384"/>
      <c r="CC287" s="384"/>
      <c r="CD287" s="384"/>
      <c r="CE287" s="384"/>
      <c r="CF287" s="384"/>
      <c r="CG287" s="384"/>
      <c r="CH287" s="384"/>
      <c r="CI287" s="384"/>
      <c r="CJ287" s="384"/>
      <c r="CK287" s="384"/>
      <c r="CL287" s="384"/>
      <c r="CM287" s="384"/>
      <c r="CN287" s="384"/>
      <c r="CO287" s="384"/>
      <c r="CP287" s="384"/>
      <c r="CQ287" s="384"/>
      <c r="CR287" s="384"/>
      <c r="CS287" s="384"/>
      <c r="CT287" s="384"/>
      <c r="CU287" s="384"/>
      <c r="CV287" s="384"/>
      <c r="CW287" s="384"/>
    </row>
    <row r="288" spans="1:101" s="388" customFormat="1" ht="150">
      <c r="A288" s="356" t="s">
        <v>3893</v>
      </c>
      <c r="B288" s="386"/>
      <c r="C288" s="386"/>
      <c r="D288" s="386"/>
      <c r="E288" s="494" t="s">
        <v>24</v>
      </c>
      <c r="F288" s="495" t="s">
        <v>1458</v>
      </c>
      <c r="G288" s="496" t="s">
        <v>1459</v>
      </c>
      <c r="H288" s="495" t="s">
        <v>1460</v>
      </c>
      <c r="I288" s="501" t="s">
        <v>3894</v>
      </c>
      <c r="J288" s="501" t="s">
        <v>3894</v>
      </c>
      <c r="K288" s="503" t="s">
        <v>3338</v>
      </c>
      <c r="L288" s="503" t="s">
        <v>3339</v>
      </c>
      <c r="M288" s="496" t="s">
        <v>3861</v>
      </c>
      <c r="N288" s="495" t="s">
        <v>3887</v>
      </c>
      <c r="O288" s="495" t="s">
        <v>3888</v>
      </c>
      <c r="P288" s="495" t="s">
        <v>3889</v>
      </c>
      <c r="Q288" s="466" t="s">
        <v>1795</v>
      </c>
      <c r="R288" s="495" t="s">
        <v>1796</v>
      </c>
      <c r="S288" s="495" t="s">
        <v>1797</v>
      </c>
      <c r="T288" s="495" t="s">
        <v>3895</v>
      </c>
      <c r="U288" s="495" t="s">
        <v>3896</v>
      </c>
      <c r="V288" s="495" t="s">
        <v>3346</v>
      </c>
      <c r="W288" s="495" t="s">
        <v>3897</v>
      </c>
      <c r="X288" s="495" t="s">
        <v>1801</v>
      </c>
      <c r="Y288" s="495" t="s">
        <v>2857</v>
      </c>
      <c r="Z288" s="495" t="s">
        <v>3839</v>
      </c>
      <c r="AA288" s="495" t="s">
        <v>2503</v>
      </c>
      <c r="AB288" s="495" t="s">
        <v>3840</v>
      </c>
      <c r="AC288" s="495" t="s">
        <v>1803</v>
      </c>
      <c r="AD288" s="495" t="s">
        <v>1804</v>
      </c>
      <c r="AE288" s="442"/>
      <c r="AF288" s="386"/>
      <c r="AG288" s="386"/>
      <c r="AH288" s="386"/>
      <c r="AI288" s="386"/>
      <c r="AJ288" s="386"/>
      <c r="AK288" s="386"/>
      <c r="AL288" s="386"/>
      <c r="AM288" s="386"/>
      <c r="AN288" s="386"/>
      <c r="AO288" s="386"/>
      <c r="AP288" s="386"/>
      <c r="AQ288" s="386"/>
      <c r="AR288" s="386"/>
      <c r="AS288" s="386"/>
      <c r="AT288" s="386"/>
      <c r="AU288" s="386"/>
      <c r="AV288" s="386"/>
      <c r="AW288" s="386"/>
      <c r="AX288" s="386"/>
      <c r="AY288" s="386"/>
      <c r="AZ288" s="386"/>
      <c r="BA288" s="544" t="s">
        <v>1349</v>
      </c>
      <c r="BB288" s="545" t="s">
        <v>1805</v>
      </c>
      <c r="BC288" s="545" t="s">
        <v>33</v>
      </c>
      <c r="BD288" s="545" t="s">
        <v>1806</v>
      </c>
      <c r="BE288" s="356" t="s">
        <v>145</v>
      </c>
      <c r="BF288" s="421" t="s">
        <v>1807</v>
      </c>
      <c r="BG288" s="384"/>
      <c r="BH288" s="384"/>
      <c r="BI288" s="384"/>
      <c r="BJ288" s="384"/>
      <c r="BK288" s="384"/>
      <c r="BL288" s="384"/>
      <c r="BM288" s="384"/>
      <c r="BN288" s="384"/>
      <c r="BO288" s="384"/>
      <c r="BP288" s="384"/>
      <c r="BQ288" s="384"/>
      <c r="BR288" s="384"/>
      <c r="BS288" s="384"/>
      <c r="BT288" s="384"/>
      <c r="BU288" s="384"/>
      <c r="BV288" s="384"/>
      <c r="BW288" s="384"/>
      <c r="BX288" s="384"/>
      <c r="BY288" s="384"/>
      <c r="BZ288" s="384"/>
      <c r="CA288" s="384"/>
      <c r="CB288" s="384"/>
      <c r="CC288" s="384"/>
      <c r="CD288" s="384"/>
      <c r="CE288" s="384"/>
      <c r="CF288" s="384"/>
      <c r="CG288" s="384"/>
      <c r="CH288" s="384"/>
      <c r="CI288" s="384"/>
      <c r="CJ288" s="384"/>
      <c r="CK288" s="384"/>
      <c r="CL288" s="384"/>
      <c r="CM288" s="384"/>
      <c r="CN288" s="384"/>
      <c r="CO288" s="384"/>
      <c r="CP288" s="384"/>
      <c r="CQ288" s="384"/>
      <c r="CR288" s="384"/>
      <c r="CS288" s="384"/>
      <c r="CT288" s="384"/>
      <c r="CU288" s="384"/>
      <c r="CV288" s="384"/>
      <c r="CW288" s="384"/>
    </row>
    <row r="289" spans="1:101" s="388" customFormat="1" ht="150">
      <c r="A289" s="356" t="s">
        <v>3898</v>
      </c>
      <c r="B289" s="386"/>
      <c r="C289" s="386"/>
      <c r="D289" s="386"/>
      <c r="E289" s="494" t="s">
        <v>24</v>
      </c>
      <c r="F289" s="495" t="s">
        <v>1461</v>
      </c>
      <c r="G289" s="496" t="s">
        <v>1462</v>
      </c>
      <c r="H289" s="495" t="s">
        <v>1463</v>
      </c>
      <c r="I289" s="501" t="s">
        <v>3899</v>
      </c>
      <c r="J289" s="501" t="s">
        <v>3900</v>
      </c>
      <c r="K289" s="503" t="s">
        <v>3396</v>
      </c>
      <c r="L289" s="503" t="s">
        <v>3868</v>
      </c>
      <c r="M289" s="496" t="s">
        <v>3869</v>
      </c>
      <c r="N289" s="495" t="s">
        <v>3887</v>
      </c>
      <c r="O289" s="495" t="s">
        <v>3888</v>
      </c>
      <c r="P289" s="495" t="s">
        <v>3889</v>
      </c>
      <c r="Q289" s="466" t="s">
        <v>1795</v>
      </c>
      <c r="R289" s="495" t="s">
        <v>1796</v>
      </c>
      <c r="S289" s="495" t="s">
        <v>1797</v>
      </c>
      <c r="T289" s="495" t="s">
        <v>3901</v>
      </c>
      <c r="U289" s="495" t="s">
        <v>3896</v>
      </c>
      <c r="V289" s="495" t="s">
        <v>3346</v>
      </c>
      <c r="W289" s="495" t="s">
        <v>3902</v>
      </c>
      <c r="X289" s="495" t="s">
        <v>1801</v>
      </c>
      <c r="Y289" s="495" t="s">
        <v>2857</v>
      </c>
      <c r="Z289" s="495" t="s">
        <v>3839</v>
      </c>
      <c r="AA289" s="495" t="s">
        <v>2503</v>
      </c>
      <c r="AB289" s="495" t="s">
        <v>3840</v>
      </c>
      <c r="AC289" s="495" t="s">
        <v>1803</v>
      </c>
      <c r="AD289" s="495" t="s">
        <v>1804</v>
      </c>
      <c r="AE289" s="442"/>
      <c r="AF289" s="386"/>
      <c r="AG289" s="386"/>
      <c r="AH289" s="386"/>
      <c r="AI289" s="386"/>
      <c r="AJ289" s="386"/>
      <c r="AK289" s="386"/>
      <c r="AL289" s="386"/>
      <c r="AM289" s="386"/>
      <c r="AN289" s="386"/>
      <c r="AO289" s="386"/>
      <c r="AP289" s="386"/>
      <c r="AQ289" s="386"/>
      <c r="AR289" s="386"/>
      <c r="AS289" s="386"/>
      <c r="AT289" s="386"/>
      <c r="AU289" s="386"/>
      <c r="AV289" s="386"/>
      <c r="AW289" s="386"/>
      <c r="AX289" s="386"/>
      <c r="AY289" s="386"/>
      <c r="AZ289" s="386"/>
      <c r="BA289" s="544" t="s">
        <v>1349</v>
      </c>
      <c r="BB289" s="545" t="s">
        <v>1805</v>
      </c>
      <c r="BC289" s="545" t="s">
        <v>33</v>
      </c>
      <c r="BD289" s="545" t="s">
        <v>1806</v>
      </c>
      <c r="BE289" s="356" t="s">
        <v>145</v>
      </c>
      <c r="BF289" s="421" t="s">
        <v>1807</v>
      </c>
      <c r="BG289" s="384"/>
      <c r="BH289" s="384"/>
      <c r="BI289" s="384"/>
      <c r="BJ289" s="384"/>
      <c r="BK289" s="384"/>
      <c r="BL289" s="384"/>
      <c r="BM289" s="384"/>
      <c r="BN289" s="384"/>
      <c r="BO289" s="384"/>
      <c r="BP289" s="384"/>
      <c r="BQ289" s="384"/>
      <c r="BR289" s="384"/>
      <c r="BS289" s="384"/>
      <c r="BT289" s="384"/>
      <c r="BU289" s="384"/>
      <c r="BV289" s="384"/>
      <c r="BW289" s="384"/>
      <c r="BX289" s="384"/>
      <c r="BY289" s="384"/>
      <c r="BZ289" s="384"/>
      <c r="CA289" s="384"/>
      <c r="CB289" s="384"/>
      <c r="CC289" s="384"/>
      <c r="CD289" s="384"/>
      <c r="CE289" s="384"/>
      <c r="CF289" s="384"/>
      <c r="CG289" s="384"/>
      <c r="CH289" s="384"/>
      <c r="CI289" s="384"/>
      <c r="CJ289" s="384"/>
      <c r="CK289" s="384"/>
      <c r="CL289" s="384"/>
      <c r="CM289" s="384"/>
      <c r="CN289" s="384"/>
      <c r="CO289" s="384"/>
      <c r="CP289" s="384"/>
      <c r="CQ289" s="384"/>
      <c r="CR289" s="384"/>
      <c r="CS289" s="384"/>
      <c r="CT289" s="384"/>
      <c r="CU289" s="384"/>
      <c r="CV289" s="384"/>
      <c r="CW289" s="384"/>
    </row>
    <row r="290" spans="1:101" s="388" customFormat="1" ht="150">
      <c r="A290" s="356" t="s">
        <v>3903</v>
      </c>
      <c r="B290" s="386"/>
      <c r="C290" s="386"/>
      <c r="D290" s="386"/>
      <c r="E290" s="494" t="s">
        <v>24</v>
      </c>
      <c r="F290" s="494" t="s">
        <v>1464</v>
      </c>
      <c r="G290" s="494" t="s">
        <v>1465</v>
      </c>
      <c r="H290" s="495" t="s">
        <v>1466</v>
      </c>
      <c r="I290" s="495" t="s">
        <v>3904</v>
      </c>
      <c r="J290" s="495" t="s">
        <v>3905</v>
      </c>
      <c r="K290" s="495" t="s">
        <v>3277</v>
      </c>
      <c r="L290" s="495" t="s">
        <v>3906</v>
      </c>
      <c r="M290" s="496" t="s">
        <v>3907</v>
      </c>
      <c r="N290" s="495" t="s">
        <v>3887</v>
      </c>
      <c r="O290" s="495" t="s">
        <v>3908</v>
      </c>
      <c r="P290" s="495" t="s">
        <v>3889</v>
      </c>
      <c r="Q290" s="466" t="s">
        <v>1795</v>
      </c>
      <c r="R290" s="495" t="s">
        <v>1796</v>
      </c>
      <c r="S290" s="495" t="s">
        <v>1797</v>
      </c>
      <c r="T290" s="495" t="s">
        <v>3909</v>
      </c>
      <c r="U290" s="495" t="s">
        <v>3891</v>
      </c>
      <c r="V290" s="495" t="s">
        <v>3319</v>
      </c>
      <c r="W290" s="495" t="s">
        <v>3910</v>
      </c>
      <c r="X290" s="495" t="s">
        <v>1801</v>
      </c>
      <c r="Y290" s="495" t="s">
        <v>2857</v>
      </c>
      <c r="Z290" s="495" t="s">
        <v>3839</v>
      </c>
      <c r="AA290" s="495" t="s">
        <v>2503</v>
      </c>
      <c r="AB290" s="495" t="s">
        <v>3840</v>
      </c>
      <c r="AC290" s="495" t="s">
        <v>1803</v>
      </c>
      <c r="AD290" s="495" t="s">
        <v>1804</v>
      </c>
      <c r="AE290" s="442"/>
      <c r="AF290" s="386"/>
      <c r="AG290" s="548"/>
      <c r="AH290" s="548"/>
      <c r="AI290" s="548"/>
      <c r="AJ290" s="548"/>
      <c r="AK290" s="548"/>
      <c r="AL290" s="548"/>
      <c r="AM290" s="548"/>
      <c r="AN290" s="548"/>
      <c r="AO290" s="548"/>
      <c r="AP290" s="548"/>
      <c r="AQ290" s="548"/>
      <c r="AR290" s="548"/>
      <c r="AS290" s="548"/>
      <c r="AT290" s="548"/>
      <c r="AU290" s="548"/>
      <c r="AV290" s="548"/>
      <c r="AW290" s="548"/>
      <c r="AX290" s="548"/>
      <c r="AY290" s="548"/>
      <c r="AZ290" s="548"/>
      <c r="BA290" s="544" t="s">
        <v>1349</v>
      </c>
      <c r="BB290" s="545" t="s">
        <v>1805</v>
      </c>
      <c r="BC290" s="545" t="s">
        <v>33</v>
      </c>
      <c r="BD290" s="545" t="s">
        <v>1806</v>
      </c>
      <c r="BE290" s="356" t="s">
        <v>145</v>
      </c>
      <c r="BF290" s="421" t="s">
        <v>1807</v>
      </c>
      <c r="BG290" s="387"/>
      <c r="BH290" s="387"/>
      <c r="BI290" s="387"/>
      <c r="BJ290" s="387"/>
      <c r="BK290" s="387"/>
      <c r="BL290" s="387"/>
      <c r="BM290" s="387"/>
      <c r="BN290" s="387"/>
      <c r="BO290" s="387"/>
      <c r="BP290" s="387"/>
      <c r="BQ290" s="387"/>
      <c r="BR290" s="387"/>
      <c r="BS290" s="387"/>
      <c r="BT290" s="387"/>
      <c r="BU290" s="387"/>
      <c r="BV290" s="387"/>
      <c r="BW290" s="387"/>
      <c r="BX290" s="387"/>
      <c r="BY290" s="387"/>
      <c r="BZ290" s="387"/>
      <c r="CA290" s="387"/>
      <c r="CB290" s="387"/>
      <c r="CC290" s="387"/>
      <c r="CD290" s="387"/>
      <c r="CE290" s="387"/>
      <c r="CF290" s="387"/>
      <c r="CG290" s="387"/>
      <c r="CH290" s="387"/>
      <c r="CI290" s="387"/>
      <c r="CJ290" s="387"/>
      <c r="CK290" s="387"/>
      <c r="CL290" s="387"/>
      <c r="CM290" s="387"/>
      <c r="CN290" s="387"/>
      <c r="CO290" s="387"/>
      <c r="CP290" s="387"/>
      <c r="CQ290" s="387"/>
      <c r="CR290" s="387"/>
      <c r="CS290" s="387"/>
      <c r="CT290" s="387"/>
      <c r="CU290" s="387"/>
      <c r="CV290" s="387"/>
      <c r="CW290" s="387"/>
    </row>
    <row r="291" spans="1:101" s="389" customFormat="1" ht="132.6" customHeight="1">
      <c r="A291" s="356" t="s">
        <v>3911</v>
      </c>
      <c r="B291" s="386"/>
      <c r="C291" s="386"/>
      <c r="D291" s="386"/>
      <c r="E291" s="494" t="s">
        <v>24</v>
      </c>
      <c r="F291" s="494" t="s">
        <v>3912</v>
      </c>
      <c r="G291" s="494" t="s">
        <v>1468</v>
      </c>
      <c r="H291" s="495" t="s">
        <v>1469</v>
      </c>
      <c r="I291" s="495" t="s">
        <v>3913</v>
      </c>
      <c r="J291" s="495" t="s">
        <v>3914</v>
      </c>
      <c r="K291" s="495" t="s">
        <v>3338</v>
      </c>
      <c r="L291" s="495" t="s">
        <v>3915</v>
      </c>
      <c r="M291" s="496" t="s">
        <v>3916</v>
      </c>
      <c r="N291" s="495" t="s">
        <v>3887</v>
      </c>
      <c r="O291" s="495" t="s">
        <v>3888</v>
      </c>
      <c r="P291" s="495" t="s">
        <v>3889</v>
      </c>
      <c r="Q291" s="466" t="s">
        <v>1795</v>
      </c>
      <c r="R291" s="495" t="s">
        <v>1796</v>
      </c>
      <c r="S291" s="495" t="s">
        <v>1797</v>
      </c>
      <c r="T291" s="495" t="s">
        <v>3917</v>
      </c>
      <c r="U291" s="495" t="s">
        <v>3918</v>
      </c>
      <c r="V291" s="495" t="s">
        <v>3346</v>
      </c>
      <c r="W291" s="495" t="s">
        <v>3919</v>
      </c>
      <c r="X291" s="495" t="s">
        <v>1801</v>
      </c>
      <c r="Y291" s="495" t="s">
        <v>2857</v>
      </c>
      <c r="Z291" s="495" t="s">
        <v>3839</v>
      </c>
      <c r="AA291" s="495" t="s">
        <v>2503</v>
      </c>
      <c r="AB291" s="495" t="s">
        <v>3840</v>
      </c>
      <c r="AC291" s="495" t="s">
        <v>1803</v>
      </c>
      <c r="AD291" s="495" t="s">
        <v>1804</v>
      </c>
      <c r="AE291" s="442"/>
      <c r="AF291" s="386"/>
      <c r="AG291" s="548"/>
      <c r="AH291" s="548"/>
      <c r="AI291" s="548"/>
      <c r="AJ291" s="548"/>
      <c r="AK291" s="548"/>
      <c r="AL291" s="548"/>
      <c r="AM291" s="548"/>
      <c r="AN291" s="548"/>
      <c r="AO291" s="548"/>
      <c r="AP291" s="548"/>
      <c r="AQ291" s="548"/>
      <c r="AR291" s="548"/>
      <c r="AS291" s="548"/>
      <c r="AT291" s="548"/>
      <c r="AU291" s="548"/>
      <c r="AV291" s="548"/>
      <c r="AW291" s="548"/>
      <c r="AX291" s="548"/>
      <c r="AY291" s="548"/>
      <c r="AZ291" s="548"/>
      <c r="BA291" s="356" t="s">
        <v>1349</v>
      </c>
      <c r="BB291" s="545" t="s">
        <v>1805</v>
      </c>
      <c r="BC291" s="545" t="s">
        <v>33</v>
      </c>
      <c r="BD291" s="545" t="s">
        <v>1806</v>
      </c>
      <c r="BE291" s="356" t="s">
        <v>145</v>
      </c>
      <c r="BF291" s="421" t="s">
        <v>1807</v>
      </c>
      <c r="BG291" s="387"/>
      <c r="BH291" s="387"/>
      <c r="BI291" s="387"/>
      <c r="BJ291" s="387"/>
      <c r="BK291" s="387"/>
      <c r="BL291" s="387"/>
      <c r="BM291" s="387"/>
      <c r="BN291" s="387"/>
      <c r="BO291" s="387"/>
      <c r="BP291" s="387"/>
      <c r="BQ291" s="387"/>
      <c r="BR291" s="387"/>
      <c r="BS291" s="387"/>
      <c r="BT291" s="387"/>
      <c r="BU291" s="387"/>
      <c r="BV291" s="387"/>
      <c r="BW291" s="387"/>
      <c r="BX291" s="387"/>
      <c r="BY291" s="387"/>
      <c r="BZ291" s="387"/>
      <c r="CA291" s="387"/>
      <c r="CB291" s="387"/>
      <c r="CC291" s="387"/>
      <c r="CD291" s="387"/>
      <c r="CE291" s="387"/>
      <c r="CF291" s="387"/>
      <c r="CG291" s="387"/>
      <c r="CH291" s="387"/>
      <c r="CI291" s="387"/>
      <c r="CJ291" s="387"/>
      <c r="CK291" s="387"/>
      <c r="CL291" s="387"/>
      <c r="CM291" s="387"/>
      <c r="CN291" s="387"/>
      <c r="CO291" s="387"/>
      <c r="CP291" s="387"/>
      <c r="CQ291" s="387"/>
      <c r="CR291" s="387"/>
      <c r="CS291" s="387"/>
      <c r="CT291" s="387"/>
      <c r="CU291" s="387"/>
      <c r="CV291" s="387"/>
      <c r="CW291" s="387"/>
    </row>
    <row r="292" spans="1:101" s="389" customFormat="1" ht="132.6" customHeight="1">
      <c r="A292" s="356" t="s">
        <v>3920</v>
      </c>
      <c r="B292" s="386"/>
      <c r="C292" s="386"/>
      <c r="D292" s="386"/>
      <c r="E292" s="494" t="s">
        <v>24</v>
      </c>
      <c r="F292" s="494" t="s">
        <v>1470</v>
      </c>
      <c r="G292" s="494" t="s">
        <v>1471</v>
      </c>
      <c r="H292" s="495" t="s">
        <v>1472</v>
      </c>
      <c r="I292" s="495" t="s">
        <v>3921</v>
      </c>
      <c r="J292" s="495" t="s">
        <v>3922</v>
      </c>
      <c r="K292" s="495" t="s">
        <v>3396</v>
      </c>
      <c r="L292" s="495" t="s">
        <v>3923</v>
      </c>
      <c r="M292" s="496" t="s">
        <v>3924</v>
      </c>
      <c r="N292" s="495" t="s">
        <v>3887</v>
      </c>
      <c r="O292" s="495" t="s">
        <v>3888</v>
      </c>
      <c r="P292" s="495" t="s">
        <v>3889</v>
      </c>
      <c r="Q292" s="466" t="s">
        <v>1795</v>
      </c>
      <c r="R292" s="495" t="s">
        <v>1796</v>
      </c>
      <c r="S292" s="495" t="s">
        <v>1797</v>
      </c>
      <c r="T292" s="495" t="s">
        <v>3925</v>
      </c>
      <c r="U292" s="495" t="s">
        <v>3918</v>
      </c>
      <c r="V292" s="495" t="s">
        <v>3346</v>
      </c>
      <c r="W292" s="495" t="s">
        <v>3926</v>
      </c>
      <c r="X292" s="495" t="s">
        <v>1801</v>
      </c>
      <c r="Y292" s="495" t="s">
        <v>2857</v>
      </c>
      <c r="Z292" s="495" t="s">
        <v>3839</v>
      </c>
      <c r="AA292" s="495" t="s">
        <v>2503</v>
      </c>
      <c r="AB292" s="495" t="s">
        <v>3840</v>
      </c>
      <c r="AC292" s="495" t="s">
        <v>1803</v>
      </c>
      <c r="AD292" s="495" t="s">
        <v>1804</v>
      </c>
      <c r="AE292" s="442"/>
      <c r="AF292" s="386"/>
      <c r="AG292" s="548"/>
      <c r="AH292" s="548"/>
      <c r="AI292" s="548"/>
      <c r="AJ292" s="548"/>
      <c r="AK292" s="548"/>
      <c r="AL292" s="548"/>
      <c r="AM292" s="548"/>
      <c r="AN292" s="548"/>
      <c r="AO292" s="548"/>
      <c r="AP292" s="548"/>
      <c r="AQ292" s="548"/>
      <c r="AR292" s="548"/>
      <c r="AS292" s="548"/>
      <c r="AT292" s="548"/>
      <c r="AU292" s="548"/>
      <c r="AV292" s="548"/>
      <c r="AW292" s="548"/>
      <c r="AX292" s="548"/>
      <c r="AY292" s="548"/>
      <c r="AZ292" s="548"/>
      <c r="BA292" s="356" t="s">
        <v>1349</v>
      </c>
      <c r="BB292" s="545" t="s">
        <v>1805</v>
      </c>
      <c r="BC292" s="545" t="s">
        <v>33</v>
      </c>
      <c r="BD292" s="545" t="s">
        <v>1806</v>
      </c>
      <c r="BE292" s="356" t="s">
        <v>145</v>
      </c>
      <c r="BF292" s="421" t="s">
        <v>1807</v>
      </c>
      <c r="BG292" s="387"/>
      <c r="BH292" s="387"/>
      <c r="BI292" s="387"/>
      <c r="BJ292" s="387"/>
      <c r="BK292" s="387"/>
      <c r="BL292" s="387"/>
      <c r="BM292" s="387"/>
      <c r="BN292" s="387"/>
      <c r="BO292" s="387"/>
      <c r="BP292" s="387"/>
      <c r="BQ292" s="387"/>
      <c r="BR292" s="387"/>
      <c r="BS292" s="387"/>
      <c r="BT292" s="387"/>
      <c r="BU292" s="387"/>
      <c r="BV292" s="387"/>
      <c r="BW292" s="387"/>
      <c r="BX292" s="387"/>
      <c r="BY292" s="387"/>
      <c r="BZ292" s="387"/>
      <c r="CA292" s="387"/>
      <c r="CB292" s="387"/>
      <c r="CC292" s="387"/>
      <c r="CD292" s="387"/>
      <c r="CE292" s="387"/>
      <c r="CF292" s="387"/>
      <c r="CG292" s="387"/>
      <c r="CH292" s="387"/>
      <c r="CI292" s="387"/>
      <c r="CJ292" s="387"/>
      <c r="CK292" s="387"/>
      <c r="CL292" s="387"/>
      <c r="CM292" s="387"/>
      <c r="CN292" s="387"/>
      <c r="CO292" s="387"/>
      <c r="CP292" s="387"/>
      <c r="CQ292" s="387"/>
      <c r="CR292" s="387"/>
      <c r="CS292" s="387"/>
      <c r="CT292" s="387"/>
      <c r="CU292" s="387"/>
      <c r="CV292" s="387"/>
      <c r="CW292" s="387"/>
    </row>
    <row r="293" spans="1:101" s="389" customFormat="1" ht="132.6" customHeight="1">
      <c r="A293" s="356" t="s">
        <v>3927</v>
      </c>
      <c r="B293" s="356"/>
      <c r="C293" s="356"/>
      <c r="D293" s="356"/>
      <c r="E293" s="494" t="s">
        <v>24</v>
      </c>
      <c r="F293" s="494" t="s">
        <v>1473</v>
      </c>
      <c r="G293" s="494" t="s">
        <v>1474</v>
      </c>
      <c r="H293" s="480" t="s">
        <v>3928</v>
      </c>
      <c r="I293" s="505" t="s">
        <v>3929</v>
      </c>
      <c r="J293" s="506" t="s">
        <v>3930</v>
      </c>
      <c r="K293" s="480" t="s">
        <v>3277</v>
      </c>
      <c r="L293" s="480" t="s">
        <v>3278</v>
      </c>
      <c r="M293" s="480" t="s">
        <v>3279</v>
      </c>
      <c r="N293" s="480" t="s">
        <v>3611</v>
      </c>
      <c r="O293" s="480" t="s">
        <v>3612</v>
      </c>
      <c r="P293" s="480" t="s">
        <v>3931</v>
      </c>
      <c r="Q293" s="466" t="s">
        <v>1795</v>
      </c>
      <c r="R293" s="480" t="s">
        <v>1796</v>
      </c>
      <c r="S293" s="480" t="s">
        <v>1797</v>
      </c>
      <c r="T293" s="480" t="s">
        <v>3932</v>
      </c>
      <c r="U293" s="480" t="s">
        <v>3933</v>
      </c>
      <c r="V293" s="480" t="s">
        <v>3319</v>
      </c>
      <c r="W293" s="480" t="s">
        <v>3934</v>
      </c>
      <c r="X293" s="480" t="s">
        <v>3935</v>
      </c>
      <c r="Y293" s="480" t="s">
        <v>3575</v>
      </c>
      <c r="Z293" s="480" t="s">
        <v>3936</v>
      </c>
      <c r="AA293" s="480" t="s">
        <v>3937</v>
      </c>
      <c r="AB293" s="480" t="s">
        <v>3938</v>
      </c>
      <c r="AC293" s="442" t="s">
        <v>3939</v>
      </c>
      <c r="AD293" s="442" t="s">
        <v>1804</v>
      </c>
      <c r="AE293" s="442"/>
      <c r="AF293" s="386"/>
      <c r="AG293" s="548"/>
      <c r="AH293" s="548"/>
      <c r="AI293" s="548"/>
      <c r="AJ293" s="548"/>
      <c r="AK293" s="548"/>
      <c r="AL293" s="548"/>
      <c r="AM293" s="548"/>
      <c r="AN293" s="548"/>
      <c r="AO293" s="548"/>
      <c r="AP293" s="548"/>
      <c r="AQ293" s="548"/>
      <c r="AR293" s="548"/>
      <c r="AS293" s="548"/>
      <c r="AT293" s="548"/>
      <c r="AU293" s="548"/>
      <c r="AV293" s="548"/>
      <c r="AW293" s="548"/>
      <c r="AX293" s="548"/>
      <c r="AY293" s="548"/>
      <c r="AZ293" s="548"/>
      <c r="BA293" s="356" t="s">
        <v>1349</v>
      </c>
      <c r="BB293" s="545" t="s">
        <v>1805</v>
      </c>
      <c r="BC293" s="545" t="s">
        <v>33</v>
      </c>
      <c r="BD293" s="545" t="s">
        <v>1806</v>
      </c>
      <c r="BE293" s="356" t="s">
        <v>145</v>
      </c>
      <c r="BF293" s="421" t="s">
        <v>1807</v>
      </c>
      <c r="BG293" s="387"/>
      <c r="BH293" s="387"/>
      <c r="BI293" s="387"/>
      <c r="BJ293" s="387"/>
      <c r="BK293" s="387"/>
      <c r="BL293" s="387"/>
      <c r="BM293" s="387"/>
      <c r="BN293" s="387"/>
      <c r="BO293" s="387"/>
      <c r="BP293" s="387"/>
      <c r="BQ293" s="387"/>
      <c r="BR293" s="387"/>
      <c r="BS293" s="387"/>
      <c r="BT293" s="387"/>
      <c r="BU293" s="387"/>
      <c r="BV293" s="387"/>
      <c r="BW293" s="387"/>
      <c r="BX293" s="387"/>
      <c r="BY293" s="387"/>
      <c r="BZ293" s="387"/>
      <c r="CA293" s="387"/>
      <c r="CB293" s="387"/>
      <c r="CC293" s="387"/>
      <c r="CD293" s="387"/>
      <c r="CE293" s="387"/>
      <c r="CF293" s="387"/>
      <c r="CG293" s="387"/>
      <c r="CH293" s="387"/>
      <c r="CI293" s="387"/>
      <c r="CJ293" s="387"/>
      <c r="CK293" s="387"/>
      <c r="CL293" s="387"/>
      <c r="CM293" s="387"/>
      <c r="CN293" s="387"/>
      <c r="CO293" s="387"/>
      <c r="CP293" s="387"/>
      <c r="CQ293" s="387"/>
      <c r="CR293" s="387"/>
      <c r="CS293" s="387"/>
      <c r="CT293" s="387"/>
      <c r="CU293" s="387"/>
      <c r="CV293" s="387"/>
      <c r="CW293" s="387"/>
    </row>
    <row r="294" spans="1:101" s="389" customFormat="1" ht="132.6" customHeight="1">
      <c r="A294" s="356" t="s">
        <v>3940</v>
      </c>
      <c r="B294" s="356"/>
      <c r="C294" s="356"/>
      <c r="D294" s="356"/>
      <c r="E294" s="494" t="s">
        <v>24</v>
      </c>
      <c r="F294" s="494" t="s">
        <v>1476</v>
      </c>
      <c r="G294" s="494" t="s">
        <v>1477</v>
      </c>
      <c r="H294" s="480" t="s">
        <v>1478</v>
      </c>
      <c r="I294" s="506" t="s">
        <v>3941</v>
      </c>
      <c r="J294" s="506" t="s">
        <v>3942</v>
      </c>
      <c r="K294" s="480" t="s">
        <v>3338</v>
      </c>
      <c r="L294" s="480" t="s">
        <v>3339</v>
      </c>
      <c r="M294" s="480" t="s">
        <v>3340</v>
      </c>
      <c r="N294" s="480" t="s">
        <v>3611</v>
      </c>
      <c r="O294" s="480" t="s">
        <v>3612</v>
      </c>
      <c r="P294" s="480" t="s">
        <v>3613</v>
      </c>
      <c r="Q294" s="466" t="s">
        <v>2462</v>
      </c>
      <c r="R294" s="480" t="s">
        <v>1796</v>
      </c>
      <c r="S294" s="480" t="s">
        <v>1797</v>
      </c>
      <c r="T294" s="480" t="s">
        <v>3943</v>
      </c>
      <c r="U294" s="480" t="s">
        <v>3944</v>
      </c>
      <c r="V294" s="480" t="s">
        <v>3346</v>
      </c>
      <c r="W294" s="480" t="s">
        <v>3945</v>
      </c>
      <c r="X294" s="480" t="s">
        <v>1801</v>
      </c>
      <c r="Y294" s="480" t="s">
        <v>2857</v>
      </c>
      <c r="Z294" s="480" t="s">
        <v>3616</v>
      </c>
      <c r="AA294" s="480" t="s">
        <v>2503</v>
      </c>
      <c r="AB294" s="480" t="s">
        <v>3617</v>
      </c>
      <c r="AC294" s="442" t="s">
        <v>1803</v>
      </c>
      <c r="AD294" s="442" t="s">
        <v>1804</v>
      </c>
      <c r="AE294" s="442"/>
      <c r="AF294" s="386"/>
      <c r="AG294" s="548"/>
      <c r="AH294" s="548"/>
      <c r="AI294" s="548"/>
      <c r="AJ294" s="548"/>
      <c r="AK294" s="548"/>
      <c r="AL294" s="548"/>
      <c r="AM294" s="548"/>
      <c r="AN294" s="548"/>
      <c r="AO294" s="548"/>
      <c r="AP294" s="548"/>
      <c r="AQ294" s="548"/>
      <c r="AR294" s="548"/>
      <c r="AS294" s="548"/>
      <c r="AT294" s="548"/>
      <c r="AU294" s="548"/>
      <c r="AV294" s="548"/>
      <c r="AW294" s="548"/>
      <c r="AX294" s="548"/>
      <c r="AY294" s="548"/>
      <c r="AZ294" s="548"/>
      <c r="BA294" s="356" t="s">
        <v>1349</v>
      </c>
      <c r="BB294" s="545" t="s">
        <v>1805</v>
      </c>
      <c r="BC294" s="545" t="s">
        <v>33</v>
      </c>
      <c r="BD294" s="545" t="s">
        <v>1806</v>
      </c>
      <c r="BE294" s="356" t="s">
        <v>145</v>
      </c>
      <c r="BF294" s="421" t="s">
        <v>1807</v>
      </c>
      <c r="BG294" s="387"/>
      <c r="BH294" s="387"/>
      <c r="BI294" s="387"/>
      <c r="BJ294" s="387"/>
      <c r="BK294" s="387"/>
      <c r="BL294" s="387"/>
      <c r="BM294" s="387"/>
      <c r="BN294" s="387"/>
      <c r="BO294" s="387"/>
      <c r="BP294" s="387"/>
      <c r="BQ294" s="387"/>
      <c r="BR294" s="387"/>
      <c r="BS294" s="387"/>
      <c r="BT294" s="387"/>
      <c r="BU294" s="387"/>
      <c r="BV294" s="387"/>
      <c r="BW294" s="387"/>
      <c r="BX294" s="387"/>
      <c r="BY294" s="387"/>
      <c r="BZ294" s="387"/>
      <c r="CA294" s="387"/>
      <c r="CB294" s="387"/>
      <c r="CC294" s="387"/>
      <c r="CD294" s="387"/>
      <c r="CE294" s="387"/>
      <c r="CF294" s="387"/>
      <c r="CG294" s="387"/>
      <c r="CH294" s="387"/>
      <c r="CI294" s="387"/>
      <c r="CJ294" s="387"/>
      <c r="CK294" s="387"/>
      <c r="CL294" s="387"/>
      <c r="CM294" s="387"/>
      <c r="CN294" s="387"/>
      <c r="CO294" s="387"/>
      <c r="CP294" s="387"/>
      <c r="CQ294" s="387"/>
      <c r="CR294" s="387"/>
      <c r="CS294" s="387"/>
      <c r="CT294" s="387"/>
      <c r="CU294" s="387"/>
      <c r="CV294" s="387"/>
      <c r="CW294" s="387"/>
    </row>
    <row r="295" spans="1:101" s="570" customFormat="1" ht="132.6" customHeight="1">
      <c r="A295" s="557" t="s">
        <v>3946</v>
      </c>
      <c r="B295" s="557"/>
      <c r="C295" s="557"/>
      <c r="D295" s="557"/>
      <c r="E295" s="558" t="s">
        <v>24</v>
      </c>
      <c r="F295" s="558" t="s">
        <v>1479</v>
      </c>
      <c r="G295" s="558" t="s">
        <v>1480</v>
      </c>
      <c r="H295" s="559" t="s">
        <v>1481</v>
      </c>
      <c r="I295" s="560" t="s">
        <v>3947</v>
      </c>
      <c r="J295" s="561" t="s">
        <v>3942</v>
      </c>
      <c r="K295" s="562" t="s">
        <v>3396</v>
      </c>
      <c r="L295" s="562" t="s">
        <v>3397</v>
      </c>
      <c r="M295" s="562" t="s">
        <v>3398</v>
      </c>
      <c r="N295" s="562" t="s">
        <v>3611</v>
      </c>
      <c r="O295" s="562" t="s">
        <v>3612</v>
      </c>
      <c r="P295" s="562" t="s">
        <v>3613</v>
      </c>
      <c r="Q295" s="563" t="s">
        <v>2462</v>
      </c>
      <c r="R295" s="562" t="s">
        <v>1796</v>
      </c>
      <c r="S295" s="562" t="s">
        <v>1797</v>
      </c>
      <c r="T295" s="562" t="s">
        <v>3948</v>
      </c>
      <c r="U295" s="562" t="s">
        <v>3944</v>
      </c>
      <c r="V295" s="562" t="s">
        <v>3346</v>
      </c>
      <c r="W295" s="562" t="s">
        <v>3949</v>
      </c>
      <c r="X295" s="562" t="s">
        <v>1801</v>
      </c>
      <c r="Y295" s="562" t="s">
        <v>2857</v>
      </c>
      <c r="Z295" s="562" t="s">
        <v>3616</v>
      </c>
      <c r="AA295" s="562" t="s">
        <v>2503</v>
      </c>
      <c r="AB295" s="562" t="s">
        <v>3617</v>
      </c>
      <c r="AC295" s="564" t="s">
        <v>1803</v>
      </c>
      <c r="AD295" s="564" t="s">
        <v>1804</v>
      </c>
      <c r="AE295" s="564"/>
      <c r="AF295" s="565"/>
      <c r="AG295" s="566"/>
      <c r="AH295" s="566"/>
      <c r="AI295" s="566"/>
      <c r="AJ295" s="566"/>
      <c r="AK295" s="566"/>
      <c r="AL295" s="566"/>
      <c r="AM295" s="566"/>
      <c r="AN295" s="566"/>
      <c r="AO295" s="566"/>
      <c r="AP295" s="566"/>
      <c r="AQ295" s="566"/>
      <c r="AR295" s="566"/>
      <c r="AS295" s="566"/>
      <c r="AT295" s="566"/>
      <c r="AU295" s="566"/>
      <c r="AV295" s="566"/>
      <c r="AW295" s="566"/>
      <c r="AX295" s="566"/>
      <c r="AY295" s="566"/>
      <c r="AZ295" s="566"/>
      <c r="BA295" s="557" t="s">
        <v>1349</v>
      </c>
      <c r="BB295" s="567" t="s">
        <v>1805</v>
      </c>
      <c r="BC295" s="567" t="s">
        <v>33</v>
      </c>
      <c r="BD295" s="567" t="s">
        <v>1806</v>
      </c>
      <c r="BE295" s="557" t="s">
        <v>145</v>
      </c>
      <c r="BF295" s="568" t="s">
        <v>1807</v>
      </c>
      <c r="BG295" s="569"/>
      <c r="BH295" s="569"/>
      <c r="BI295" s="569"/>
      <c r="BJ295" s="569"/>
      <c r="BK295" s="569"/>
      <c r="BL295" s="569"/>
      <c r="BM295" s="569"/>
      <c r="BN295" s="569"/>
      <c r="BO295" s="569"/>
      <c r="BP295" s="569"/>
      <c r="BQ295" s="569"/>
      <c r="BR295" s="569"/>
      <c r="BS295" s="569"/>
      <c r="BT295" s="569"/>
      <c r="BU295" s="569"/>
      <c r="BV295" s="569"/>
      <c r="BW295" s="569"/>
      <c r="BX295" s="569"/>
      <c r="BY295" s="569"/>
      <c r="BZ295" s="569"/>
      <c r="CA295" s="569"/>
      <c r="CB295" s="569"/>
      <c r="CC295" s="569"/>
      <c r="CD295" s="569"/>
      <c r="CE295" s="569"/>
      <c r="CF295" s="569"/>
      <c r="CG295" s="569"/>
      <c r="CH295" s="569"/>
      <c r="CI295" s="569"/>
      <c r="CJ295" s="569"/>
      <c r="CK295" s="569"/>
      <c r="CL295" s="569"/>
      <c r="CM295" s="569"/>
      <c r="CN295" s="569"/>
      <c r="CO295" s="569"/>
      <c r="CP295" s="569"/>
      <c r="CQ295" s="569"/>
      <c r="CR295" s="569"/>
      <c r="CS295" s="569"/>
      <c r="CT295" s="569"/>
      <c r="CU295" s="569"/>
      <c r="CV295" s="569"/>
      <c r="CW295" s="569"/>
    </row>
    <row r="296" spans="1:101" s="570" customFormat="1" ht="132.6" customHeight="1">
      <c r="A296" s="557" t="s">
        <v>3950</v>
      </c>
      <c r="B296" s="557"/>
      <c r="C296" s="557"/>
      <c r="D296" s="557"/>
      <c r="E296" s="557" t="s">
        <v>24</v>
      </c>
      <c r="F296" s="564" t="s">
        <v>1482</v>
      </c>
      <c r="G296" s="571" t="s">
        <v>1483</v>
      </c>
      <c r="H296" s="564" t="s">
        <v>1484</v>
      </c>
      <c r="I296" s="564" t="s">
        <v>3951</v>
      </c>
      <c r="J296" s="564" t="s">
        <v>3952</v>
      </c>
      <c r="K296" s="564" t="s">
        <v>3953</v>
      </c>
      <c r="L296" s="564" t="s">
        <v>3954</v>
      </c>
      <c r="M296" s="564" t="s">
        <v>3955</v>
      </c>
      <c r="N296" s="564" t="s">
        <v>3956</v>
      </c>
      <c r="O296" s="572" t="s">
        <v>3957</v>
      </c>
      <c r="P296" s="573" t="s">
        <v>3958</v>
      </c>
      <c r="Q296" s="557" t="s">
        <v>1822</v>
      </c>
      <c r="R296" s="564" t="s">
        <v>3959</v>
      </c>
      <c r="S296" s="564" t="s">
        <v>3960</v>
      </c>
      <c r="T296" s="564" t="s">
        <v>3961</v>
      </c>
      <c r="U296" s="564" t="s">
        <v>3962</v>
      </c>
      <c r="V296" s="564" t="s">
        <v>3963</v>
      </c>
      <c r="W296" s="564" t="s">
        <v>3964</v>
      </c>
      <c r="X296" s="564" t="s">
        <v>3962</v>
      </c>
      <c r="Y296" s="564" t="s">
        <v>1804</v>
      </c>
      <c r="Z296" s="564" t="s">
        <v>1804</v>
      </c>
      <c r="AA296" s="564" t="s">
        <v>1804</v>
      </c>
      <c r="AB296" s="564" t="s">
        <v>1804</v>
      </c>
      <c r="AC296" s="564" t="s">
        <v>1804</v>
      </c>
      <c r="AD296" s="564" t="s">
        <v>1804</v>
      </c>
      <c r="AE296" s="564"/>
      <c r="AF296" s="565"/>
      <c r="AG296" s="565"/>
      <c r="AH296" s="565"/>
      <c r="AI296" s="565"/>
      <c r="AJ296" s="565"/>
      <c r="AK296" s="565"/>
      <c r="AL296" s="565"/>
      <c r="AM296" s="565"/>
      <c r="AN296" s="565"/>
      <c r="AO296" s="565"/>
      <c r="AP296" s="565"/>
      <c r="AQ296" s="565"/>
      <c r="AR296" s="565"/>
      <c r="AS296" s="565"/>
      <c r="AT296" s="565"/>
      <c r="AU296" s="565"/>
      <c r="AV296" s="565"/>
      <c r="AW296" s="565"/>
      <c r="AX296" s="565"/>
      <c r="AY296" s="565"/>
      <c r="AZ296" s="565"/>
      <c r="BA296" s="557" t="s">
        <v>1485</v>
      </c>
      <c r="BB296" s="567" t="s">
        <v>2101</v>
      </c>
      <c r="BC296" s="567" t="s">
        <v>33</v>
      </c>
      <c r="BD296" s="567" t="s">
        <v>1804</v>
      </c>
      <c r="BE296" s="557" t="s">
        <v>145</v>
      </c>
      <c r="BF296" s="568" t="s">
        <v>1807</v>
      </c>
      <c r="BG296" s="541"/>
      <c r="BH296" s="541"/>
      <c r="BI296" s="541"/>
      <c r="BJ296" s="541"/>
      <c r="BK296" s="541"/>
      <c r="BL296" s="541"/>
      <c r="BM296" s="541"/>
      <c r="BN296" s="541"/>
      <c r="BO296" s="541"/>
      <c r="BP296" s="541"/>
      <c r="BQ296" s="541"/>
      <c r="BR296" s="541"/>
      <c r="BS296" s="541"/>
      <c r="BT296" s="541"/>
      <c r="BU296" s="541"/>
      <c r="BV296" s="541"/>
      <c r="BW296" s="541"/>
      <c r="BX296" s="541"/>
      <c r="BY296" s="541"/>
      <c r="BZ296" s="541"/>
      <c r="CA296" s="541"/>
      <c r="CB296" s="541"/>
      <c r="CC296" s="541"/>
      <c r="CD296" s="541"/>
      <c r="CE296" s="541"/>
      <c r="CF296" s="541"/>
      <c r="CG296" s="541"/>
      <c r="CH296" s="541"/>
      <c r="CI296" s="541"/>
      <c r="CJ296" s="541"/>
      <c r="CK296" s="541"/>
      <c r="CL296" s="541"/>
      <c r="CM296" s="541"/>
      <c r="CN296" s="541"/>
      <c r="CO296" s="541"/>
      <c r="CP296" s="541"/>
      <c r="CQ296" s="541"/>
      <c r="CR296" s="541"/>
      <c r="CS296" s="541"/>
      <c r="CT296" s="541"/>
      <c r="CU296" s="541"/>
      <c r="CV296" s="541"/>
      <c r="CW296" s="541"/>
    </row>
    <row r="297" spans="1:101" s="570" customFormat="1" ht="132.6" customHeight="1">
      <c r="A297" s="557" t="s">
        <v>3965</v>
      </c>
      <c r="B297" s="557"/>
      <c r="C297" s="557"/>
      <c r="D297" s="557"/>
      <c r="E297" s="557" t="s">
        <v>24</v>
      </c>
      <c r="F297" s="564" t="s">
        <v>1486</v>
      </c>
      <c r="G297" s="571" t="s">
        <v>1487</v>
      </c>
      <c r="H297" s="564" t="s">
        <v>3966</v>
      </c>
      <c r="I297" s="564" t="s">
        <v>3967</v>
      </c>
      <c r="J297" s="564" t="s">
        <v>3968</v>
      </c>
      <c r="K297" s="564" t="s">
        <v>3969</v>
      </c>
      <c r="L297" s="564" t="s">
        <v>3969</v>
      </c>
      <c r="M297" s="564" t="s">
        <v>3970</v>
      </c>
      <c r="N297" s="564" t="s">
        <v>1804</v>
      </c>
      <c r="O297" s="564" t="s">
        <v>2117</v>
      </c>
      <c r="P297" s="574" t="s">
        <v>2118</v>
      </c>
      <c r="Q297" s="557" t="s">
        <v>1822</v>
      </c>
      <c r="R297" s="564" t="s">
        <v>3959</v>
      </c>
      <c r="S297" s="564" t="s">
        <v>3971</v>
      </c>
      <c r="T297" s="564" t="s">
        <v>3966</v>
      </c>
      <c r="U297" s="564" t="s">
        <v>3962</v>
      </c>
      <c r="V297" s="564" t="s">
        <v>3972</v>
      </c>
      <c r="W297" s="564" t="s">
        <v>3973</v>
      </c>
      <c r="X297" s="564" t="s">
        <v>3962</v>
      </c>
      <c r="Y297" s="564" t="s">
        <v>1804</v>
      </c>
      <c r="Z297" s="564" t="s">
        <v>1804</v>
      </c>
      <c r="AA297" s="564" t="s">
        <v>1804</v>
      </c>
      <c r="AB297" s="564" t="s">
        <v>1804</v>
      </c>
      <c r="AC297" s="564" t="s">
        <v>1804</v>
      </c>
      <c r="AD297" s="564" t="s">
        <v>1804</v>
      </c>
      <c r="AE297" s="564"/>
      <c r="AF297" s="565"/>
      <c r="AG297" s="565"/>
      <c r="AH297" s="565"/>
      <c r="AI297" s="565"/>
      <c r="AJ297" s="565"/>
      <c r="AK297" s="565"/>
      <c r="AL297" s="565"/>
      <c r="AM297" s="565"/>
      <c r="AN297" s="565"/>
      <c r="AO297" s="565"/>
      <c r="AP297" s="565"/>
      <c r="AQ297" s="565"/>
      <c r="AR297" s="565"/>
      <c r="AS297" s="565"/>
      <c r="AT297" s="565"/>
      <c r="AU297" s="565"/>
      <c r="AV297" s="565"/>
      <c r="AW297" s="565"/>
      <c r="AX297" s="565"/>
      <c r="AY297" s="565"/>
      <c r="AZ297" s="565"/>
      <c r="BA297" s="557" t="s">
        <v>1485</v>
      </c>
      <c r="BB297" s="567" t="s">
        <v>2101</v>
      </c>
      <c r="BC297" s="567" t="s">
        <v>33</v>
      </c>
      <c r="BD297" s="567" t="s">
        <v>1804</v>
      </c>
      <c r="BE297" s="557" t="s">
        <v>145</v>
      </c>
      <c r="BF297" s="568" t="s">
        <v>1807</v>
      </c>
      <c r="BG297" s="541"/>
      <c r="BH297" s="541"/>
      <c r="BI297" s="541"/>
      <c r="BJ297" s="541"/>
      <c r="BK297" s="541"/>
      <c r="BL297" s="541"/>
      <c r="BM297" s="541"/>
      <c r="BN297" s="541"/>
      <c r="BO297" s="541"/>
      <c r="BP297" s="541"/>
      <c r="BQ297" s="541"/>
      <c r="BR297" s="541"/>
      <c r="BS297" s="541"/>
      <c r="BT297" s="541"/>
      <c r="BU297" s="541"/>
      <c r="BV297" s="541"/>
      <c r="BW297" s="541"/>
      <c r="BX297" s="541"/>
      <c r="BY297" s="541"/>
      <c r="BZ297" s="541"/>
      <c r="CA297" s="541"/>
      <c r="CB297" s="541"/>
      <c r="CC297" s="541"/>
      <c r="CD297" s="541"/>
      <c r="CE297" s="541"/>
      <c r="CF297" s="541"/>
      <c r="CG297" s="541"/>
      <c r="CH297" s="541"/>
      <c r="CI297" s="541"/>
      <c r="CJ297" s="541"/>
      <c r="CK297" s="541"/>
      <c r="CL297" s="541"/>
      <c r="CM297" s="541"/>
      <c r="CN297" s="541"/>
      <c r="CO297" s="541"/>
      <c r="CP297" s="541"/>
      <c r="CQ297" s="541"/>
      <c r="CR297" s="541"/>
      <c r="CS297" s="541"/>
      <c r="CT297" s="541"/>
      <c r="CU297" s="541"/>
      <c r="CV297" s="541"/>
      <c r="CW297" s="541"/>
    </row>
    <row r="298" spans="1:101" s="570" customFormat="1" ht="132.6" customHeight="1">
      <c r="A298" s="557" t="s">
        <v>3974</v>
      </c>
      <c r="B298" s="557"/>
      <c r="C298" s="557"/>
      <c r="D298" s="557"/>
      <c r="E298" s="575" t="s">
        <v>24</v>
      </c>
      <c r="F298" s="576" t="s">
        <v>3975</v>
      </c>
      <c r="G298" s="577" t="s">
        <v>1490</v>
      </c>
      <c r="H298" s="576" t="s">
        <v>1491</v>
      </c>
      <c r="I298" s="576" t="s">
        <v>3976</v>
      </c>
      <c r="J298" s="576" t="s">
        <v>3977</v>
      </c>
      <c r="K298" s="576" t="s">
        <v>3978</v>
      </c>
      <c r="L298" s="576" t="s">
        <v>3979</v>
      </c>
      <c r="M298" s="576" t="s">
        <v>3980</v>
      </c>
      <c r="N298" s="576" t="s">
        <v>3981</v>
      </c>
      <c r="O298" s="578" t="s">
        <v>3982</v>
      </c>
      <c r="P298" s="579" t="s">
        <v>3983</v>
      </c>
      <c r="Q298" s="575" t="s">
        <v>1822</v>
      </c>
      <c r="R298" s="576" t="s">
        <v>3959</v>
      </c>
      <c r="S298" s="576" t="s">
        <v>3984</v>
      </c>
      <c r="T298" s="576" t="s">
        <v>3985</v>
      </c>
      <c r="U298" s="576" t="s">
        <v>3986</v>
      </c>
      <c r="V298" s="576" t="s">
        <v>3987</v>
      </c>
      <c r="W298" s="576" t="s">
        <v>3988</v>
      </c>
      <c r="X298" s="576" t="s">
        <v>3962</v>
      </c>
      <c r="Y298" s="576" t="s">
        <v>1804</v>
      </c>
      <c r="Z298" s="576" t="s">
        <v>1804</v>
      </c>
      <c r="AA298" s="576" t="s">
        <v>1804</v>
      </c>
      <c r="AB298" s="576" t="s">
        <v>1804</v>
      </c>
      <c r="AC298" s="576" t="s">
        <v>1804</v>
      </c>
      <c r="AD298" s="576" t="s">
        <v>1804</v>
      </c>
      <c r="AE298" s="576"/>
      <c r="AF298" s="580"/>
      <c r="AG298" s="580"/>
      <c r="AH298" s="580"/>
      <c r="AI298" s="580"/>
      <c r="AJ298" s="580"/>
      <c r="AK298" s="580"/>
      <c r="AL298" s="580"/>
      <c r="AM298" s="580"/>
      <c r="AN298" s="580"/>
      <c r="AO298" s="580"/>
      <c r="AP298" s="580"/>
      <c r="AQ298" s="580"/>
      <c r="AR298" s="580"/>
      <c r="AS298" s="580"/>
      <c r="AT298" s="580"/>
      <c r="AU298" s="580"/>
      <c r="AV298" s="580"/>
      <c r="AW298" s="580"/>
      <c r="AX298" s="580"/>
      <c r="AY298" s="580"/>
      <c r="AZ298" s="580"/>
      <c r="BA298" s="575" t="s">
        <v>3989</v>
      </c>
      <c r="BB298" s="567" t="s">
        <v>2101</v>
      </c>
      <c r="BC298" s="567" t="s">
        <v>33</v>
      </c>
      <c r="BD298" s="567" t="s">
        <v>33</v>
      </c>
      <c r="BE298" s="557" t="s">
        <v>145</v>
      </c>
      <c r="BF298" s="568" t="s">
        <v>1807</v>
      </c>
      <c r="BG298" s="541"/>
      <c r="BH298" s="541"/>
      <c r="BI298" s="541"/>
      <c r="BJ298" s="541"/>
      <c r="BK298" s="541"/>
      <c r="BL298" s="541"/>
      <c r="BM298" s="541"/>
      <c r="BN298" s="541"/>
      <c r="BO298" s="541"/>
      <c r="BP298" s="541"/>
      <c r="BQ298" s="541"/>
      <c r="BR298" s="541"/>
      <c r="BS298" s="541"/>
      <c r="BT298" s="541"/>
      <c r="BU298" s="541"/>
      <c r="BV298" s="541"/>
      <c r="BW298" s="541"/>
      <c r="BX298" s="541"/>
      <c r="BY298" s="541"/>
      <c r="BZ298" s="541"/>
      <c r="CA298" s="541"/>
      <c r="CB298" s="541"/>
      <c r="CC298" s="541"/>
      <c r="CD298" s="541"/>
      <c r="CE298" s="541"/>
      <c r="CF298" s="541"/>
      <c r="CG298" s="541"/>
      <c r="CH298" s="541"/>
      <c r="CI298" s="541"/>
      <c r="CJ298" s="541"/>
      <c r="CK298" s="541"/>
      <c r="CL298" s="541"/>
      <c r="CM298" s="541"/>
      <c r="CN298" s="541"/>
      <c r="CO298" s="541"/>
      <c r="CP298" s="541"/>
      <c r="CQ298" s="541"/>
      <c r="CR298" s="541"/>
      <c r="CS298" s="541"/>
      <c r="CT298" s="541"/>
      <c r="CU298" s="541"/>
      <c r="CV298" s="541"/>
      <c r="CW298" s="541"/>
    </row>
    <row r="299" spans="1:101" s="570" customFormat="1" ht="132.6" customHeight="1">
      <c r="A299" s="557" t="s">
        <v>3990</v>
      </c>
      <c r="B299" s="557"/>
      <c r="C299" s="557"/>
      <c r="D299" s="557"/>
      <c r="E299" s="575" t="s">
        <v>24</v>
      </c>
      <c r="F299" s="576" t="s">
        <v>1492</v>
      </c>
      <c r="G299" s="577" t="s">
        <v>3991</v>
      </c>
      <c r="H299" s="576" t="s">
        <v>1494</v>
      </c>
      <c r="I299" s="576" t="s">
        <v>3992</v>
      </c>
      <c r="J299" s="576" t="s">
        <v>3993</v>
      </c>
      <c r="K299" s="576" t="s">
        <v>3994</v>
      </c>
      <c r="L299" s="576" t="s">
        <v>3995</v>
      </c>
      <c r="M299" s="576" t="s">
        <v>3996</v>
      </c>
      <c r="N299" s="576" t="s">
        <v>3981</v>
      </c>
      <c r="O299" s="578" t="s">
        <v>3982</v>
      </c>
      <c r="P299" s="579" t="s">
        <v>3983</v>
      </c>
      <c r="Q299" s="575" t="s">
        <v>1822</v>
      </c>
      <c r="R299" s="576" t="s">
        <v>3959</v>
      </c>
      <c r="S299" s="576" t="s">
        <v>3997</v>
      </c>
      <c r="T299" s="576" t="s">
        <v>3998</v>
      </c>
      <c r="U299" s="576" t="s">
        <v>3986</v>
      </c>
      <c r="V299" s="788" t="s">
        <v>6490</v>
      </c>
      <c r="W299" s="576" t="s">
        <v>3999</v>
      </c>
      <c r="X299" s="576" t="s">
        <v>3962</v>
      </c>
      <c r="Y299" s="576" t="s">
        <v>1804</v>
      </c>
      <c r="Z299" s="576" t="s">
        <v>1804</v>
      </c>
      <c r="AA299" s="576" t="s">
        <v>1804</v>
      </c>
      <c r="AB299" s="576" t="s">
        <v>1804</v>
      </c>
      <c r="AC299" s="576" t="s">
        <v>1804</v>
      </c>
      <c r="AD299" s="576" t="s">
        <v>1804</v>
      </c>
      <c r="AE299" s="576"/>
      <c r="AF299" s="580"/>
      <c r="AG299" s="580"/>
      <c r="AH299" s="580"/>
      <c r="AI299" s="580"/>
      <c r="AJ299" s="580"/>
      <c r="AK299" s="580"/>
      <c r="AL299" s="580"/>
      <c r="AM299" s="580"/>
      <c r="AN299" s="580"/>
      <c r="AO299" s="580"/>
      <c r="AP299" s="580"/>
      <c r="AQ299" s="580"/>
      <c r="AR299" s="580"/>
      <c r="AS299" s="580"/>
      <c r="AT299" s="580"/>
      <c r="AU299" s="580"/>
      <c r="AV299" s="580"/>
      <c r="AW299" s="580"/>
      <c r="AX299" s="580"/>
      <c r="AY299" s="580"/>
      <c r="AZ299" s="580"/>
      <c r="BA299" s="575" t="s">
        <v>3989</v>
      </c>
      <c r="BB299" s="567" t="s">
        <v>2101</v>
      </c>
      <c r="BC299" s="567" t="s">
        <v>33</v>
      </c>
      <c r="BD299" s="567" t="s">
        <v>33</v>
      </c>
      <c r="BE299" s="557" t="s">
        <v>145</v>
      </c>
      <c r="BF299" s="568" t="s">
        <v>1807</v>
      </c>
      <c r="BG299" s="541"/>
      <c r="BH299" s="541"/>
      <c r="BI299" s="541"/>
      <c r="BJ299" s="541"/>
      <c r="BK299" s="541"/>
      <c r="BL299" s="541"/>
      <c r="BM299" s="541"/>
      <c r="BN299" s="541"/>
      <c r="BO299" s="541"/>
      <c r="BP299" s="541"/>
      <c r="BQ299" s="541"/>
      <c r="BR299" s="541"/>
      <c r="BS299" s="541"/>
      <c r="BT299" s="541"/>
      <c r="BU299" s="541"/>
      <c r="BV299" s="541"/>
      <c r="BW299" s="541"/>
      <c r="BX299" s="541"/>
      <c r="BY299" s="541"/>
      <c r="BZ299" s="541"/>
      <c r="CA299" s="541"/>
      <c r="CB299" s="541"/>
      <c r="CC299" s="541"/>
      <c r="CD299" s="541"/>
      <c r="CE299" s="541"/>
      <c r="CF299" s="541"/>
      <c r="CG299" s="541"/>
      <c r="CH299" s="541"/>
      <c r="CI299" s="541"/>
      <c r="CJ299" s="541"/>
      <c r="CK299" s="541"/>
      <c r="CL299" s="541"/>
      <c r="CM299" s="541"/>
      <c r="CN299" s="541"/>
      <c r="CO299" s="541"/>
      <c r="CP299" s="541"/>
      <c r="CQ299" s="541"/>
      <c r="CR299" s="541"/>
      <c r="CS299" s="541"/>
      <c r="CT299" s="541"/>
      <c r="CU299" s="541"/>
      <c r="CV299" s="541"/>
      <c r="CW299" s="541"/>
    </row>
    <row r="300" spans="1:101" s="570" customFormat="1" ht="132.6" customHeight="1">
      <c r="A300" s="557" t="s">
        <v>4000</v>
      </c>
      <c r="B300" s="557"/>
      <c r="C300" s="557"/>
      <c r="D300" s="557"/>
      <c r="E300" s="575" t="s">
        <v>24</v>
      </c>
      <c r="F300" s="576" t="s">
        <v>4001</v>
      </c>
      <c r="G300" s="577" t="s">
        <v>4002</v>
      </c>
      <c r="H300" s="576" t="s">
        <v>1497</v>
      </c>
      <c r="I300" s="576" t="s">
        <v>4003</v>
      </c>
      <c r="J300" s="576" t="s">
        <v>4004</v>
      </c>
      <c r="K300" s="576" t="s">
        <v>4005</v>
      </c>
      <c r="L300" s="576" t="s">
        <v>4006</v>
      </c>
      <c r="M300" s="576" t="s">
        <v>4007</v>
      </c>
      <c r="N300" s="564" t="s">
        <v>3956</v>
      </c>
      <c r="O300" s="572" t="s">
        <v>3957</v>
      </c>
      <c r="P300" s="573" t="s">
        <v>3958</v>
      </c>
      <c r="Q300" s="575" t="s">
        <v>1822</v>
      </c>
      <c r="R300" s="576" t="s">
        <v>3959</v>
      </c>
      <c r="S300" s="564" t="s">
        <v>3960</v>
      </c>
      <c r="T300" s="576" t="s">
        <v>4008</v>
      </c>
      <c r="U300" s="576" t="s">
        <v>3986</v>
      </c>
      <c r="V300" s="576" t="s">
        <v>4009</v>
      </c>
      <c r="W300" s="576" t="s">
        <v>4010</v>
      </c>
      <c r="X300" s="576" t="s">
        <v>3962</v>
      </c>
      <c r="Y300" s="576" t="s">
        <v>1804</v>
      </c>
      <c r="Z300" s="576" t="s">
        <v>1804</v>
      </c>
      <c r="AA300" s="576" t="s">
        <v>1804</v>
      </c>
      <c r="AB300" s="576" t="s">
        <v>1804</v>
      </c>
      <c r="AC300" s="576" t="s">
        <v>1804</v>
      </c>
      <c r="AD300" s="576" t="s">
        <v>1804</v>
      </c>
      <c r="AE300" s="576"/>
      <c r="AF300" s="580"/>
      <c r="AG300" s="580"/>
      <c r="AH300" s="580"/>
      <c r="AI300" s="580"/>
      <c r="AJ300" s="580"/>
      <c r="AK300" s="580"/>
      <c r="AL300" s="580"/>
      <c r="AM300" s="580"/>
      <c r="AN300" s="580"/>
      <c r="AO300" s="580"/>
      <c r="AP300" s="580"/>
      <c r="AQ300" s="580"/>
      <c r="AR300" s="580"/>
      <c r="AS300" s="580"/>
      <c r="AT300" s="580"/>
      <c r="AU300" s="580"/>
      <c r="AV300" s="580"/>
      <c r="AW300" s="580"/>
      <c r="AX300" s="580"/>
      <c r="AY300" s="580"/>
      <c r="AZ300" s="580"/>
      <c r="BA300" s="575" t="s">
        <v>3989</v>
      </c>
      <c r="BB300" s="567" t="s">
        <v>2101</v>
      </c>
      <c r="BC300" s="567" t="s">
        <v>33</v>
      </c>
      <c r="BD300" s="567" t="s">
        <v>1804</v>
      </c>
      <c r="BE300" s="557" t="s">
        <v>145</v>
      </c>
      <c r="BF300" s="568" t="s">
        <v>1807</v>
      </c>
      <c r="BG300" s="541"/>
      <c r="BH300" s="541"/>
      <c r="BI300" s="541"/>
      <c r="BJ300" s="541"/>
      <c r="BK300" s="541"/>
      <c r="BL300" s="541"/>
      <c r="BM300" s="541"/>
      <c r="BN300" s="541"/>
      <c r="BO300" s="541"/>
      <c r="BP300" s="541"/>
      <c r="BQ300" s="541"/>
      <c r="BR300" s="541"/>
      <c r="BS300" s="541"/>
      <c r="BT300" s="541"/>
      <c r="BU300" s="541"/>
      <c r="BV300" s="541"/>
      <c r="BW300" s="541"/>
      <c r="BX300" s="541"/>
      <c r="BY300" s="541"/>
      <c r="BZ300" s="541"/>
      <c r="CA300" s="541"/>
      <c r="CB300" s="541"/>
      <c r="CC300" s="541"/>
      <c r="CD300" s="541"/>
      <c r="CE300" s="541"/>
      <c r="CF300" s="541"/>
      <c r="CG300" s="541"/>
      <c r="CH300" s="541"/>
      <c r="CI300" s="541"/>
      <c r="CJ300" s="541"/>
      <c r="CK300" s="541"/>
      <c r="CL300" s="541"/>
      <c r="CM300" s="541"/>
      <c r="CN300" s="541"/>
      <c r="CO300" s="541"/>
      <c r="CP300" s="541"/>
      <c r="CQ300" s="541"/>
      <c r="CR300" s="541"/>
      <c r="CS300" s="541"/>
      <c r="CT300" s="541"/>
      <c r="CU300" s="541"/>
      <c r="CV300" s="541"/>
      <c r="CW300" s="541"/>
    </row>
    <row r="301" spans="1:101" s="541" customFormat="1" ht="165">
      <c r="A301" s="557" t="s">
        <v>4011</v>
      </c>
      <c r="B301" s="571"/>
      <c r="C301" s="571"/>
      <c r="D301" s="571"/>
      <c r="E301" s="557" t="s">
        <v>24</v>
      </c>
      <c r="F301" s="581" t="s">
        <v>4012</v>
      </c>
      <c r="G301" s="582" t="s">
        <v>4013</v>
      </c>
      <c r="H301" s="571" t="s">
        <v>4014</v>
      </c>
      <c r="I301" s="583" t="s">
        <v>3472</v>
      </c>
      <c r="J301" s="583" t="s">
        <v>3473</v>
      </c>
      <c r="K301" s="583" t="s">
        <v>3474</v>
      </c>
      <c r="L301" s="583" t="s">
        <v>3475</v>
      </c>
      <c r="M301" s="583" t="s">
        <v>3476</v>
      </c>
      <c r="N301" s="583" t="s">
        <v>3477</v>
      </c>
      <c r="O301" s="583" t="s">
        <v>3478</v>
      </c>
      <c r="P301" s="583" t="s">
        <v>3479</v>
      </c>
      <c r="Q301" s="584" t="s">
        <v>4015</v>
      </c>
      <c r="R301" s="583" t="s">
        <v>2151</v>
      </c>
      <c r="S301" s="583" t="s">
        <v>1797</v>
      </c>
      <c r="T301" s="583" t="s">
        <v>4016</v>
      </c>
      <c r="U301" s="583" t="s">
        <v>3481</v>
      </c>
      <c r="V301" s="583" t="s">
        <v>4017</v>
      </c>
      <c r="W301" s="583" t="s">
        <v>4018</v>
      </c>
      <c r="X301" s="583" t="s">
        <v>1801</v>
      </c>
      <c r="Y301" s="583" t="s">
        <v>2857</v>
      </c>
      <c r="Z301" s="583" t="s">
        <v>3444</v>
      </c>
      <c r="AA301" s="583" t="s">
        <v>2503</v>
      </c>
      <c r="AB301" s="583" t="s">
        <v>3288</v>
      </c>
      <c r="AC301" s="564" t="s">
        <v>1803</v>
      </c>
      <c r="AD301" s="564" t="s">
        <v>1804</v>
      </c>
      <c r="AE301" s="564"/>
      <c r="AF301" s="565"/>
      <c r="AG301" s="565"/>
      <c r="AH301" s="565"/>
      <c r="AI301" s="565"/>
      <c r="AJ301" s="565"/>
      <c r="AK301" s="565"/>
      <c r="AL301" s="565"/>
      <c r="AM301" s="565"/>
      <c r="AN301" s="565"/>
      <c r="AO301" s="565"/>
      <c r="AP301" s="565"/>
      <c r="AQ301" s="565"/>
      <c r="AR301" s="565"/>
      <c r="AS301" s="565"/>
      <c r="AT301" s="565"/>
      <c r="AU301" s="565"/>
      <c r="AV301" s="565"/>
      <c r="AW301" s="565"/>
      <c r="AX301" s="565"/>
      <c r="AY301" s="565"/>
      <c r="AZ301" s="565"/>
      <c r="BA301" s="585" t="s">
        <v>4019</v>
      </c>
      <c r="BB301" s="567" t="s">
        <v>1805</v>
      </c>
      <c r="BC301" s="567" t="s">
        <v>33</v>
      </c>
      <c r="BD301" s="567" t="s">
        <v>1806</v>
      </c>
      <c r="BE301" s="557" t="s">
        <v>2564</v>
      </c>
      <c r="BF301" s="568" t="s">
        <v>2565</v>
      </c>
    </row>
    <row r="302" spans="1:101" s="586" customFormat="1" ht="165">
      <c r="A302" s="557" t="s">
        <v>4020</v>
      </c>
      <c r="B302" s="571"/>
      <c r="C302" s="571"/>
      <c r="D302" s="571"/>
      <c r="E302" s="557" t="s">
        <v>24</v>
      </c>
      <c r="F302" s="581" t="s">
        <v>4021</v>
      </c>
      <c r="G302" s="582" t="s">
        <v>4022</v>
      </c>
      <c r="H302" s="571" t="s">
        <v>4023</v>
      </c>
      <c r="I302" s="583" t="s">
        <v>3484</v>
      </c>
      <c r="J302" s="583" t="s">
        <v>3485</v>
      </c>
      <c r="K302" s="583" t="s">
        <v>3474</v>
      </c>
      <c r="L302" s="583" t="s">
        <v>3475</v>
      </c>
      <c r="M302" s="583" t="s">
        <v>3476</v>
      </c>
      <c r="N302" s="583" t="s">
        <v>3486</v>
      </c>
      <c r="O302" s="583" t="s">
        <v>3487</v>
      </c>
      <c r="P302" s="583" t="s">
        <v>3488</v>
      </c>
      <c r="Q302" s="584" t="s">
        <v>4015</v>
      </c>
      <c r="R302" s="583" t="s">
        <v>2151</v>
      </c>
      <c r="S302" s="583" t="s">
        <v>1797</v>
      </c>
      <c r="T302" s="583" t="s">
        <v>4024</v>
      </c>
      <c r="U302" s="583" t="s">
        <v>3481</v>
      </c>
      <c r="V302" s="583" t="s">
        <v>4017</v>
      </c>
      <c r="W302" s="583" t="s">
        <v>4025</v>
      </c>
      <c r="X302" s="583" t="s">
        <v>1801</v>
      </c>
      <c r="Y302" s="583" t="s">
        <v>2857</v>
      </c>
      <c r="Z302" s="583" t="s">
        <v>3457</v>
      </c>
      <c r="AA302" s="583" t="s">
        <v>2503</v>
      </c>
      <c r="AB302" s="583" t="s">
        <v>3288</v>
      </c>
      <c r="AC302" s="564" t="s">
        <v>1803</v>
      </c>
      <c r="AD302" s="564" t="s">
        <v>1804</v>
      </c>
      <c r="AE302" s="564"/>
      <c r="AF302" s="565"/>
      <c r="AG302" s="565"/>
      <c r="AH302" s="565"/>
      <c r="AI302" s="565"/>
      <c r="AJ302" s="565"/>
      <c r="AK302" s="565"/>
      <c r="AL302" s="565"/>
      <c r="AM302" s="565"/>
      <c r="AN302" s="565"/>
      <c r="AO302" s="565"/>
      <c r="AP302" s="565"/>
      <c r="AQ302" s="565"/>
      <c r="AR302" s="565"/>
      <c r="AS302" s="565"/>
      <c r="AT302" s="565"/>
      <c r="AU302" s="565"/>
      <c r="AV302" s="565"/>
      <c r="AW302" s="565"/>
      <c r="AX302" s="565"/>
      <c r="AY302" s="565"/>
      <c r="AZ302" s="565"/>
      <c r="BA302" s="585" t="s">
        <v>4019</v>
      </c>
      <c r="BB302" s="567" t="s">
        <v>1805</v>
      </c>
      <c r="BC302" s="567" t="s">
        <v>33</v>
      </c>
      <c r="BD302" s="567" t="s">
        <v>1806</v>
      </c>
      <c r="BE302" s="557" t="s">
        <v>2564</v>
      </c>
      <c r="BF302" s="568" t="s">
        <v>2565</v>
      </c>
      <c r="BG302" s="541"/>
      <c r="BH302" s="541"/>
      <c r="BI302" s="541"/>
      <c r="BJ302" s="541"/>
      <c r="BK302" s="541"/>
      <c r="BL302" s="541"/>
      <c r="BM302" s="541"/>
      <c r="BN302" s="541"/>
      <c r="BO302" s="541"/>
      <c r="BP302" s="541"/>
      <c r="BQ302" s="541"/>
      <c r="BR302" s="541"/>
      <c r="BS302" s="541"/>
      <c r="BT302" s="541"/>
      <c r="BU302" s="541"/>
      <c r="BV302" s="541"/>
      <c r="BW302" s="541"/>
      <c r="BX302" s="541"/>
      <c r="BY302" s="541"/>
      <c r="BZ302" s="541"/>
      <c r="CA302" s="541"/>
      <c r="CB302" s="541"/>
      <c r="CC302" s="541"/>
      <c r="CD302" s="541"/>
      <c r="CE302" s="541"/>
      <c r="CF302" s="541"/>
      <c r="CG302" s="541"/>
      <c r="CH302" s="541"/>
      <c r="CI302" s="541"/>
      <c r="CJ302" s="541"/>
      <c r="CK302" s="541"/>
      <c r="CL302" s="541"/>
      <c r="CM302" s="541"/>
      <c r="CN302" s="541"/>
      <c r="CO302" s="541"/>
      <c r="CP302" s="541"/>
      <c r="CQ302" s="541"/>
      <c r="CR302" s="541"/>
      <c r="CS302" s="541"/>
      <c r="CT302" s="541"/>
      <c r="CU302" s="541"/>
      <c r="CV302" s="541"/>
    </row>
    <row r="303" spans="1:101" s="390" customFormat="1" ht="150">
      <c r="A303" s="356" t="s">
        <v>4026</v>
      </c>
      <c r="B303" s="356"/>
      <c r="C303" s="356"/>
      <c r="D303" s="356"/>
      <c r="E303" s="356" t="s">
        <v>24</v>
      </c>
      <c r="F303" s="454" t="s">
        <v>4027</v>
      </c>
      <c r="G303" s="455" t="s">
        <v>4028</v>
      </c>
      <c r="H303" s="443" t="s">
        <v>4029</v>
      </c>
      <c r="I303" s="452" t="s">
        <v>2981</v>
      </c>
      <c r="J303" s="452" t="s">
        <v>2982</v>
      </c>
      <c r="K303" s="452" t="s">
        <v>2983</v>
      </c>
      <c r="L303" s="452" t="s">
        <v>2984</v>
      </c>
      <c r="M303" s="452" t="s">
        <v>2985</v>
      </c>
      <c r="N303" s="452" t="s">
        <v>2986</v>
      </c>
      <c r="O303" s="452" t="s">
        <v>2987</v>
      </c>
      <c r="P303" s="452" t="s">
        <v>2988</v>
      </c>
      <c r="Q303" s="453" t="s">
        <v>4015</v>
      </c>
      <c r="R303" s="452" t="s">
        <v>2930</v>
      </c>
      <c r="S303" s="452" t="s">
        <v>1797</v>
      </c>
      <c r="T303" s="452" t="s">
        <v>4030</v>
      </c>
      <c r="U303" s="452" t="s">
        <v>4031</v>
      </c>
      <c r="V303" s="452" t="s">
        <v>2976</v>
      </c>
      <c r="W303" s="452" t="s">
        <v>2991</v>
      </c>
      <c r="X303" s="452" t="s">
        <v>1801</v>
      </c>
      <c r="Y303" s="452" t="s">
        <v>2857</v>
      </c>
      <c r="Z303" s="452" t="s">
        <v>2978</v>
      </c>
      <c r="AA303" s="452" t="s">
        <v>2503</v>
      </c>
      <c r="AB303" s="452" t="s">
        <v>2992</v>
      </c>
      <c r="AC303" s="442" t="s">
        <v>1803</v>
      </c>
      <c r="AD303" s="442" t="s">
        <v>2503</v>
      </c>
      <c r="AE303" s="442"/>
      <c r="AF303" s="386"/>
      <c r="AG303" s="384"/>
      <c r="AH303" s="384"/>
      <c r="AI303" s="384"/>
      <c r="AJ303" s="384"/>
      <c r="AK303" s="384"/>
      <c r="AL303" s="384"/>
      <c r="AM303" s="384"/>
      <c r="AN303" s="384"/>
      <c r="AO303" s="384"/>
      <c r="AP303" s="384"/>
      <c r="AQ303" s="384"/>
      <c r="AR303" s="384"/>
      <c r="AS303" s="384"/>
      <c r="AT303" s="384"/>
      <c r="AU303" s="384"/>
      <c r="AV303" s="384"/>
      <c r="AW303" s="384"/>
      <c r="AX303" s="384"/>
      <c r="AY303" s="384"/>
      <c r="AZ303" s="384"/>
      <c r="BA303" s="544" t="s">
        <v>4019</v>
      </c>
      <c r="BB303" s="545" t="s">
        <v>1805</v>
      </c>
      <c r="BC303" s="545" t="s">
        <v>33</v>
      </c>
      <c r="BD303" s="545" t="s">
        <v>1806</v>
      </c>
      <c r="BE303" s="356" t="s">
        <v>2564</v>
      </c>
      <c r="BF303" s="421" t="s">
        <v>2565</v>
      </c>
      <c r="BG303" s="384"/>
      <c r="BH303" s="384"/>
      <c r="BI303" s="384"/>
      <c r="BJ303" s="384"/>
      <c r="BK303" s="384"/>
      <c r="BL303" s="384"/>
      <c r="BM303" s="384"/>
      <c r="BN303" s="384"/>
      <c r="BO303" s="384"/>
      <c r="BP303" s="384"/>
      <c r="BQ303" s="384"/>
      <c r="BR303" s="384"/>
      <c r="BS303" s="384"/>
      <c r="BT303" s="384"/>
      <c r="BU303" s="384"/>
      <c r="BV303" s="384"/>
      <c r="BW303" s="384"/>
      <c r="BX303" s="384"/>
      <c r="BY303" s="384"/>
      <c r="BZ303" s="384"/>
      <c r="CA303" s="384"/>
      <c r="CB303" s="384"/>
      <c r="CC303" s="384"/>
      <c r="CD303" s="384"/>
      <c r="CE303" s="384"/>
      <c r="CF303" s="384"/>
      <c r="CG303" s="384"/>
      <c r="CH303" s="384"/>
      <c r="CI303" s="384"/>
      <c r="CJ303" s="384"/>
      <c r="CK303" s="384"/>
      <c r="CL303" s="384"/>
      <c r="CM303" s="384"/>
      <c r="CN303" s="384"/>
      <c r="CO303" s="384"/>
      <c r="CP303" s="384"/>
      <c r="CQ303" s="384"/>
      <c r="CR303" s="384"/>
      <c r="CS303" s="384"/>
      <c r="CT303" s="384"/>
      <c r="CU303" s="384"/>
      <c r="CV303" s="384"/>
    </row>
    <row r="304" spans="1:101" s="390" customFormat="1" ht="150">
      <c r="A304" s="356" t="s">
        <v>4032</v>
      </c>
      <c r="B304" s="356"/>
      <c r="C304" s="356"/>
      <c r="D304" s="356"/>
      <c r="E304" s="356" t="s">
        <v>24</v>
      </c>
      <c r="F304" s="454" t="s">
        <v>4033</v>
      </c>
      <c r="G304" s="455" t="s">
        <v>4034</v>
      </c>
      <c r="H304" s="443" t="s">
        <v>4035</v>
      </c>
      <c r="I304" s="452" t="s">
        <v>2994</v>
      </c>
      <c r="J304" s="452" t="s">
        <v>2995</v>
      </c>
      <c r="K304" s="452" t="s">
        <v>2983</v>
      </c>
      <c r="L304" s="452" t="s">
        <v>2984</v>
      </c>
      <c r="M304" s="452" t="s">
        <v>2985</v>
      </c>
      <c r="N304" s="452" t="s">
        <v>2996</v>
      </c>
      <c r="O304" s="452" t="s">
        <v>2997</v>
      </c>
      <c r="P304" s="452" t="s">
        <v>2998</v>
      </c>
      <c r="Q304" s="453" t="s">
        <v>4015</v>
      </c>
      <c r="R304" s="452" t="s">
        <v>2930</v>
      </c>
      <c r="S304" s="452" t="s">
        <v>1797</v>
      </c>
      <c r="T304" s="452" t="s">
        <v>4036</v>
      </c>
      <c r="U304" s="452" t="s">
        <v>4031</v>
      </c>
      <c r="V304" s="452" t="s">
        <v>2976</v>
      </c>
      <c r="W304" s="452" t="s">
        <v>2977</v>
      </c>
      <c r="X304" s="452" t="s">
        <v>1801</v>
      </c>
      <c r="Y304" s="452" t="s">
        <v>2857</v>
      </c>
      <c r="Z304" s="452" t="s">
        <v>2978</v>
      </c>
      <c r="AA304" s="452" t="s">
        <v>2503</v>
      </c>
      <c r="AB304" s="452" t="s">
        <v>2992</v>
      </c>
      <c r="AC304" s="442" t="s">
        <v>1803</v>
      </c>
      <c r="AD304" s="442" t="s">
        <v>2503</v>
      </c>
      <c r="AE304" s="442"/>
      <c r="AF304" s="386"/>
      <c r="AG304" s="384"/>
      <c r="AH304" s="384"/>
      <c r="AI304" s="384"/>
      <c r="AJ304" s="384"/>
      <c r="AK304" s="384"/>
      <c r="AL304" s="384"/>
      <c r="AM304" s="384"/>
      <c r="AN304" s="384"/>
      <c r="AO304" s="384"/>
      <c r="AP304" s="384"/>
      <c r="AQ304" s="384"/>
      <c r="AR304" s="384"/>
      <c r="AS304" s="384"/>
      <c r="AT304" s="384"/>
      <c r="AU304" s="384"/>
      <c r="AV304" s="384"/>
      <c r="AW304" s="384"/>
      <c r="AX304" s="384"/>
      <c r="AY304" s="384"/>
      <c r="AZ304" s="384"/>
      <c r="BA304" s="544" t="s">
        <v>4019</v>
      </c>
      <c r="BB304" s="545" t="s">
        <v>1805</v>
      </c>
      <c r="BC304" s="545" t="s">
        <v>33</v>
      </c>
      <c r="BD304" s="545" t="s">
        <v>1806</v>
      </c>
      <c r="BE304" s="356" t="s">
        <v>2564</v>
      </c>
      <c r="BF304" s="421" t="s">
        <v>2565</v>
      </c>
      <c r="BG304" s="384"/>
      <c r="BH304" s="384"/>
      <c r="BI304" s="384"/>
      <c r="BJ304" s="384"/>
      <c r="BK304" s="384"/>
      <c r="BL304" s="384"/>
      <c r="BM304" s="384"/>
      <c r="BN304" s="384"/>
      <c r="BO304" s="384"/>
      <c r="BP304" s="384"/>
      <c r="BQ304" s="384"/>
      <c r="BR304" s="384"/>
      <c r="BS304" s="384"/>
      <c r="BT304" s="384"/>
      <c r="BU304" s="384"/>
      <c r="BV304" s="384"/>
      <c r="BW304" s="384"/>
      <c r="BX304" s="384"/>
      <c r="BY304" s="384"/>
      <c r="BZ304" s="384"/>
      <c r="CA304" s="384"/>
      <c r="CB304" s="384"/>
      <c r="CC304" s="384"/>
      <c r="CD304" s="384"/>
      <c r="CE304" s="384"/>
      <c r="CF304" s="384"/>
      <c r="CG304" s="384"/>
      <c r="CH304" s="384"/>
      <c r="CI304" s="384"/>
      <c r="CJ304" s="384"/>
      <c r="CK304" s="384"/>
      <c r="CL304" s="384"/>
      <c r="CM304" s="384"/>
      <c r="CN304" s="384"/>
      <c r="CO304" s="384"/>
      <c r="CP304" s="384"/>
      <c r="CQ304" s="384"/>
      <c r="CR304" s="384"/>
      <c r="CS304" s="384"/>
      <c r="CT304" s="384"/>
      <c r="CU304" s="384"/>
      <c r="CV304" s="384"/>
    </row>
    <row r="305" spans="1:100" ht="180">
      <c r="A305" s="356" t="s">
        <v>4037</v>
      </c>
      <c r="B305" s="386"/>
      <c r="C305" s="386"/>
      <c r="D305" s="386"/>
      <c r="E305" s="494" t="s">
        <v>148</v>
      </c>
      <c r="F305" s="442" t="s">
        <v>1511</v>
      </c>
      <c r="G305" s="442" t="s">
        <v>1512</v>
      </c>
      <c r="H305" s="442" t="s">
        <v>4038</v>
      </c>
      <c r="I305" s="478" t="s">
        <v>3842</v>
      </c>
      <c r="J305" s="478" t="s">
        <v>4039</v>
      </c>
      <c r="K305" s="477" t="s">
        <v>1436</v>
      </c>
      <c r="L305" s="478" t="s">
        <v>4040</v>
      </c>
      <c r="M305" s="478" t="s">
        <v>3842</v>
      </c>
      <c r="N305" s="477" t="s">
        <v>3844</v>
      </c>
      <c r="O305" s="500" t="s">
        <v>3845</v>
      </c>
      <c r="P305" s="500" t="s">
        <v>3846</v>
      </c>
      <c r="Q305" s="453" t="s">
        <v>4015</v>
      </c>
      <c r="R305" s="477" t="s">
        <v>3587</v>
      </c>
      <c r="S305" s="477" t="s">
        <v>1824</v>
      </c>
      <c r="T305" s="495" t="s">
        <v>4041</v>
      </c>
      <c r="U305" s="495" t="s">
        <v>3848</v>
      </c>
      <c r="V305" s="495" t="s">
        <v>3735</v>
      </c>
      <c r="W305" s="495" t="s">
        <v>3849</v>
      </c>
      <c r="X305" s="477" t="s">
        <v>1801</v>
      </c>
      <c r="Y305" s="495" t="s">
        <v>2857</v>
      </c>
      <c r="Z305" s="477" t="s">
        <v>4042</v>
      </c>
      <c r="AA305" s="495" t="s">
        <v>2503</v>
      </c>
      <c r="AB305" s="495" t="s">
        <v>3851</v>
      </c>
      <c r="AC305" s="477" t="s">
        <v>1803</v>
      </c>
      <c r="AD305" s="495" t="s">
        <v>1804</v>
      </c>
      <c r="AE305" s="442"/>
      <c r="AF305" s="386"/>
      <c r="BA305" s="544" t="s">
        <v>4019</v>
      </c>
      <c r="BB305" s="545" t="s">
        <v>1805</v>
      </c>
      <c r="BC305" s="545" t="s">
        <v>33</v>
      </c>
      <c r="BD305" s="545" t="s">
        <v>1806</v>
      </c>
      <c r="BE305" s="356" t="s">
        <v>2564</v>
      </c>
      <c r="BF305" s="421" t="s">
        <v>2565</v>
      </c>
    </row>
    <row r="306" spans="1:100" ht="150">
      <c r="A306" s="356" t="s">
        <v>4043</v>
      </c>
      <c r="B306" s="356"/>
      <c r="C306" s="356"/>
      <c r="D306" s="356"/>
      <c r="E306" s="356" t="s">
        <v>24</v>
      </c>
      <c r="F306" s="442" t="s">
        <v>1514</v>
      </c>
      <c r="G306" s="442" t="s">
        <v>1515</v>
      </c>
      <c r="H306" s="442" t="s">
        <v>1516</v>
      </c>
      <c r="I306" s="493" t="s">
        <v>4044</v>
      </c>
      <c r="J306" s="490" t="s">
        <v>3781</v>
      </c>
      <c r="K306" s="490" t="s">
        <v>1415</v>
      </c>
      <c r="L306" s="490" t="s">
        <v>3780</v>
      </c>
      <c r="M306" s="490" t="s">
        <v>3781</v>
      </c>
      <c r="N306" s="490" t="s">
        <v>3510</v>
      </c>
      <c r="O306" s="492" t="s">
        <v>3081</v>
      </c>
      <c r="P306" s="492" t="s">
        <v>3082</v>
      </c>
      <c r="Q306" s="453" t="s">
        <v>4015</v>
      </c>
      <c r="R306" s="490" t="s">
        <v>3587</v>
      </c>
      <c r="S306" s="490" t="s">
        <v>1797</v>
      </c>
      <c r="T306" s="490" t="s">
        <v>4045</v>
      </c>
      <c r="U306" s="490" t="s">
        <v>4046</v>
      </c>
      <c r="V306" s="490" t="s">
        <v>4047</v>
      </c>
      <c r="W306" s="490" t="s">
        <v>4048</v>
      </c>
      <c r="X306" s="490" t="s">
        <v>1801</v>
      </c>
      <c r="Y306" s="490" t="s">
        <v>2857</v>
      </c>
      <c r="Z306" s="490" t="s">
        <v>3723</v>
      </c>
      <c r="AA306" s="490" t="s">
        <v>2503</v>
      </c>
      <c r="AB306" s="490" t="s">
        <v>3617</v>
      </c>
      <c r="AC306" s="442" t="s">
        <v>1803</v>
      </c>
      <c r="AD306" s="442" t="s">
        <v>1804</v>
      </c>
      <c r="AE306" s="442"/>
      <c r="AF306" s="386"/>
      <c r="BA306" s="544" t="s">
        <v>4019</v>
      </c>
      <c r="BB306" s="545" t="s">
        <v>1805</v>
      </c>
      <c r="BC306" s="545" t="s">
        <v>33</v>
      </c>
      <c r="BD306" s="545" t="s">
        <v>1806</v>
      </c>
      <c r="BE306" s="356" t="s">
        <v>2564</v>
      </c>
      <c r="BF306" s="421" t="s">
        <v>2565</v>
      </c>
    </row>
    <row r="307" spans="1:100" ht="150">
      <c r="A307" s="356" t="s">
        <v>4049</v>
      </c>
      <c r="B307" s="356"/>
      <c r="C307" s="356"/>
      <c r="D307" s="356"/>
      <c r="E307" s="356" t="s">
        <v>24</v>
      </c>
      <c r="F307" s="442" t="s">
        <v>1517</v>
      </c>
      <c r="G307" s="442" t="s">
        <v>1518</v>
      </c>
      <c r="H307" s="442" t="s">
        <v>1519</v>
      </c>
      <c r="I307" s="490" t="s">
        <v>3774</v>
      </c>
      <c r="J307" s="490" t="s">
        <v>3775</v>
      </c>
      <c r="K307" s="490" t="s">
        <v>1412</v>
      </c>
      <c r="L307" s="490" t="s">
        <v>3774</v>
      </c>
      <c r="M307" s="490" t="s">
        <v>3775</v>
      </c>
      <c r="N307" s="490" t="s">
        <v>3497</v>
      </c>
      <c r="O307" s="492" t="s">
        <v>3081</v>
      </c>
      <c r="P307" s="492" t="s">
        <v>3082</v>
      </c>
      <c r="Q307" s="453" t="s">
        <v>4015</v>
      </c>
      <c r="R307" s="490" t="s">
        <v>3587</v>
      </c>
      <c r="S307" s="490" t="s">
        <v>1797</v>
      </c>
      <c r="T307" s="490" t="s">
        <v>4050</v>
      </c>
      <c r="U307" s="490" t="s">
        <v>4051</v>
      </c>
      <c r="V307" s="490" t="s">
        <v>4047</v>
      </c>
      <c r="W307" s="490" t="s">
        <v>4052</v>
      </c>
      <c r="X307" s="490" t="s">
        <v>1801</v>
      </c>
      <c r="Y307" s="490" t="s">
        <v>2857</v>
      </c>
      <c r="Z307" s="490" t="s">
        <v>3723</v>
      </c>
      <c r="AA307" s="490" t="s">
        <v>2503</v>
      </c>
      <c r="AB307" s="490" t="s">
        <v>3617</v>
      </c>
      <c r="AC307" s="442" t="s">
        <v>1803</v>
      </c>
      <c r="AD307" s="442" t="s">
        <v>1804</v>
      </c>
      <c r="AE307" s="442"/>
      <c r="AF307" s="386"/>
      <c r="BA307" s="544" t="s">
        <v>4019</v>
      </c>
      <c r="BB307" s="545" t="s">
        <v>1805</v>
      </c>
      <c r="BC307" s="545" t="s">
        <v>33</v>
      </c>
      <c r="BD307" s="545" t="s">
        <v>1806</v>
      </c>
      <c r="BE307" s="356" t="s">
        <v>2564</v>
      </c>
      <c r="BF307" s="421" t="s">
        <v>2565</v>
      </c>
    </row>
    <row r="308" spans="1:100" ht="150">
      <c r="A308" s="356" t="s">
        <v>4053</v>
      </c>
      <c r="B308" s="443"/>
      <c r="C308" s="443"/>
      <c r="D308" s="443"/>
      <c r="E308" s="507" t="s">
        <v>24</v>
      </c>
      <c r="F308" s="508" t="s">
        <v>4054</v>
      </c>
      <c r="G308" s="508" t="s">
        <v>4055</v>
      </c>
      <c r="H308" s="508" t="s">
        <v>4056</v>
      </c>
      <c r="I308" s="490" t="s">
        <v>3786</v>
      </c>
      <c r="J308" s="490" t="s">
        <v>3787</v>
      </c>
      <c r="K308" s="490" t="s">
        <v>1418</v>
      </c>
      <c r="L308" s="490" t="s">
        <v>3786</v>
      </c>
      <c r="M308" s="490" t="s">
        <v>3787</v>
      </c>
      <c r="N308" s="490" t="s">
        <v>3788</v>
      </c>
      <c r="O308" s="492" t="s">
        <v>3090</v>
      </c>
      <c r="P308" s="492" t="s">
        <v>3091</v>
      </c>
      <c r="Q308" s="453" t="s">
        <v>4015</v>
      </c>
      <c r="R308" s="490" t="s">
        <v>3587</v>
      </c>
      <c r="S308" s="490" t="s">
        <v>1824</v>
      </c>
      <c r="T308" s="490" t="s">
        <v>4057</v>
      </c>
      <c r="U308" s="490" t="s">
        <v>3790</v>
      </c>
      <c r="V308" s="490" t="s">
        <v>4058</v>
      </c>
      <c r="W308" s="490" t="s">
        <v>4059</v>
      </c>
      <c r="X308" s="490" t="s">
        <v>1801</v>
      </c>
      <c r="Y308" s="490" t="s">
        <v>2857</v>
      </c>
      <c r="Z308" s="490" t="s">
        <v>3723</v>
      </c>
      <c r="AA308" s="490" t="s">
        <v>2503</v>
      </c>
      <c r="AB308" s="490" t="s">
        <v>3617</v>
      </c>
      <c r="AC308" s="442" t="s">
        <v>1803</v>
      </c>
      <c r="AD308" s="442" t="s">
        <v>1804</v>
      </c>
      <c r="AE308" s="442"/>
      <c r="AF308" s="386"/>
      <c r="BA308" s="549" t="s">
        <v>4019</v>
      </c>
      <c r="BB308" s="550" t="s">
        <v>1805</v>
      </c>
      <c r="BC308" s="550" t="s">
        <v>33</v>
      </c>
      <c r="BD308" s="550" t="s">
        <v>1806</v>
      </c>
      <c r="BE308" s="549" t="s">
        <v>2564</v>
      </c>
      <c r="BF308" s="421" t="s">
        <v>2565</v>
      </c>
    </row>
    <row r="309" spans="1:100" s="390" customFormat="1" ht="180">
      <c r="A309" s="356" t="s">
        <v>4060</v>
      </c>
      <c r="B309" s="356"/>
      <c r="C309" s="356"/>
      <c r="D309" s="356"/>
      <c r="E309" s="356" t="s">
        <v>148</v>
      </c>
      <c r="F309" s="452" t="s">
        <v>4061</v>
      </c>
      <c r="G309" s="509" t="s">
        <v>4062</v>
      </c>
      <c r="H309" s="452" t="s">
        <v>4063</v>
      </c>
      <c r="I309" s="452" t="s">
        <v>3039</v>
      </c>
      <c r="J309" s="452" t="s">
        <v>3040</v>
      </c>
      <c r="K309" s="452" t="s">
        <v>3041</v>
      </c>
      <c r="L309" s="452" t="s">
        <v>3042</v>
      </c>
      <c r="M309" s="452" t="s">
        <v>3043</v>
      </c>
      <c r="N309" s="452" t="s">
        <v>3007</v>
      </c>
      <c r="O309" s="452" t="s">
        <v>3008</v>
      </c>
      <c r="P309" s="452" t="s">
        <v>3009</v>
      </c>
      <c r="Q309" s="453" t="s">
        <v>4015</v>
      </c>
      <c r="R309" s="452" t="s">
        <v>3010</v>
      </c>
      <c r="S309" s="452" t="s">
        <v>1797</v>
      </c>
      <c r="T309" s="452" t="s">
        <v>3044</v>
      </c>
      <c r="U309" s="452" t="s">
        <v>3012</v>
      </c>
      <c r="V309" s="452" t="s">
        <v>2932</v>
      </c>
      <c r="W309" s="452" t="s">
        <v>3045</v>
      </c>
      <c r="X309" s="452" t="s">
        <v>1801</v>
      </c>
      <c r="Y309" s="452" t="s">
        <v>2857</v>
      </c>
      <c r="Z309" s="452" t="s">
        <v>3014</v>
      </c>
      <c r="AA309" s="452" t="s">
        <v>2503</v>
      </c>
      <c r="AB309" s="452" t="s">
        <v>4064</v>
      </c>
      <c r="AC309" s="442" t="s">
        <v>1803</v>
      </c>
      <c r="AD309" s="442" t="s">
        <v>2503</v>
      </c>
      <c r="AE309" s="442"/>
      <c r="AF309" s="386"/>
      <c r="AG309" s="384"/>
      <c r="AH309" s="384"/>
      <c r="AI309" s="384"/>
      <c r="AJ309" s="384"/>
      <c r="AK309" s="384"/>
      <c r="AL309" s="384"/>
      <c r="AM309" s="384"/>
      <c r="AN309" s="384"/>
      <c r="AO309" s="384"/>
      <c r="AP309" s="384"/>
      <c r="AQ309" s="384"/>
      <c r="AR309" s="384"/>
      <c r="AS309" s="384"/>
      <c r="AT309" s="384"/>
      <c r="AU309" s="384"/>
      <c r="AV309" s="384"/>
      <c r="AW309" s="384"/>
      <c r="AX309" s="384"/>
      <c r="AY309" s="384"/>
      <c r="AZ309" s="384"/>
      <c r="BA309" s="544" t="s">
        <v>4019</v>
      </c>
      <c r="BB309" s="545" t="s">
        <v>1805</v>
      </c>
      <c r="BC309" s="545" t="s">
        <v>33</v>
      </c>
      <c r="BD309" s="545" t="s">
        <v>1806</v>
      </c>
      <c r="BE309" s="356" t="s">
        <v>2564</v>
      </c>
      <c r="BF309" s="421" t="s">
        <v>2565</v>
      </c>
      <c r="BG309" s="384"/>
      <c r="BH309" s="384"/>
      <c r="BI309" s="384"/>
      <c r="BJ309" s="384"/>
      <c r="BK309" s="384"/>
      <c r="BL309" s="384"/>
      <c r="BM309" s="384"/>
      <c r="BN309" s="384"/>
      <c r="BO309" s="384"/>
      <c r="BP309" s="384"/>
      <c r="BQ309" s="384"/>
      <c r="BR309" s="384"/>
      <c r="BS309" s="384"/>
      <c r="BT309" s="384"/>
      <c r="BU309" s="384"/>
      <c r="BV309" s="384"/>
      <c r="BW309" s="384"/>
      <c r="BX309" s="384"/>
      <c r="BY309" s="384"/>
      <c r="BZ309" s="384"/>
      <c r="CA309" s="384"/>
      <c r="CB309" s="384"/>
      <c r="CC309" s="384"/>
      <c r="CD309" s="384"/>
      <c r="CE309" s="384"/>
      <c r="CF309" s="384"/>
      <c r="CG309" s="384"/>
      <c r="CH309" s="384"/>
      <c r="CI309" s="384"/>
      <c r="CJ309" s="384"/>
      <c r="CK309" s="384"/>
      <c r="CL309" s="384"/>
      <c r="CM309" s="384"/>
      <c r="CN309" s="384"/>
      <c r="CO309" s="384"/>
      <c r="CP309" s="384"/>
      <c r="CQ309" s="384"/>
      <c r="CR309" s="384"/>
      <c r="CS309" s="384"/>
      <c r="CT309" s="384"/>
      <c r="CU309" s="384"/>
      <c r="CV309" s="384"/>
    </row>
    <row r="310" spans="1:100" ht="255">
      <c r="A310" s="356" t="s">
        <v>4065</v>
      </c>
      <c r="B310" s="443"/>
      <c r="C310" s="443"/>
      <c r="D310" s="443"/>
      <c r="E310" s="356" t="s">
        <v>24</v>
      </c>
      <c r="F310" s="454" t="s">
        <v>4066</v>
      </c>
      <c r="G310" s="455" t="s">
        <v>4067</v>
      </c>
      <c r="H310" s="443" t="s">
        <v>4068</v>
      </c>
      <c r="I310" s="468" t="s">
        <v>3492</v>
      </c>
      <c r="J310" s="510" t="s">
        <v>4069</v>
      </c>
      <c r="K310" s="468" t="s">
        <v>3494</v>
      </c>
      <c r="L310" s="468" t="s">
        <v>3495</v>
      </c>
      <c r="M310" s="468" t="s">
        <v>3496</v>
      </c>
      <c r="N310" s="468" t="s">
        <v>3497</v>
      </c>
      <c r="O310" s="468" t="s">
        <v>3081</v>
      </c>
      <c r="P310" s="468" t="s">
        <v>3082</v>
      </c>
      <c r="Q310" s="453" t="s">
        <v>4015</v>
      </c>
      <c r="R310" s="468" t="s">
        <v>3498</v>
      </c>
      <c r="S310" s="468" t="s">
        <v>1797</v>
      </c>
      <c r="T310" s="468" t="s">
        <v>4070</v>
      </c>
      <c r="U310" s="468" t="s">
        <v>4071</v>
      </c>
      <c r="V310" s="468" t="s">
        <v>3501</v>
      </c>
      <c r="W310" s="468" t="s">
        <v>4072</v>
      </c>
      <c r="X310" s="468" t="s">
        <v>1801</v>
      </c>
      <c r="Y310" s="468" t="s">
        <v>2857</v>
      </c>
      <c r="Z310" s="468" t="s">
        <v>3503</v>
      </c>
      <c r="AA310" s="468" t="s">
        <v>2503</v>
      </c>
      <c r="AB310" s="468" t="s">
        <v>3288</v>
      </c>
      <c r="AC310" s="442" t="s">
        <v>1803</v>
      </c>
      <c r="AD310" s="442" t="s">
        <v>1804</v>
      </c>
      <c r="AE310" s="442"/>
      <c r="AF310" s="386"/>
      <c r="AG310" s="386"/>
      <c r="AH310" s="386"/>
      <c r="AI310" s="386"/>
      <c r="AJ310" s="386"/>
      <c r="AK310" s="386"/>
      <c r="AL310" s="386"/>
      <c r="AM310" s="386"/>
      <c r="AN310" s="386"/>
      <c r="AO310" s="386"/>
      <c r="AP310" s="386"/>
      <c r="AQ310" s="386"/>
      <c r="AR310" s="386"/>
      <c r="AS310" s="386"/>
      <c r="AT310" s="386"/>
      <c r="AU310" s="386"/>
      <c r="AV310" s="386"/>
      <c r="AW310" s="386"/>
      <c r="AX310" s="386"/>
      <c r="AY310" s="386"/>
      <c r="AZ310" s="386"/>
      <c r="BA310" s="544" t="s">
        <v>4019</v>
      </c>
      <c r="BB310" s="545" t="s">
        <v>1805</v>
      </c>
      <c r="BC310" s="545" t="s">
        <v>33</v>
      </c>
      <c r="BD310" s="545" t="s">
        <v>1806</v>
      </c>
      <c r="BE310" s="356" t="s">
        <v>2564</v>
      </c>
      <c r="BF310" s="421" t="s">
        <v>2565</v>
      </c>
    </row>
    <row r="311" spans="1:100" ht="255">
      <c r="A311" s="356" t="s">
        <v>4073</v>
      </c>
      <c r="B311" s="443"/>
      <c r="C311" s="443"/>
      <c r="D311" s="443"/>
      <c r="E311" s="356" t="s">
        <v>24</v>
      </c>
      <c r="F311" s="454" t="s">
        <v>4074</v>
      </c>
      <c r="G311" s="455" t="s">
        <v>4075</v>
      </c>
      <c r="H311" s="443" t="s">
        <v>4076</v>
      </c>
      <c r="I311" s="468" t="s">
        <v>3505</v>
      </c>
      <c r="J311" s="510" t="s">
        <v>4077</v>
      </c>
      <c r="K311" s="468" t="s">
        <v>3507</v>
      </c>
      <c r="L311" s="468" t="s">
        <v>3508</v>
      </c>
      <c r="M311" s="468" t="s">
        <v>3509</v>
      </c>
      <c r="N311" s="468" t="s">
        <v>3510</v>
      </c>
      <c r="O311" s="468" t="s">
        <v>3081</v>
      </c>
      <c r="P311" s="468" t="s">
        <v>3082</v>
      </c>
      <c r="Q311" s="453" t="s">
        <v>4015</v>
      </c>
      <c r="R311" s="468" t="s">
        <v>3498</v>
      </c>
      <c r="S311" s="468" t="s">
        <v>1797</v>
      </c>
      <c r="T311" s="468" t="s">
        <v>4078</v>
      </c>
      <c r="U311" s="468" t="s">
        <v>4079</v>
      </c>
      <c r="V311" s="468" t="s">
        <v>3501</v>
      </c>
      <c r="W311" s="468" t="s">
        <v>4072</v>
      </c>
      <c r="X311" s="468" t="s">
        <v>1801</v>
      </c>
      <c r="Y311" s="468" t="s">
        <v>2857</v>
      </c>
      <c r="Z311" s="468" t="s">
        <v>3503</v>
      </c>
      <c r="AA311" s="468" t="s">
        <v>2503</v>
      </c>
      <c r="AB311" s="468" t="s">
        <v>3288</v>
      </c>
      <c r="AC311" s="442" t="s">
        <v>1803</v>
      </c>
      <c r="AD311" s="442" t="s">
        <v>1804</v>
      </c>
      <c r="AE311" s="442"/>
      <c r="AF311" s="386"/>
      <c r="AG311" s="386"/>
      <c r="AH311" s="386"/>
      <c r="AI311" s="386"/>
      <c r="AJ311" s="386"/>
      <c r="AK311" s="386"/>
      <c r="AL311" s="386"/>
      <c r="AM311" s="386"/>
      <c r="AN311" s="386"/>
      <c r="AO311" s="386"/>
      <c r="AP311" s="386"/>
      <c r="AQ311" s="386"/>
      <c r="AR311" s="386"/>
      <c r="AS311" s="386"/>
      <c r="AT311" s="386"/>
      <c r="AU311" s="386"/>
      <c r="AV311" s="386"/>
      <c r="AW311" s="386"/>
      <c r="AX311" s="386"/>
      <c r="AY311" s="386"/>
      <c r="AZ311" s="386"/>
      <c r="BA311" s="544" t="s">
        <v>4019</v>
      </c>
      <c r="BB311" s="545" t="s">
        <v>1805</v>
      </c>
      <c r="BC311" s="545" t="s">
        <v>33</v>
      </c>
      <c r="BD311" s="545" t="s">
        <v>1806</v>
      </c>
      <c r="BE311" s="356" t="s">
        <v>2564</v>
      </c>
      <c r="BF311" s="421" t="s">
        <v>2565</v>
      </c>
    </row>
    <row r="312" spans="1:100" ht="150">
      <c r="A312" s="356" t="s">
        <v>4080</v>
      </c>
      <c r="B312" s="443"/>
      <c r="C312" s="443"/>
      <c r="D312" s="443"/>
      <c r="E312" s="356" t="s">
        <v>24</v>
      </c>
      <c r="F312" s="454" t="s">
        <v>4081</v>
      </c>
      <c r="G312" s="455" t="s">
        <v>4082</v>
      </c>
      <c r="H312" s="443" t="s">
        <v>4083</v>
      </c>
      <c r="I312" s="511" t="s">
        <v>4084</v>
      </c>
      <c r="J312" s="452" t="s">
        <v>4085</v>
      </c>
      <c r="K312" s="452" t="s">
        <v>3041</v>
      </c>
      <c r="L312" s="452" t="s">
        <v>3042</v>
      </c>
      <c r="M312" s="452" t="s">
        <v>3043</v>
      </c>
      <c r="N312" s="452" t="s">
        <v>3080</v>
      </c>
      <c r="O312" s="452" t="s">
        <v>3081</v>
      </c>
      <c r="P312" s="452" t="s">
        <v>3082</v>
      </c>
      <c r="Q312" s="453" t="s">
        <v>4015</v>
      </c>
      <c r="R312" s="452" t="s">
        <v>3083</v>
      </c>
      <c r="S312" s="452" t="s">
        <v>1797</v>
      </c>
      <c r="T312" s="450" t="s">
        <v>4086</v>
      </c>
      <c r="U312" s="452" t="s">
        <v>3012</v>
      </c>
      <c r="V312" s="452" t="s">
        <v>2932</v>
      </c>
      <c r="W312" s="450" t="s">
        <v>4087</v>
      </c>
      <c r="X312" s="452" t="s">
        <v>1801</v>
      </c>
      <c r="Y312" s="452" t="s">
        <v>2857</v>
      </c>
      <c r="Z312" s="452" t="s">
        <v>2934</v>
      </c>
      <c r="AA312" s="452" t="s">
        <v>2503</v>
      </c>
      <c r="AB312" s="452" t="s">
        <v>3086</v>
      </c>
      <c r="AC312" s="442" t="s">
        <v>1803</v>
      </c>
      <c r="AD312" s="442" t="s">
        <v>2503</v>
      </c>
      <c r="AE312" s="442"/>
      <c r="AF312" s="386"/>
      <c r="AG312" s="386"/>
      <c r="AH312" s="386"/>
      <c r="AI312" s="386"/>
      <c r="AJ312" s="386"/>
      <c r="AK312" s="386"/>
      <c r="AL312" s="386"/>
      <c r="AM312" s="386"/>
      <c r="AN312" s="386"/>
      <c r="AO312" s="386"/>
      <c r="AP312" s="386"/>
      <c r="AQ312" s="386"/>
      <c r="AR312" s="386"/>
      <c r="AS312" s="386"/>
      <c r="AT312" s="386"/>
      <c r="AU312" s="386"/>
      <c r="AV312" s="386"/>
      <c r="AW312" s="386"/>
      <c r="AX312" s="386"/>
      <c r="AY312" s="386"/>
      <c r="AZ312" s="386"/>
      <c r="BA312" s="544" t="s">
        <v>4019</v>
      </c>
      <c r="BB312" s="545" t="s">
        <v>1805</v>
      </c>
      <c r="BC312" s="545" t="s">
        <v>33</v>
      </c>
      <c r="BD312" s="545" t="s">
        <v>1806</v>
      </c>
      <c r="BE312" s="356" t="s">
        <v>2564</v>
      </c>
      <c r="BF312" s="421" t="s">
        <v>2565</v>
      </c>
    </row>
    <row r="313" spans="1:100" ht="165">
      <c r="A313" s="356" t="s">
        <v>4088</v>
      </c>
      <c r="B313" s="443"/>
      <c r="C313" s="443"/>
      <c r="D313" s="443"/>
      <c r="E313" s="356" t="s">
        <v>24</v>
      </c>
      <c r="F313" s="454" t="s">
        <v>4089</v>
      </c>
      <c r="G313" s="455" t="s">
        <v>4090</v>
      </c>
      <c r="H313" s="443" t="s">
        <v>4091</v>
      </c>
      <c r="I313" s="452" t="s">
        <v>3432</v>
      </c>
      <c r="J313" s="452" t="s">
        <v>3433</v>
      </c>
      <c r="K313" s="452" t="s">
        <v>3434</v>
      </c>
      <c r="L313" s="452" t="s">
        <v>3435</v>
      </c>
      <c r="M313" s="452" t="s">
        <v>3436</v>
      </c>
      <c r="N313" s="452" t="s">
        <v>3437</v>
      </c>
      <c r="O313" s="452" t="s">
        <v>3438</v>
      </c>
      <c r="P313" s="452" t="s">
        <v>3439</v>
      </c>
      <c r="Q313" s="453" t="s">
        <v>4015</v>
      </c>
      <c r="R313" s="452" t="s">
        <v>2151</v>
      </c>
      <c r="S313" s="452" t="s">
        <v>1797</v>
      </c>
      <c r="T313" s="452" t="s">
        <v>4092</v>
      </c>
      <c r="U313" s="452" t="s">
        <v>3441</v>
      </c>
      <c r="V313" s="452" t="s">
        <v>4017</v>
      </c>
      <c r="W313" s="452" t="s">
        <v>4093</v>
      </c>
      <c r="X313" s="452" t="s">
        <v>1801</v>
      </c>
      <c r="Y313" s="452" t="s">
        <v>2857</v>
      </c>
      <c r="Z313" s="452" t="s">
        <v>3444</v>
      </c>
      <c r="AA313" s="452" t="s">
        <v>2503</v>
      </c>
      <c r="AB313" s="452" t="s">
        <v>3288</v>
      </c>
      <c r="AC313" s="442" t="s">
        <v>1803</v>
      </c>
      <c r="AD313" s="442" t="s">
        <v>1804</v>
      </c>
      <c r="AE313" s="442"/>
      <c r="AF313" s="386"/>
      <c r="AG313" s="386"/>
      <c r="AH313" s="386"/>
      <c r="AI313" s="386"/>
      <c r="AJ313" s="386"/>
      <c r="AK313" s="386"/>
      <c r="AL313" s="386"/>
      <c r="AM313" s="386"/>
      <c r="AN313" s="386"/>
      <c r="AO313" s="386"/>
      <c r="AP313" s="386"/>
      <c r="AQ313" s="386"/>
      <c r="AR313" s="386"/>
      <c r="AS313" s="386"/>
      <c r="AT313" s="386"/>
      <c r="AU313" s="386"/>
      <c r="AV313" s="386"/>
      <c r="AW313" s="386"/>
      <c r="AX313" s="386"/>
      <c r="AY313" s="386"/>
      <c r="AZ313" s="386"/>
      <c r="BA313" s="544" t="s">
        <v>4019</v>
      </c>
      <c r="BB313" s="545" t="s">
        <v>1805</v>
      </c>
      <c r="BC313" s="545" t="s">
        <v>33</v>
      </c>
      <c r="BD313" s="545" t="s">
        <v>1806</v>
      </c>
      <c r="BE313" s="356" t="s">
        <v>2564</v>
      </c>
      <c r="BF313" s="421" t="s">
        <v>2565</v>
      </c>
    </row>
    <row r="314" spans="1:100" ht="165">
      <c r="A314" s="356" t="s">
        <v>4094</v>
      </c>
      <c r="B314" s="443"/>
      <c r="C314" s="443"/>
      <c r="D314" s="443"/>
      <c r="E314" s="356" t="s">
        <v>24</v>
      </c>
      <c r="F314" s="454" t="s">
        <v>4095</v>
      </c>
      <c r="G314" s="455" t="s">
        <v>4096</v>
      </c>
      <c r="H314" s="443" t="s">
        <v>4097</v>
      </c>
      <c r="I314" s="452" t="s">
        <v>3446</v>
      </c>
      <c r="J314" s="452" t="s">
        <v>3447</v>
      </c>
      <c r="K314" s="452" t="s">
        <v>3448</v>
      </c>
      <c r="L314" s="452" t="s">
        <v>3449</v>
      </c>
      <c r="M314" s="452" t="s">
        <v>3450</v>
      </c>
      <c r="N314" s="452" t="s">
        <v>3451</v>
      </c>
      <c r="O314" s="452" t="s">
        <v>3452</v>
      </c>
      <c r="P314" s="452" t="s">
        <v>3453</v>
      </c>
      <c r="Q314" s="453" t="s">
        <v>4015</v>
      </c>
      <c r="R314" s="452" t="s">
        <v>2151</v>
      </c>
      <c r="S314" s="452" t="s">
        <v>1797</v>
      </c>
      <c r="T314" s="452" t="s">
        <v>4098</v>
      </c>
      <c r="U314" s="452" t="s">
        <v>3455</v>
      </c>
      <c r="V314" s="452" t="s">
        <v>4017</v>
      </c>
      <c r="W314" s="452" t="s">
        <v>4099</v>
      </c>
      <c r="X314" s="452" t="s">
        <v>1801</v>
      </c>
      <c r="Y314" s="452" t="s">
        <v>2857</v>
      </c>
      <c r="Z314" s="452" t="s">
        <v>3457</v>
      </c>
      <c r="AA314" s="452" t="s">
        <v>2503</v>
      </c>
      <c r="AB314" s="452" t="s">
        <v>3288</v>
      </c>
      <c r="AC314" s="442" t="s">
        <v>1803</v>
      </c>
      <c r="AD314" s="442" t="s">
        <v>1804</v>
      </c>
      <c r="AE314" s="442"/>
      <c r="AF314" s="386"/>
      <c r="AG314" s="386"/>
      <c r="AH314" s="386"/>
      <c r="AI314" s="386"/>
      <c r="AJ314" s="386"/>
      <c r="AK314" s="386"/>
      <c r="AL314" s="386"/>
      <c r="AM314" s="386"/>
      <c r="AN314" s="386"/>
      <c r="AO314" s="386"/>
      <c r="AP314" s="386"/>
      <c r="AQ314" s="386"/>
      <c r="AR314" s="386"/>
      <c r="AS314" s="386"/>
      <c r="AT314" s="386"/>
      <c r="AU314" s="386"/>
      <c r="AV314" s="386"/>
      <c r="AW314" s="386"/>
      <c r="AX314" s="386"/>
      <c r="AY314" s="386"/>
      <c r="AZ314" s="386"/>
      <c r="BA314" s="544" t="s">
        <v>4019</v>
      </c>
      <c r="BB314" s="545" t="s">
        <v>1805</v>
      </c>
      <c r="BC314" s="545" t="s">
        <v>33</v>
      </c>
      <c r="BD314" s="545" t="s">
        <v>1806</v>
      </c>
      <c r="BE314" s="356" t="s">
        <v>2564</v>
      </c>
      <c r="BF314" s="421" t="s">
        <v>2565</v>
      </c>
    </row>
    <row r="315" spans="1:100" ht="150">
      <c r="A315" s="356" t="s">
        <v>4100</v>
      </c>
      <c r="B315" s="443"/>
      <c r="C315" s="443"/>
      <c r="D315" s="443"/>
      <c r="E315" s="356" t="s">
        <v>24</v>
      </c>
      <c r="F315" s="454" t="s">
        <v>4101</v>
      </c>
      <c r="G315" s="455" t="s">
        <v>4102</v>
      </c>
      <c r="H315" s="443" t="s">
        <v>4103</v>
      </c>
      <c r="I315" s="452" t="s">
        <v>3459</v>
      </c>
      <c r="J315" s="452" t="s">
        <v>3460</v>
      </c>
      <c r="K315" s="452" t="s">
        <v>3461</v>
      </c>
      <c r="L315" s="452" t="s">
        <v>3462</v>
      </c>
      <c r="M315" s="452" t="s">
        <v>3463</v>
      </c>
      <c r="N315" s="452" t="s">
        <v>3464</v>
      </c>
      <c r="O315" s="452" t="s">
        <v>3465</v>
      </c>
      <c r="P315" s="452" t="s">
        <v>3466</v>
      </c>
      <c r="Q315" s="453" t="s">
        <v>4015</v>
      </c>
      <c r="R315" s="452" t="s">
        <v>2151</v>
      </c>
      <c r="S315" s="452" t="s">
        <v>1797</v>
      </c>
      <c r="T315" s="452" t="s">
        <v>4104</v>
      </c>
      <c r="U315" s="452" t="s">
        <v>3468</v>
      </c>
      <c r="V315" s="452" t="s">
        <v>4017</v>
      </c>
      <c r="W315" s="452" t="s">
        <v>4105</v>
      </c>
      <c r="X315" s="452" t="s">
        <v>1801</v>
      </c>
      <c r="Y315" s="452" t="s">
        <v>2857</v>
      </c>
      <c r="Z315" s="452" t="s">
        <v>3470</v>
      </c>
      <c r="AA315" s="452" t="s">
        <v>2503</v>
      </c>
      <c r="AB315" s="452" t="s">
        <v>3288</v>
      </c>
      <c r="AC315" s="442" t="s">
        <v>1803</v>
      </c>
      <c r="AD315" s="442" t="s">
        <v>1804</v>
      </c>
      <c r="AE315" s="442"/>
      <c r="AF315" s="386"/>
      <c r="AG315" s="386"/>
      <c r="AH315" s="386"/>
      <c r="AI315" s="386"/>
      <c r="AJ315" s="386"/>
      <c r="AK315" s="386"/>
      <c r="AL315" s="386"/>
      <c r="AM315" s="386"/>
      <c r="AN315" s="386"/>
      <c r="AO315" s="386"/>
      <c r="AP315" s="386"/>
      <c r="AQ315" s="386"/>
      <c r="AR315" s="386"/>
      <c r="AS315" s="386"/>
      <c r="AT315" s="386"/>
      <c r="AU315" s="386"/>
      <c r="AV315" s="386"/>
      <c r="AW315" s="386"/>
      <c r="AX315" s="386"/>
      <c r="AY315" s="386"/>
      <c r="AZ315" s="386"/>
      <c r="BA315" s="544" t="s">
        <v>4019</v>
      </c>
      <c r="BB315" s="545" t="s">
        <v>1805</v>
      </c>
      <c r="BC315" s="545" t="s">
        <v>33</v>
      </c>
      <c r="BD315" s="545" t="s">
        <v>1806</v>
      </c>
      <c r="BE315" s="356" t="s">
        <v>2564</v>
      </c>
      <c r="BF315" s="421" t="s">
        <v>2565</v>
      </c>
    </row>
    <row r="316" spans="1:100" ht="165">
      <c r="A316" s="356" t="s">
        <v>4106</v>
      </c>
      <c r="B316" s="443"/>
      <c r="C316" s="443"/>
      <c r="D316" s="443"/>
      <c r="E316" s="356" t="s">
        <v>24</v>
      </c>
      <c r="F316" s="454" t="s">
        <v>4107</v>
      </c>
      <c r="G316" s="455" t="s">
        <v>4108</v>
      </c>
      <c r="H316" s="443" t="s">
        <v>4109</v>
      </c>
      <c r="I316" s="452" t="s">
        <v>3432</v>
      </c>
      <c r="J316" s="452" t="s">
        <v>3433</v>
      </c>
      <c r="K316" s="452" t="s">
        <v>3434</v>
      </c>
      <c r="L316" s="452" t="s">
        <v>3435</v>
      </c>
      <c r="M316" s="452" t="s">
        <v>3436</v>
      </c>
      <c r="N316" s="452" t="s">
        <v>3437</v>
      </c>
      <c r="O316" s="452" t="s">
        <v>3438</v>
      </c>
      <c r="P316" s="452" t="s">
        <v>3439</v>
      </c>
      <c r="Q316" s="453" t="s">
        <v>4015</v>
      </c>
      <c r="R316" s="452" t="s">
        <v>2151</v>
      </c>
      <c r="S316" s="452" t="s">
        <v>1797</v>
      </c>
      <c r="T316" s="452" t="s">
        <v>4092</v>
      </c>
      <c r="U316" s="452" t="s">
        <v>3441</v>
      </c>
      <c r="V316" s="452" t="s">
        <v>4017</v>
      </c>
      <c r="W316" s="452" t="s">
        <v>4093</v>
      </c>
      <c r="X316" s="452" t="s">
        <v>1801</v>
      </c>
      <c r="Y316" s="452" t="s">
        <v>2857</v>
      </c>
      <c r="Z316" s="452" t="s">
        <v>3444</v>
      </c>
      <c r="AA316" s="452" t="s">
        <v>2503</v>
      </c>
      <c r="AB316" s="452" t="s">
        <v>3288</v>
      </c>
      <c r="AC316" s="442" t="s">
        <v>1803</v>
      </c>
      <c r="AD316" s="442" t="s">
        <v>1804</v>
      </c>
      <c r="AE316" s="442"/>
      <c r="AF316" s="386"/>
      <c r="AG316" s="386"/>
      <c r="AH316" s="386"/>
      <c r="AI316" s="386"/>
      <c r="AJ316" s="386"/>
      <c r="AK316" s="386"/>
      <c r="AL316" s="386"/>
      <c r="AM316" s="386"/>
      <c r="AN316" s="386"/>
      <c r="AO316" s="386"/>
      <c r="AP316" s="386"/>
      <c r="AQ316" s="386"/>
      <c r="AR316" s="386"/>
      <c r="AS316" s="386"/>
      <c r="AT316" s="386"/>
      <c r="AU316" s="386"/>
      <c r="AV316" s="386"/>
      <c r="AW316" s="386"/>
      <c r="AX316" s="386"/>
      <c r="AY316" s="386"/>
      <c r="AZ316" s="386"/>
      <c r="BA316" s="544" t="s">
        <v>4019</v>
      </c>
      <c r="BB316" s="545" t="s">
        <v>1805</v>
      </c>
      <c r="BC316" s="545" t="s">
        <v>33</v>
      </c>
      <c r="BD316" s="545" t="s">
        <v>1806</v>
      </c>
      <c r="BE316" s="356" t="s">
        <v>2564</v>
      </c>
      <c r="BF316" s="421" t="s">
        <v>2565</v>
      </c>
    </row>
    <row r="317" spans="1:100" ht="165">
      <c r="A317" s="356" t="s">
        <v>4110</v>
      </c>
      <c r="B317" s="443"/>
      <c r="C317" s="443"/>
      <c r="D317" s="443"/>
      <c r="E317" s="356" t="s">
        <v>24</v>
      </c>
      <c r="F317" s="454" t="s">
        <v>4111</v>
      </c>
      <c r="G317" s="455" t="s">
        <v>4112</v>
      </c>
      <c r="H317" s="443" t="s">
        <v>4113</v>
      </c>
      <c r="I317" s="452" t="s">
        <v>3446</v>
      </c>
      <c r="J317" s="452" t="s">
        <v>3447</v>
      </c>
      <c r="K317" s="452" t="s">
        <v>3448</v>
      </c>
      <c r="L317" s="452" t="s">
        <v>3449</v>
      </c>
      <c r="M317" s="452" t="s">
        <v>3450</v>
      </c>
      <c r="N317" s="452" t="s">
        <v>3451</v>
      </c>
      <c r="O317" s="452" t="s">
        <v>3452</v>
      </c>
      <c r="P317" s="452" t="s">
        <v>3453</v>
      </c>
      <c r="Q317" s="453" t="s">
        <v>4015</v>
      </c>
      <c r="R317" s="452" t="s">
        <v>2151</v>
      </c>
      <c r="S317" s="452" t="s">
        <v>1797</v>
      </c>
      <c r="T317" s="452" t="s">
        <v>4098</v>
      </c>
      <c r="U317" s="452" t="s">
        <v>3455</v>
      </c>
      <c r="V317" s="452" t="s">
        <v>4017</v>
      </c>
      <c r="W317" s="452" t="s">
        <v>4099</v>
      </c>
      <c r="X317" s="452" t="s">
        <v>1801</v>
      </c>
      <c r="Y317" s="452" t="s">
        <v>2857</v>
      </c>
      <c r="Z317" s="452" t="s">
        <v>3457</v>
      </c>
      <c r="AA317" s="452" t="s">
        <v>2503</v>
      </c>
      <c r="AB317" s="452" t="s">
        <v>3288</v>
      </c>
      <c r="AC317" s="442" t="s">
        <v>1803</v>
      </c>
      <c r="AD317" s="442" t="s">
        <v>1804</v>
      </c>
      <c r="AE317" s="442"/>
      <c r="AF317" s="386"/>
      <c r="AG317" s="386"/>
      <c r="AH317" s="386"/>
      <c r="AI317" s="386"/>
      <c r="AJ317" s="386"/>
      <c r="AK317" s="386"/>
      <c r="AL317" s="386"/>
      <c r="AM317" s="386"/>
      <c r="AN317" s="386"/>
      <c r="AO317" s="386"/>
      <c r="AP317" s="386"/>
      <c r="AQ317" s="386"/>
      <c r="AR317" s="386"/>
      <c r="AS317" s="386"/>
      <c r="AT317" s="386"/>
      <c r="AU317" s="386"/>
      <c r="AV317" s="386"/>
      <c r="AW317" s="386"/>
      <c r="AX317" s="386"/>
      <c r="AY317" s="386"/>
      <c r="AZ317" s="386"/>
      <c r="BA317" s="544" t="s">
        <v>4019</v>
      </c>
      <c r="BB317" s="545" t="s">
        <v>1805</v>
      </c>
      <c r="BC317" s="545" t="s">
        <v>33</v>
      </c>
      <c r="BD317" s="545" t="s">
        <v>1806</v>
      </c>
      <c r="BE317" s="356" t="s">
        <v>2564</v>
      </c>
      <c r="BF317" s="421" t="s">
        <v>2565</v>
      </c>
    </row>
    <row r="318" spans="1:100" ht="225">
      <c r="A318" s="356" t="s">
        <v>4114</v>
      </c>
      <c r="B318" s="443"/>
      <c r="C318" s="443"/>
      <c r="D318" s="443"/>
      <c r="E318" s="356" t="s">
        <v>24</v>
      </c>
      <c r="F318" s="454" t="s">
        <v>4115</v>
      </c>
      <c r="G318" s="455" t="s">
        <v>4116</v>
      </c>
      <c r="H318" s="443" t="s">
        <v>1552</v>
      </c>
      <c r="I318" s="452" t="s">
        <v>3536</v>
      </c>
      <c r="J318" s="452" t="s">
        <v>3537</v>
      </c>
      <c r="K318" s="452" t="s">
        <v>3145</v>
      </c>
      <c r="L318" s="452" t="s">
        <v>3146</v>
      </c>
      <c r="M318" s="452" t="s">
        <v>3147</v>
      </c>
      <c r="N318" s="452" t="s">
        <v>3538</v>
      </c>
      <c r="O318" s="452" t="s">
        <v>3539</v>
      </c>
      <c r="P318" s="452" t="s">
        <v>3540</v>
      </c>
      <c r="Q318" s="453" t="s">
        <v>4015</v>
      </c>
      <c r="R318" s="452" t="s">
        <v>2151</v>
      </c>
      <c r="S318" s="452" t="s">
        <v>1797</v>
      </c>
      <c r="T318" s="452" t="s">
        <v>3541</v>
      </c>
      <c r="U318" s="452" t="s">
        <v>3012</v>
      </c>
      <c r="V318" s="452" t="s">
        <v>3542</v>
      </c>
      <c r="W318" s="452" t="s">
        <v>3543</v>
      </c>
      <c r="X318" s="452" t="s">
        <v>1801</v>
      </c>
      <c r="Y318" s="452" t="s">
        <v>2857</v>
      </c>
      <c r="Z318" s="452" t="s">
        <v>3544</v>
      </c>
      <c r="AA318" s="452" t="s">
        <v>2503</v>
      </c>
      <c r="AB318" s="452" t="s">
        <v>3155</v>
      </c>
      <c r="AC318" s="442" t="s">
        <v>1803</v>
      </c>
      <c r="AD318" s="442" t="s">
        <v>1804</v>
      </c>
      <c r="AE318" s="442"/>
      <c r="AF318" s="386"/>
      <c r="AG318" s="386"/>
      <c r="AH318" s="386"/>
      <c r="AI318" s="386"/>
      <c r="AJ318" s="386"/>
      <c r="AK318" s="386"/>
      <c r="AL318" s="386"/>
      <c r="AM318" s="386"/>
      <c r="AN318" s="386"/>
      <c r="AO318" s="386"/>
      <c r="AP318" s="386"/>
      <c r="AQ318" s="386"/>
      <c r="AR318" s="386"/>
      <c r="AS318" s="386"/>
      <c r="AT318" s="386"/>
      <c r="AU318" s="386"/>
      <c r="AV318" s="386"/>
      <c r="AW318" s="386"/>
      <c r="AX318" s="386"/>
      <c r="AY318" s="386"/>
      <c r="AZ318" s="386"/>
      <c r="BA318" s="544" t="s">
        <v>4019</v>
      </c>
      <c r="BB318" s="545" t="s">
        <v>1805</v>
      </c>
      <c r="BC318" s="545" t="s">
        <v>33</v>
      </c>
      <c r="BD318" s="545" t="s">
        <v>1806</v>
      </c>
      <c r="BE318" s="356" t="s">
        <v>2564</v>
      </c>
      <c r="BF318" s="421" t="s">
        <v>2565</v>
      </c>
    </row>
    <row r="319" spans="1:100" ht="210">
      <c r="A319" s="356" t="s">
        <v>4117</v>
      </c>
      <c r="B319" s="443"/>
      <c r="C319" s="443"/>
      <c r="D319" s="443"/>
      <c r="E319" s="356" t="s">
        <v>24</v>
      </c>
      <c r="F319" s="454" t="s">
        <v>4118</v>
      </c>
      <c r="G319" s="455" t="s">
        <v>4119</v>
      </c>
      <c r="H319" s="443" t="s">
        <v>4120</v>
      </c>
      <c r="I319" s="511" t="s">
        <v>4121</v>
      </c>
      <c r="J319" s="511" t="s">
        <v>4122</v>
      </c>
      <c r="K319" s="452" t="s">
        <v>3041</v>
      </c>
      <c r="L319" s="452" t="s">
        <v>3042</v>
      </c>
      <c r="M319" s="452" t="s">
        <v>3043</v>
      </c>
      <c r="N319" s="452" t="s">
        <v>3106</v>
      </c>
      <c r="O319" s="452" t="s">
        <v>3081</v>
      </c>
      <c r="P319" s="511" t="s">
        <v>4123</v>
      </c>
      <c r="Q319" s="453" t="s">
        <v>4015</v>
      </c>
      <c r="R319" s="452" t="s">
        <v>3083</v>
      </c>
      <c r="S319" s="452" t="s">
        <v>1797</v>
      </c>
      <c r="T319" s="452" t="s">
        <v>4124</v>
      </c>
      <c r="U319" s="452" t="s">
        <v>3012</v>
      </c>
      <c r="V319" s="452" t="s">
        <v>2932</v>
      </c>
      <c r="W319" s="452" t="s">
        <v>4125</v>
      </c>
      <c r="X319" s="452" t="s">
        <v>1801</v>
      </c>
      <c r="Y319" s="452" t="s">
        <v>2857</v>
      </c>
      <c r="Z319" s="452" t="s">
        <v>3102</v>
      </c>
      <c r="AA319" s="452" t="s">
        <v>2503</v>
      </c>
      <c r="AB319" s="452" t="s">
        <v>3109</v>
      </c>
      <c r="AC319" s="442" t="s">
        <v>1803</v>
      </c>
      <c r="AD319" s="442" t="s">
        <v>2503</v>
      </c>
      <c r="AE319" s="442"/>
      <c r="AF319" s="386"/>
      <c r="AG319" s="386"/>
      <c r="AH319" s="386"/>
      <c r="AI319" s="386"/>
      <c r="AJ319" s="386"/>
      <c r="AK319" s="386"/>
      <c r="AL319" s="386"/>
      <c r="AM319" s="386"/>
      <c r="AN319" s="386"/>
      <c r="AO319" s="386"/>
      <c r="AP319" s="386"/>
      <c r="AQ319" s="386"/>
      <c r="AR319" s="386"/>
      <c r="AS319" s="386"/>
      <c r="AT319" s="386"/>
      <c r="AU319" s="386"/>
      <c r="AV319" s="386"/>
      <c r="AW319" s="386"/>
      <c r="AX319" s="386"/>
      <c r="AY319" s="386"/>
      <c r="AZ319" s="386"/>
      <c r="BA319" s="544" t="s">
        <v>4019</v>
      </c>
      <c r="BB319" s="545" t="s">
        <v>1805</v>
      </c>
      <c r="BC319" s="545" t="s">
        <v>33</v>
      </c>
      <c r="BD319" s="545" t="s">
        <v>1806</v>
      </c>
      <c r="BE319" s="356" t="s">
        <v>2564</v>
      </c>
      <c r="BF319" s="421" t="s">
        <v>2565</v>
      </c>
    </row>
    <row r="320" spans="1:100" ht="210">
      <c r="A320" s="356" t="s">
        <v>4126</v>
      </c>
      <c r="B320" s="443"/>
      <c r="C320" s="443"/>
      <c r="D320" s="443"/>
      <c r="E320" s="356" t="s">
        <v>24</v>
      </c>
      <c r="F320" s="454" t="s">
        <v>4127</v>
      </c>
      <c r="G320" s="455" t="s">
        <v>4128</v>
      </c>
      <c r="H320" s="443" t="s">
        <v>4129</v>
      </c>
      <c r="I320" s="511" t="s">
        <v>4130</v>
      </c>
      <c r="J320" s="511" t="s">
        <v>4131</v>
      </c>
      <c r="K320" s="452" t="s">
        <v>3041</v>
      </c>
      <c r="L320" s="452" t="s">
        <v>3042</v>
      </c>
      <c r="M320" s="452" t="s">
        <v>3043</v>
      </c>
      <c r="N320" s="452" t="s">
        <v>3106</v>
      </c>
      <c r="O320" s="452" t="s">
        <v>3081</v>
      </c>
      <c r="P320" s="511" t="s">
        <v>4123</v>
      </c>
      <c r="Q320" s="453" t="s">
        <v>4015</v>
      </c>
      <c r="R320" s="452" t="s">
        <v>3083</v>
      </c>
      <c r="S320" s="452" t="s">
        <v>1797</v>
      </c>
      <c r="T320" s="452" t="s">
        <v>4132</v>
      </c>
      <c r="U320" s="452" t="s">
        <v>3012</v>
      </c>
      <c r="V320" s="452" t="s">
        <v>2932</v>
      </c>
      <c r="W320" s="452" t="s">
        <v>4133</v>
      </c>
      <c r="X320" s="452" t="s">
        <v>1801</v>
      </c>
      <c r="Y320" s="452" t="s">
        <v>2857</v>
      </c>
      <c r="Z320" s="452" t="s">
        <v>3102</v>
      </c>
      <c r="AA320" s="452" t="s">
        <v>2503</v>
      </c>
      <c r="AB320" s="452" t="s">
        <v>3109</v>
      </c>
      <c r="AC320" s="442" t="s">
        <v>1803</v>
      </c>
      <c r="AD320" s="442" t="s">
        <v>2503</v>
      </c>
      <c r="AE320" s="442"/>
      <c r="AF320" s="386"/>
      <c r="AG320" s="386"/>
      <c r="AH320" s="386"/>
      <c r="AI320" s="386"/>
      <c r="AJ320" s="386"/>
      <c r="AK320" s="386"/>
      <c r="AL320" s="386"/>
      <c r="AM320" s="386"/>
      <c r="AN320" s="386"/>
      <c r="AO320" s="386"/>
      <c r="AP320" s="386"/>
      <c r="AQ320" s="386"/>
      <c r="AR320" s="386"/>
      <c r="AS320" s="386"/>
      <c r="AT320" s="386"/>
      <c r="AU320" s="386"/>
      <c r="AV320" s="386"/>
      <c r="AW320" s="386"/>
      <c r="AX320" s="386"/>
      <c r="AY320" s="386"/>
      <c r="AZ320" s="386"/>
      <c r="BA320" s="544" t="s">
        <v>4019</v>
      </c>
      <c r="BB320" s="545" t="s">
        <v>1805</v>
      </c>
      <c r="BC320" s="545" t="s">
        <v>33</v>
      </c>
      <c r="BD320" s="545" t="s">
        <v>1806</v>
      </c>
      <c r="BE320" s="356" t="s">
        <v>2564</v>
      </c>
      <c r="BF320" s="421" t="s">
        <v>2565</v>
      </c>
    </row>
    <row r="321" spans="1:100" ht="210">
      <c r="A321" s="356" t="s">
        <v>4134</v>
      </c>
      <c r="B321" s="443"/>
      <c r="C321" s="443"/>
      <c r="D321" s="443"/>
      <c r="E321" s="356" t="s">
        <v>24</v>
      </c>
      <c r="F321" s="454" t="s">
        <v>4135</v>
      </c>
      <c r="G321" s="455" t="s">
        <v>4136</v>
      </c>
      <c r="H321" s="443" t="s">
        <v>4137</v>
      </c>
      <c r="I321" s="452" t="s">
        <v>3095</v>
      </c>
      <c r="J321" s="452" t="s">
        <v>3096</v>
      </c>
      <c r="K321" s="452" t="s">
        <v>3041</v>
      </c>
      <c r="L321" s="452" t="s">
        <v>3042</v>
      </c>
      <c r="M321" s="452" t="s">
        <v>3043</v>
      </c>
      <c r="N321" s="452" t="s">
        <v>3097</v>
      </c>
      <c r="O321" s="452" t="s">
        <v>3098</v>
      </c>
      <c r="P321" s="452" t="s">
        <v>3099</v>
      </c>
      <c r="Q321" s="453" t="s">
        <v>4015</v>
      </c>
      <c r="R321" s="452" t="s">
        <v>3083</v>
      </c>
      <c r="S321" s="452" t="s">
        <v>1797</v>
      </c>
      <c r="T321" s="452" t="s">
        <v>3100</v>
      </c>
      <c r="U321" s="452" t="s">
        <v>3012</v>
      </c>
      <c r="V321" s="452" t="s">
        <v>2932</v>
      </c>
      <c r="W321" s="452" t="s">
        <v>3101</v>
      </c>
      <c r="X321" s="452" t="s">
        <v>1801</v>
      </c>
      <c r="Y321" s="452" t="s">
        <v>2857</v>
      </c>
      <c r="Z321" s="452" t="s">
        <v>3102</v>
      </c>
      <c r="AA321" s="452" t="s">
        <v>2503</v>
      </c>
      <c r="AB321" s="452" t="s">
        <v>3086</v>
      </c>
      <c r="AC321" s="442" t="s">
        <v>1803</v>
      </c>
      <c r="AD321" s="442" t="s">
        <v>2503</v>
      </c>
      <c r="AE321" s="442"/>
      <c r="AF321" s="386"/>
      <c r="BA321" s="544" t="s">
        <v>4019</v>
      </c>
      <c r="BB321" s="545" t="s">
        <v>1805</v>
      </c>
      <c r="BC321" s="545" t="s">
        <v>33</v>
      </c>
      <c r="BD321" s="545" t="s">
        <v>1806</v>
      </c>
      <c r="BE321" s="356" t="s">
        <v>2564</v>
      </c>
      <c r="BF321" s="421" t="s">
        <v>2565</v>
      </c>
    </row>
    <row r="322" spans="1:100" ht="150">
      <c r="A322" s="356" t="s">
        <v>4138</v>
      </c>
      <c r="B322" s="356"/>
      <c r="C322" s="356"/>
      <c r="D322" s="356"/>
      <c r="E322" s="356" t="s">
        <v>24</v>
      </c>
      <c r="F322" s="452" t="s">
        <v>4139</v>
      </c>
      <c r="G322" s="464" t="s">
        <v>4140</v>
      </c>
      <c r="H322" s="452" t="s">
        <v>1564</v>
      </c>
      <c r="I322" s="452" t="s">
        <v>3111</v>
      </c>
      <c r="J322" s="452" t="s">
        <v>3112</v>
      </c>
      <c r="K322" s="452" t="s">
        <v>3113</v>
      </c>
      <c r="L322" s="452" t="s">
        <v>3114</v>
      </c>
      <c r="M322" s="452" t="s">
        <v>3115</v>
      </c>
      <c r="N322" s="452" t="s">
        <v>3033</v>
      </c>
      <c r="O322" s="452" t="s">
        <v>3055</v>
      </c>
      <c r="P322" s="452" t="s">
        <v>3035</v>
      </c>
      <c r="Q322" s="453" t="s">
        <v>4141</v>
      </c>
      <c r="R322" s="452" t="s">
        <v>3116</v>
      </c>
      <c r="S322" s="452" t="s">
        <v>1797</v>
      </c>
      <c r="T322" s="452" t="s">
        <v>3117</v>
      </c>
      <c r="U322" s="452" t="s">
        <v>3012</v>
      </c>
      <c r="V322" s="452" t="s">
        <v>2932</v>
      </c>
      <c r="W322" s="452" t="s">
        <v>3118</v>
      </c>
      <c r="X322" s="452" t="s">
        <v>1801</v>
      </c>
      <c r="Y322" s="452" t="s">
        <v>2857</v>
      </c>
      <c r="Z322" s="452" t="s">
        <v>2934</v>
      </c>
      <c r="AA322" s="452" t="s">
        <v>2503</v>
      </c>
      <c r="AB322" s="452" t="s">
        <v>3086</v>
      </c>
      <c r="AC322" s="442" t="s">
        <v>1803</v>
      </c>
      <c r="AD322" s="442" t="s">
        <v>2503</v>
      </c>
      <c r="AE322" s="442"/>
      <c r="AF322" s="386"/>
      <c r="BA322" s="544" t="s">
        <v>4019</v>
      </c>
      <c r="BB322" s="545" t="s">
        <v>1805</v>
      </c>
      <c r="BC322" s="545" t="s">
        <v>33</v>
      </c>
      <c r="BD322" s="545" t="s">
        <v>1806</v>
      </c>
      <c r="BE322" s="356" t="s">
        <v>2564</v>
      </c>
      <c r="BF322" s="421" t="s">
        <v>2565</v>
      </c>
    </row>
    <row r="323" spans="1:100" ht="301.14999999999998" customHeight="1">
      <c r="A323" s="356" t="s">
        <v>4142</v>
      </c>
      <c r="B323" s="443"/>
      <c r="C323" s="443"/>
      <c r="D323" s="443"/>
      <c r="E323" s="356" t="s">
        <v>24</v>
      </c>
      <c r="F323" s="454" t="s">
        <v>4143</v>
      </c>
      <c r="G323" s="455" t="s">
        <v>4144</v>
      </c>
      <c r="H323" s="443" t="s">
        <v>1567</v>
      </c>
      <c r="I323" s="452" t="s">
        <v>3120</v>
      </c>
      <c r="J323" s="452" t="s">
        <v>3121</v>
      </c>
      <c r="K323" s="452" t="s">
        <v>3122</v>
      </c>
      <c r="L323" s="452" t="s">
        <v>3123</v>
      </c>
      <c r="M323" s="452" t="s">
        <v>3124</v>
      </c>
      <c r="N323" s="452" t="s">
        <v>3125</v>
      </c>
      <c r="O323" s="452" t="s">
        <v>3126</v>
      </c>
      <c r="P323" s="452" t="s">
        <v>3127</v>
      </c>
      <c r="Q323" s="453" t="s">
        <v>4015</v>
      </c>
      <c r="R323" s="452" t="s">
        <v>2151</v>
      </c>
      <c r="S323" s="452" t="s">
        <v>1797</v>
      </c>
      <c r="T323" s="452" t="s">
        <v>4145</v>
      </c>
      <c r="U323" s="452" t="s">
        <v>4146</v>
      </c>
      <c r="V323" s="452" t="s">
        <v>3138</v>
      </c>
      <c r="W323" s="452" t="s">
        <v>4147</v>
      </c>
      <c r="X323" s="452" t="s">
        <v>1801</v>
      </c>
      <c r="Y323" s="452" t="s">
        <v>2857</v>
      </c>
      <c r="Z323" s="452" t="s">
        <v>3132</v>
      </c>
      <c r="AA323" s="452" t="s">
        <v>2503</v>
      </c>
      <c r="AB323" s="452" t="s">
        <v>3133</v>
      </c>
      <c r="AC323" s="442" t="s">
        <v>1803</v>
      </c>
      <c r="AD323" s="442" t="s">
        <v>1804</v>
      </c>
      <c r="AE323" s="442"/>
      <c r="AF323" s="386"/>
      <c r="AG323" s="386"/>
      <c r="AH323" s="386"/>
      <c r="AI323" s="386"/>
      <c r="AJ323" s="386"/>
      <c r="AK323" s="386"/>
      <c r="AL323" s="386"/>
      <c r="AM323" s="386"/>
      <c r="AN323" s="386"/>
      <c r="AO323" s="386"/>
      <c r="AP323" s="386"/>
      <c r="AQ323" s="386"/>
      <c r="AR323" s="386"/>
      <c r="AS323" s="386"/>
      <c r="AT323" s="386"/>
      <c r="AU323" s="386"/>
      <c r="AV323" s="386"/>
      <c r="AW323" s="386"/>
      <c r="AX323" s="386"/>
      <c r="AY323" s="386"/>
      <c r="AZ323" s="386"/>
      <c r="BA323" s="544" t="s">
        <v>4019</v>
      </c>
      <c r="BB323" s="545" t="s">
        <v>1805</v>
      </c>
      <c r="BC323" s="545" t="s">
        <v>33</v>
      </c>
      <c r="BD323" s="545" t="s">
        <v>1806</v>
      </c>
      <c r="BE323" s="356" t="s">
        <v>2564</v>
      </c>
      <c r="BF323" s="421" t="s">
        <v>2565</v>
      </c>
    </row>
    <row r="324" spans="1:100" ht="133.5">
      <c r="A324" s="356" t="s">
        <v>4148</v>
      </c>
      <c r="B324" s="443"/>
      <c r="C324" s="443"/>
      <c r="D324" s="443"/>
      <c r="E324" s="356" t="s">
        <v>24</v>
      </c>
      <c r="F324" s="512" t="s">
        <v>1568</v>
      </c>
      <c r="G324" s="512" t="s">
        <v>1569</v>
      </c>
      <c r="H324" s="512" t="s">
        <v>1570</v>
      </c>
      <c r="I324" s="445" t="s">
        <v>4149</v>
      </c>
      <c r="J324" s="445" t="s">
        <v>4150</v>
      </c>
      <c r="K324" s="442" t="s">
        <v>2713</v>
      </c>
      <c r="L324" s="442" t="s">
        <v>2714</v>
      </c>
      <c r="M324" s="442" t="s">
        <v>2715</v>
      </c>
      <c r="N324" s="442" t="s">
        <v>2716</v>
      </c>
      <c r="O324" s="513" t="s">
        <v>4151</v>
      </c>
      <c r="P324" s="447" t="s">
        <v>4152</v>
      </c>
      <c r="Q324" s="453" t="s">
        <v>4015</v>
      </c>
      <c r="R324" s="442" t="s">
        <v>2719</v>
      </c>
      <c r="S324" s="442" t="s">
        <v>1824</v>
      </c>
      <c r="T324" s="442" t="s">
        <v>4153</v>
      </c>
      <c r="U324" s="442" t="s">
        <v>2721</v>
      </c>
      <c r="V324" s="442" t="s">
        <v>2722</v>
      </c>
      <c r="W324" s="442" t="s">
        <v>4154</v>
      </c>
      <c r="X324" s="442" t="s">
        <v>2721</v>
      </c>
      <c r="Y324" s="442" t="s">
        <v>1804</v>
      </c>
      <c r="Z324" s="442" t="s">
        <v>1804</v>
      </c>
      <c r="AA324" s="442" t="s">
        <v>1804</v>
      </c>
      <c r="AB324" s="442" t="s">
        <v>1804</v>
      </c>
      <c r="AC324" s="442" t="s">
        <v>1804</v>
      </c>
      <c r="AD324" s="442" t="s">
        <v>1804</v>
      </c>
      <c r="AE324" s="442"/>
      <c r="AF324" s="386"/>
      <c r="BA324" s="544" t="s">
        <v>4019</v>
      </c>
      <c r="BB324" s="545" t="s">
        <v>1805</v>
      </c>
      <c r="BC324" s="545" t="s">
        <v>33</v>
      </c>
      <c r="BD324" s="545" t="s">
        <v>1806</v>
      </c>
      <c r="BE324" s="356" t="s">
        <v>2564</v>
      </c>
      <c r="BF324" s="421" t="s">
        <v>2565</v>
      </c>
    </row>
    <row r="325" spans="1:100" ht="195">
      <c r="A325" s="356" t="s">
        <v>4155</v>
      </c>
      <c r="B325" s="443"/>
      <c r="C325" s="443"/>
      <c r="D325" s="443"/>
      <c r="E325" s="356" t="s">
        <v>24</v>
      </c>
      <c r="F325" s="454" t="s">
        <v>4156</v>
      </c>
      <c r="G325" s="455" t="s">
        <v>4157</v>
      </c>
      <c r="H325" s="443" t="s">
        <v>4158</v>
      </c>
      <c r="I325" s="511" t="s">
        <v>4159</v>
      </c>
      <c r="J325" s="452" t="s">
        <v>3516</v>
      </c>
      <c r="K325" s="452" t="s">
        <v>1342</v>
      </c>
      <c r="L325" s="452" t="s">
        <v>3517</v>
      </c>
      <c r="M325" s="452" t="s">
        <v>3518</v>
      </c>
      <c r="N325" s="452" t="s">
        <v>3519</v>
      </c>
      <c r="O325" s="452" t="s">
        <v>3520</v>
      </c>
      <c r="P325" s="452" t="s">
        <v>3521</v>
      </c>
      <c r="Q325" s="453" t="s">
        <v>4015</v>
      </c>
      <c r="R325" s="452" t="s">
        <v>3498</v>
      </c>
      <c r="S325" s="452" t="s">
        <v>1844</v>
      </c>
      <c r="T325" s="452" t="s">
        <v>4160</v>
      </c>
      <c r="U325" s="452" t="s">
        <v>3523</v>
      </c>
      <c r="V325" s="452" t="s">
        <v>4161</v>
      </c>
      <c r="W325" s="452" t="s">
        <v>4162</v>
      </c>
      <c r="X325" s="452" t="s">
        <v>1801</v>
      </c>
      <c r="Y325" s="452" t="s">
        <v>2857</v>
      </c>
      <c r="Z325" s="452" t="s">
        <v>2503</v>
      </c>
      <c r="AA325" s="452" t="s">
        <v>2503</v>
      </c>
      <c r="AB325" s="452" t="s">
        <v>3244</v>
      </c>
      <c r="AC325" s="442" t="s">
        <v>1803</v>
      </c>
      <c r="AD325" s="442" t="s">
        <v>3527</v>
      </c>
      <c r="AE325" s="442"/>
      <c r="AF325" s="386"/>
      <c r="AG325" s="386"/>
      <c r="AH325" s="386"/>
      <c r="AI325" s="386"/>
      <c r="AJ325" s="386"/>
      <c r="AK325" s="386"/>
      <c r="AL325" s="386"/>
      <c r="AM325" s="386"/>
      <c r="AN325" s="386"/>
      <c r="AO325" s="386"/>
      <c r="AP325" s="386"/>
      <c r="AQ325" s="386"/>
      <c r="AR325" s="386"/>
      <c r="AS325" s="386"/>
      <c r="AT325" s="386"/>
      <c r="AU325" s="386"/>
      <c r="AV325" s="386"/>
      <c r="AW325" s="386"/>
      <c r="AX325" s="386"/>
      <c r="AY325" s="386"/>
      <c r="AZ325" s="386"/>
      <c r="BA325" s="544" t="s">
        <v>4019</v>
      </c>
      <c r="BB325" s="545" t="s">
        <v>1805</v>
      </c>
      <c r="BC325" s="545" t="s">
        <v>33</v>
      </c>
      <c r="BD325" s="545" t="s">
        <v>1806</v>
      </c>
      <c r="BE325" s="356" t="s">
        <v>2564</v>
      </c>
      <c r="BF325" s="421" t="s">
        <v>2565</v>
      </c>
    </row>
    <row r="326" spans="1:100" ht="195">
      <c r="A326" s="356" t="s">
        <v>4163</v>
      </c>
      <c r="B326" s="443"/>
      <c r="C326" s="443"/>
      <c r="D326" s="443"/>
      <c r="E326" s="356" t="s">
        <v>24</v>
      </c>
      <c r="F326" s="451" t="s">
        <v>1574</v>
      </c>
      <c r="G326" s="451" t="s">
        <v>1575</v>
      </c>
      <c r="H326" s="442" t="s">
        <v>1576</v>
      </c>
      <c r="I326" s="452" t="s">
        <v>3529</v>
      </c>
      <c r="J326" s="452" t="s">
        <v>3530</v>
      </c>
      <c r="K326" s="452" t="s">
        <v>1342</v>
      </c>
      <c r="L326" s="452" t="s">
        <v>3517</v>
      </c>
      <c r="M326" s="452" t="s">
        <v>3518</v>
      </c>
      <c r="N326" s="452" t="s">
        <v>3519</v>
      </c>
      <c r="O326" s="452" t="s">
        <v>3520</v>
      </c>
      <c r="P326" s="452" t="s">
        <v>3521</v>
      </c>
      <c r="Q326" s="453" t="s">
        <v>4015</v>
      </c>
      <c r="R326" s="452" t="s">
        <v>3498</v>
      </c>
      <c r="S326" s="452" t="s">
        <v>1844</v>
      </c>
      <c r="T326" s="452" t="s">
        <v>4164</v>
      </c>
      <c r="U326" s="452" t="s">
        <v>3532</v>
      </c>
      <c r="V326" s="452" t="s">
        <v>4161</v>
      </c>
      <c r="W326" s="452" t="s">
        <v>4165</v>
      </c>
      <c r="X326" s="452" t="s">
        <v>1801</v>
      </c>
      <c r="Y326" s="452" t="s">
        <v>2857</v>
      </c>
      <c r="Z326" s="452" t="s">
        <v>2503</v>
      </c>
      <c r="AA326" s="452" t="s">
        <v>2503</v>
      </c>
      <c r="AB326" s="452" t="s">
        <v>3244</v>
      </c>
      <c r="AC326" s="442" t="s">
        <v>1803</v>
      </c>
      <c r="AD326" s="442" t="s">
        <v>3527</v>
      </c>
      <c r="AE326" s="442"/>
      <c r="AF326" s="386"/>
      <c r="AG326" s="386"/>
      <c r="AH326" s="386"/>
      <c r="AI326" s="386"/>
      <c r="AJ326" s="386"/>
      <c r="AK326" s="386"/>
      <c r="AL326" s="386"/>
      <c r="AM326" s="386"/>
      <c r="AN326" s="386"/>
      <c r="AO326" s="386"/>
      <c r="AP326" s="386"/>
      <c r="AQ326" s="386"/>
      <c r="AR326" s="386"/>
      <c r="AS326" s="386"/>
      <c r="AT326" s="386"/>
      <c r="AU326" s="386"/>
      <c r="AV326" s="386"/>
      <c r="AW326" s="386"/>
      <c r="AX326" s="386"/>
      <c r="AY326" s="386"/>
      <c r="AZ326" s="386"/>
      <c r="BA326" s="544" t="s">
        <v>4019</v>
      </c>
      <c r="BB326" s="545" t="s">
        <v>1805</v>
      </c>
      <c r="BC326" s="545" t="s">
        <v>33</v>
      </c>
      <c r="BD326" s="545" t="s">
        <v>1806</v>
      </c>
      <c r="BE326" s="356" t="s">
        <v>2564</v>
      </c>
      <c r="BF326" s="421" t="s">
        <v>2565</v>
      </c>
    </row>
    <row r="327" spans="1:100" ht="195">
      <c r="A327" s="356" t="s">
        <v>4166</v>
      </c>
      <c r="B327" s="443"/>
      <c r="C327" s="443"/>
      <c r="D327" s="443"/>
      <c r="E327" s="356" t="s">
        <v>24</v>
      </c>
      <c r="F327" s="451" t="s">
        <v>1577</v>
      </c>
      <c r="G327" s="451" t="s">
        <v>1578</v>
      </c>
      <c r="H327" s="442" t="s">
        <v>1579</v>
      </c>
      <c r="I327" s="452" t="s">
        <v>3515</v>
      </c>
      <c r="J327" s="452" t="s">
        <v>3516</v>
      </c>
      <c r="K327" s="452" t="s">
        <v>1342</v>
      </c>
      <c r="L327" s="452" t="s">
        <v>3517</v>
      </c>
      <c r="M327" s="452" t="s">
        <v>3518</v>
      </c>
      <c r="N327" s="452" t="s">
        <v>3519</v>
      </c>
      <c r="O327" s="452" t="s">
        <v>3520</v>
      </c>
      <c r="P327" s="452" t="s">
        <v>3521</v>
      </c>
      <c r="Q327" s="453" t="s">
        <v>4015</v>
      </c>
      <c r="R327" s="452" t="s">
        <v>3498</v>
      </c>
      <c r="S327" s="452" t="s">
        <v>1844</v>
      </c>
      <c r="T327" s="452" t="s">
        <v>4160</v>
      </c>
      <c r="U327" s="452" t="s">
        <v>3523</v>
      </c>
      <c r="V327" s="452" t="s">
        <v>4161</v>
      </c>
      <c r="W327" s="452" t="s">
        <v>4162</v>
      </c>
      <c r="X327" s="452" t="s">
        <v>1801</v>
      </c>
      <c r="Y327" s="452" t="s">
        <v>2857</v>
      </c>
      <c r="Z327" s="452" t="s">
        <v>2503</v>
      </c>
      <c r="AA327" s="452" t="s">
        <v>2503</v>
      </c>
      <c r="AB327" s="452" t="s">
        <v>3244</v>
      </c>
      <c r="AC327" s="442" t="s">
        <v>1803</v>
      </c>
      <c r="AD327" s="442" t="s">
        <v>3527</v>
      </c>
      <c r="AE327" s="442"/>
      <c r="AF327" s="386"/>
      <c r="AG327" s="386"/>
      <c r="AH327" s="386"/>
      <c r="AI327" s="386"/>
      <c r="AJ327" s="386"/>
      <c r="AK327" s="386"/>
      <c r="AL327" s="386"/>
      <c r="AM327" s="386"/>
      <c r="AN327" s="386"/>
      <c r="AO327" s="386"/>
      <c r="AP327" s="386"/>
      <c r="AQ327" s="386"/>
      <c r="AR327" s="386"/>
      <c r="AS327" s="386"/>
      <c r="AT327" s="386"/>
      <c r="AU327" s="386"/>
      <c r="AV327" s="386"/>
      <c r="AW327" s="386"/>
      <c r="AX327" s="386"/>
      <c r="AY327" s="386"/>
      <c r="AZ327" s="386"/>
      <c r="BA327" s="544" t="s">
        <v>4019</v>
      </c>
      <c r="BB327" s="545" t="s">
        <v>1805</v>
      </c>
      <c r="BC327" s="545" t="s">
        <v>33</v>
      </c>
      <c r="BD327" s="545" t="s">
        <v>1806</v>
      </c>
      <c r="BE327" s="356" t="s">
        <v>2564</v>
      </c>
      <c r="BF327" s="421" t="s">
        <v>2565</v>
      </c>
    </row>
    <row r="328" spans="1:100" ht="195">
      <c r="A328" s="356" t="s">
        <v>4167</v>
      </c>
      <c r="B328" s="443"/>
      <c r="C328" s="443"/>
      <c r="D328" s="443"/>
      <c r="E328" s="356" t="s">
        <v>24</v>
      </c>
      <c r="F328" s="451" t="s">
        <v>1580</v>
      </c>
      <c r="G328" s="451" t="s">
        <v>1581</v>
      </c>
      <c r="H328" s="442" t="s">
        <v>1582</v>
      </c>
      <c r="I328" s="452" t="s">
        <v>3529</v>
      </c>
      <c r="J328" s="452" t="s">
        <v>3530</v>
      </c>
      <c r="K328" s="452" t="s">
        <v>1342</v>
      </c>
      <c r="L328" s="452" t="s">
        <v>3517</v>
      </c>
      <c r="M328" s="452" t="s">
        <v>3518</v>
      </c>
      <c r="N328" s="452" t="s">
        <v>3519</v>
      </c>
      <c r="O328" s="452" t="s">
        <v>3520</v>
      </c>
      <c r="P328" s="452" t="s">
        <v>3521</v>
      </c>
      <c r="Q328" s="453" t="s">
        <v>4015</v>
      </c>
      <c r="R328" s="452" t="s">
        <v>3498</v>
      </c>
      <c r="S328" s="452" t="s">
        <v>1844</v>
      </c>
      <c r="T328" s="452" t="s">
        <v>4164</v>
      </c>
      <c r="U328" s="452" t="s">
        <v>3532</v>
      </c>
      <c r="V328" s="452" t="s">
        <v>4161</v>
      </c>
      <c r="W328" s="452" t="s">
        <v>4165</v>
      </c>
      <c r="X328" s="452" t="s">
        <v>1801</v>
      </c>
      <c r="Y328" s="452" t="s">
        <v>2857</v>
      </c>
      <c r="Z328" s="452" t="s">
        <v>2503</v>
      </c>
      <c r="AA328" s="452" t="s">
        <v>2503</v>
      </c>
      <c r="AB328" s="452" t="s">
        <v>3244</v>
      </c>
      <c r="AC328" s="442" t="s">
        <v>1803</v>
      </c>
      <c r="AD328" s="442" t="s">
        <v>3527</v>
      </c>
      <c r="AE328" s="442"/>
      <c r="AF328" s="386"/>
      <c r="AG328" s="386"/>
      <c r="AH328" s="386"/>
      <c r="AI328" s="386"/>
      <c r="AJ328" s="386"/>
      <c r="AK328" s="386"/>
      <c r="AL328" s="386"/>
      <c r="AM328" s="386"/>
      <c r="AN328" s="386"/>
      <c r="AO328" s="386"/>
      <c r="AP328" s="386"/>
      <c r="AQ328" s="386"/>
      <c r="AR328" s="386"/>
      <c r="AS328" s="386"/>
      <c r="AT328" s="386"/>
      <c r="AU328" s="386"/>
      <c r="AV328" s="386"/>
      <c r="AW328" s="386"/>
      <c r="AX328" s="386"/>
      <c r="AY328" s="386"/>
      <c r="AZ328" s="386"/>
      <c r="BA328" s="544" t="s">
        <v>4019</v>
      </c>
      <c r="BB328" s="545" t="s">
        <v>1805</v>
      </c>
      <c r="BC328" s="545" t="s">
        <v>33</v>
      </c>
      <c r="BD328" s="545" t="s">
        <v>1806</v>
      </c>
      <c r="BE328" s="356" t="s">
        <v>2564</v>
      </c>
      <c r="BF328" s="421" t="s">
        <v>2565</v>
      </c>
    </row>
    <row r="329" spans="1:100" ht="150">
      <c r="A329" s="356" t="s">
        <v>4168</v>
      </c>
      <c r="B329" s="356"/>
      <c r="C329" s="356"/>
      <c r="D329" s="356"/>
      <c r="E329" s="471" t="s">
        <v>24</v>
      </c>
      <c r="F329" s="451" t="s">
        <v>1583</v>
      </c>
      <c r="G329" s="451" t="s">
        <v>1584</v>
      </c>
      <c r="H329" s="442" t="s">
        <v>1585</v>
      </c>
      <c r="I329" s="478" t="s">
        <v>3517</v>
      </c>
      <c r="J329" s="478" t="s">
        <v>3585</v>
      </c>
      <c r="K329" s="477" t="s">
        <v>1433</v>
      </c>
      <c r="L329" s="478" t="s">
        <v>3517</v>
      </c>
      <c r="M329" s="478" t="s">
        <v>3585</v>
      </c>
      <c r="N329" s="477" t="s">
        <v>3586</v>
      </c>
      <c r="O329" s="479" t="s">
        <v>3520</v>
      </c>
      <c r="P329" s="479" t="s">
        <v>3521</v>
      </c>
      <c r="Q329" s="453" t="s">
        <v>4015</v>
      </c>
      <c r="R329" s="477" t="s">
        <v>3587</v>
      </c>
      <c r="S329" s="477" t="s">
        <v>1797</v>
      </c>
      <c r="T329" s="472" t="s">
        <v>3588</v>
      </c>
      <c r="U329" s="472" t="s">
        <v>3589</v>
      </c>
      <c r="V329" s="472" t="s">
        <v>3346</v>
      </c>
      <c r="W329" s="472" t="s">
        <v>3591</v>
      </c>
      <c r="X329" s="477" t="s">
        <v>1801</v>
      </c>
      <c r="Y329" s="472" t="s">
        <v>2857</v>
      </c>
      <c r="Z329" s="477" t="s">
        <v>3723</v>
      </c>
      <c r="AA329" s="472" t="s">
        <v>2503</v>
      </c>
      <c r="AB329" s="472" t="s">
        <v>3593</v>
      </c>
      <c r="AC329" s="477" t="s">
        <v>1803</v>
      </c>
      <c r="AD329" s="472" t="s">
        <v>1804</v>
      </c>
      <c r="AE329" s="442"/>
      <c r="AF329" s="386"/>
      <c r="BA329" s="544" t="s">
        <v>4019</v>
      </c>
      <c r="BB329" s="545" t="s">
        <v>1805</v>
      </c>
      <c r="BC329" s="545" t="s">
        <v>33</v>
      </c>
      <c r="BD329" s="545" t="s">
        <v>1806</v>
      </c>
      <c r="BE329" s="356" t="s">
        <v>2564</v>
      </c>
      <c r="BF329" s="421" t="s">
        <v>2565</v>
      </c>
    </row>
    <row r="330" spans="1:100" ht="150">
      <c r="A330" s="356" t="s">
        <v>4169</v>
      </c>
      <c r="B330" s="356"/>
      <c r="C330" s="356"/>
      <c r="D330" s="356"/>
      <c r="E330" s="356" t="s">
        <v>24</v>
      </c>
      <c r="F330" s="452" t="s">
        <v>4170</v>
      </c>
      <c r="G330" s="509" t="s">
        <v>4171</v>
      </c>
      <c r="H330" s="452" t="s">
        <v>4172</v>
      </c>
      <c r="I330" s="452" t="s">
        <v>3143</v>
      </c>
      <c r="J330" s="452" t="s">
        <v>3144</v>
      </c>
      <c r="K330" s="452" t="s">
        <v>3145</v>
      </c>
      <c r="L330" s="452" t="s">
        <v>3146</v>
      </c>
      <c r="M330" s="452" t="s">
        <v>3147</v>
      </c>
      <c r="N330" s="452" t="s">
        <v>3148</v>
      </c>
      <c r="O330" s="452" t="s">
        <v>3149</v>
      </c>
      <c r="P330" s="452" t="s">
        <v>3150</v>
      </c>
      <c r="Q330" s="453" t="s">
        <v>4015</v>
      </c>
      <c r="R330" s="452" t="s">
        <v>2151</v>
      </c>
      <c r="S330" s="452" t="s">
        <v>1797</v>
      </c>
      <c r="T330" s="452" t="s">
        <v>4173</v>
      </c>
      <c r="U330" s="452" t="s">
        <v>3012</v>
      </c>
      <c r="V330" s="452" t="s">
        <v>3152</v>
      </c>
      <c r="W330" s="452" t="s">
        <v>3153</v>
      </c>
      <c r="X330" s="452" t="s">
        <v>1801</v>
      </c>
      <c r="Y330" s="452" t="s">
        <v>2857</v>
      </c>
      <c r="Z330" s="452" t="s">
        <v>3154</v>
      </c>
      <c r="AA330" s="452" t="s">
        <v>2503</v>
      </c>
      <c r="AB330" s="452" t="s">
        <v>3155</v>
      </c>
      <c r="AC330" s="442" t="s">
        <v>1803</v>
      </c>
      <c r="AD330" s="442" t="s">
        <v>1804</v>
      </c>
      <c r="AE330" s="442" t="s">
        <v>3156</v>
      </c>
      <c r="AF330" s="386"/>
      <c r="BA330" s="544" t="s">
        <v>4019</v>
      </c>
      <c r="BB330" s="545" t="s">
        <v>1805</v>
      </c>
      <c r="BC330" s="545" t="s">
        <v>33</v>
      </c>
      <c r="BD330" s="545" t="s">
        <v>1806</v>
      </c>
      <c r="BE330" s="356" t="s">
        <v>2564</v>
      </c>
      <c r="BF330" s="421" t="s">
        <v>2565</v>
      </c>
    </row>
    <row r="331" spans="1:100" s="390" customFormat="1" ht="180">
      <c r="A331" s="356" t="s">
        <v>4174</v>
      </c>
      <c r="B331" s="356"/>
      <c r="C331" s="356"/>
      <c r="D331" s="356"/>
      <c r="E331" s="356" t="s">
        <v>24</v>
      </c>
      <c r="F331" s="452" t="s">
        <v>4175</v>
      </c>
      <c r="G331" s="509" t="s">
        <v>4176</v>
      </c>
      <c r="H331" s="452" t="s">
        <v>4177</v>
      </c>
      <c r="I331" s="511" t="s">
        <v>4178</v>
      </c>
      <c r="J331" s="511" t="s">
        <v>4179</v>
      </c>
      <c r="K331" s="452" t="s">
        <v>4180</v>
      </c>
      <c r="L331" s="452" t="s">
        <v>4181</v>
      </c>
      <c r="M331" s="511" t="s">
        <v>4182</v>
      </c>
      <c r="N331" s="452" t="s">
        <v>4183</v>
      </c>
      <c r="O331" s="452" t="s">
        <v>4184</v>
      </c>
      <c r="P331" s="452" t="s">
        <v>4185</v>
      </c>
      <c r="Q331" s="453" t="s">
        <v>4141</v>
      </c>
      <c r="R331" s="452" t="s">
        <v>3010</v>
      </c>
      <c r="S331" s="452" t="s">
        <v>1797</v>
      </c>
      <c r="T331" s="452" t="s">
        <v>4186</v>
      </c>
      <c r="U331" s="452" t="s">
        <v>3012</v>
      </c>
      <c r="V331" s="452" t="s">
        <v>2932</v>
      </c>
      <c r="W331" s="452" t="s">
        <v>4187</v>
      </c>
      <c r="X331" s="452" t="s">
        <v>1801</v>
      </c>
      <c r="Y331" s="452" t="s">
        <v>2857</v>
      </c>
      <c r="Z331" s="452" t="s">
        <v>3014</v>
      </c>
      <c r="AA331" s="452" t="s">
        <v>2503</v>
      </c>
      <c r="AB331" s="452" t="s">
        <v>4064</v>
      </c>
      <c r="AC331" s="442" t="s">
        <v>1803</v>
      </c>
      <c r="AD331" s="442" t="s">
        <v>2503</v>
      </c>
      <c r="AE331" s="442"/>
      <c r="AF331" s="386"/>
      <c r="AG331" s="384"/>
      <c r="AH331" s="384"/>
      <c r="AI331" s="384"/>
      <c r="AJ331" s="384"/>
      <c r="AK331" s="384"/>
      <c r="AL331" s="384"/>
      <c r="AM331" s="384"/>
      <c r="AN331" s="384"/>
      <c r="AO331" s="384"/>
      <c r="AP331" s="384"/>
      <c r="AQ331" s="384"/>
      <c r="AR331" s="384"/>
      <c r="AS331" s="384"/>
      <c r="AT331" s="384"/>
      <c r="AU331" s="384"/>
      <c r="AV331" s="384"/>
      <c r="AW331" s="384"/>
      <c r="AX331" s="384"/>
      <c r="AY331" s="384"/>
      <c r="AZ331" s="384"/>
      <c r="BA331" s="544" t="s">
        <v>4019</v>
      </c>
      <c r="BB331" s="545" t="s">
        <v>1805</v>
      </c>
      <c r="BC331" s="545" t="s">
        <v>33</v>
      </c>
      <c r="BD331" s="545" t="s">
        <v>1806</v>
      </c>
      <c r="BE331" s="356" t="s">
        <v>2564</v>
      </c>
      <c r="BF331" s="421" t="s">
        <v>2565</v>
      </c>
      <c r="BG331" s="384"/>
      <c r="BH331" s="384"/>
      <c r="BI331" s="384"/>
      <c r="BJ331" s="384"/>
      <c r="BK331" s="384"/>
      <c r="BL331" s="384"/>
      <c r="BM331" s="384"/>
      <c r="BN331" s="384"/>
      <c r="BO331" s="384"/>
      <c r="BP331" s="384"/>
      <c r="BQ331" s="384"/>
      <c r="BR331" s="384"/>
      <c r="BS331" s="384"/>
      <c r="BT331" s="384"/>
      <c r="BU331" s="384"/>
      <c r="BV331" s="384"/>
      <c r="BW331" s="384"/>
      <c r="BX331" s="384"/>
      <c r="BY331" s="384"/>
      <c r="BZ331" s="384"/>
      <c r="CA331" s="384"/>
      <c r="CB331" s="384"/>
      <c r="CC331" s="384"/>
      <c r="CD331" s="384"/>
      <c r="CE331" s="384"/>
      <c r="CF331" s="384"/>
      <c r="CG331" s="384"/>
      <c r="CH331" s="384"/>
      <c r="CI331" s="384"/>
      <c r="CJ331" s="384"/>
      <c r="CK331" s="384"/>
      <c r="CL331" s="384"/>
      <c r="CM331" s="384"/>
      <c r="CN331" s="384"/>
      <c r="CO331" s="384"/>
      <c r="CP331" s="384"/>
      <c r="CQ331" s="384"/>
      <c r="CR331" s="384"/>
      <c r="CS331" s="384"/>
      <c r="CT331" s="384"/>
      <c r="CU331" s="384"/>
      <c r="CV331" s="384"/>
    </row>
    <row r="332" spans="1:100" s="390" customFormat="1" ht="180">
      <c r="A332" s="356" t="s">
        <v>4188</v>
      </c>
      <c r="B332" s="356"/>
      <c r="C332" s="356"/>
      <c r="D332" s="356"/>
      <c r="E332" s="356" t="s">
        <v>24</v>
      </c>
      <c r="F332" s="452" t="s">
        <v>4189</v>
      </c>
      <c r="G332" s="509" t="s">
        <v>4190</v>
      </c>
      <c r="H332" s="452" t="s">
        <v>4191</v>
      </c>
      <c r="I332" s="511" t="s">
        <v>4192</v>
      </c>
      <c r="J332" s="511" t="s">
        <v>4193</v>
      </c>
      <c r="K332" s="452" t="s">
        <v>4180</v>
      </c>
      <c r="L332" s="452" t="s">
        <v>4194</v>
      </c>
      <c r="M332" s="511" t="s">
        <v>4195</v>
      </c>
      <c r="N332" s="452" t="s">
        <v>4183</v>
      </c>
      <c r="O332" s="452" t="s">
        <v>4196</v>
      </c>
      <c r="P332" s="452" t="s">
        <v>4197</v>
      </c>
      <c r="Q332" s="453" t="s">
        <v>4141</v>
      </c>
      <c r="R332" s="452" t="s">
        <v>3010</v>
      </c>
      <c r="S332" s="452" t="s">
        <v>1797</v>
      </c>
      <c r="T332" s="452" t="s">
        <v>4198</v>
      </c>
      <c r="U332" s="452" t="s">
        <v>3012</v>
      </c>
      <c r="V332" s="452" t="s">
        <v>2932</v>
      </c>
      <c r="W332" s="452" t="s">
        <v>4199</v>
      </c>
      <c r="X332" s="452" t="s">
        <v>1801</v>
      </c>
      <c r="Y332" s="452" t="s">
        <v>2857</v>
      </c>
      <c r="Z332" s="452" t="s">
        <v>3014</v>
      </c>
      <c r="AA332" s="452" t="s">
        <v>2503</v>
      </c>
      <c r="AB332" s="452" t="s">
        <v>4064</v>
      </c>
      <c r="AC332" s="442" t="s">
        <v>1803</v>
      </c>
      <c r="AD332" s="442" t="s">
        <v>2503</v>
      </c>
      <c r="AE332" s="442"/>
      <c r="AF332" s="386"/>
      <c r="AG332" s="384"/>
      <c r="AH332" s="384"/>
      <c r="AI332" s="384"/>
      <c r="AJ332" s="384"/>
      <c r="AK332" s="384"/>
      <c r="AL332" s="384"/>
      <c r="AM332" s="384"/>
      <c r="AN332" s="384"/>
      <c r="AO332" s="384"/>
      <c r="AP332" s="384"/>
      <c r="AQ332" s="384"/>
      <c r="AR332" s="384"/>
      <c r="AS332" s="384"/>
      <c r="AT332" s="384"/>
      <c r="AU332" s="384"/>
      <c r="AV332" s="384"/>
      <c r="AW332" s="384"/>
      <c r="AX332" s="384"/>
      <c r="AY332" s="384"/>
      <c r="AZ332" s="384"/>
      <c r="BA332" s="544" t="s">
        <v>4019</v>
      </c>
      <c r="BB332" s="545" t="s">
        <v>1805</v>
      </c>
      <c r="BC332" s="545" t="s">
        <v>33</v>
      </c>
      <c r="BD332" s="545" t="s">
        <v>1806</v>
      </c>
      <c r="BE332" s="356" t="s">
        <v>2564</v>
      </c>
      <c r="BF332" s="421" t="s">
        <v>2565</v>
      </c>
      <c r="BG332" s="384"/>
      <c r="BH332" s="384"/>
      <c r="BI332" s="384"/>
      <c r="BJ332" s="384"/>
      <c r="BK332" s="384"/>
      <c r="BL332" s="384"/>
      <c r="BM332" s="384"/>
      <c r="BN332" s="384"/>
      <c r="BO332" s="384"/>
      <c r="BP332" s="384"/>
      <c r="BQ332" s="384"/>
      <c r="BR332" s="384"/>
      <c r="BS332" s="384"/>
      <c r="BT332" s="384"/>
      <c r="BU332" s="384"/>
      <c r="BV332" s="384"/>
      <c r="BW332" s="384"/>
      <c r="BX332" s="384"/>
      <c r="BY332" s="384"/>
      <c r="BZ332" s="384"/>
      <c r="CA332" s="384"/>
      <c r="CB332" s="384"/>
      <c r="CC332" s="384"/>
      <c r="CD332" s="384"/>
      <c r="CE332" s="384"/>
      <c r="CF332" s="384"/>
      <c r="CG332" s="384"/>
      <c r="CH332" s="384"/>
      <c r="CI332" s="384"/>
      <c r="CJ332" s="384"/>
      <c r="CK332" s="384"/>
      <c r="CL332" s="384"/>
      <c r="CM332" s="384"/>
      <c r="CN332" s="384"/>
      <c r="CO332" s="384"/>
      <c r="CP332" s="384"/>
      <c r="CQ332" s="384"/>
      <c r="CR332" s="384"/>
      <c r="CS332" s="384"/>
      <c r="CT332" s="384"/>
      <c r="CU332" s="384"/>
      <c r="CV332" s="384"/>
    </row>
    <row r="333" spans="1:100" ht="150">
      <c r="A333" s="356" t="s">
        <v>4200</v>
      </c>
      <c r="B333" s="443"/>
      <c r="C333" s="443"/>
      <c r="D333" s="443"/>
      <c r="E333" s="356" t="s">
        <v>24</v>
      </c>
      <c r="F333" s="451" t="s">
        <v>1595</v>
      </c>
      <c r="G333" s="451" t="s">
        <v>1596</v>
      </c>
      <c r="H333" s="442" t="s">
        <v>1597</v>
      </c>
      <c r="I333" s="452" t="s">
        <v>3806</v>
      </c>
      <c r="J333" s="452" t="s">
        <v>3806</v>
      </c>
      <c r="K333" s="452" t="s">
        <v>3277</v>
      </c>
      <c r="L333" s="452" t="s">
        <v>4201</v>
      </c>
      <c r="M333" s="452" t="s">
        <v>3807</v>
      </c>
      <c r="N333" s="452" t="s">
        <v>3808</v>
      </c>
      <c r="O333" s="452" t="s">
        <v>3809</v>
      </c>
      <c r="P333" s="452" t="s">
        <v>3810</v>
      </c>
      <c r="Q333" s="453" t="s">
        <v>4015</v>
      </c>
      <c r="R333" s="452" t="s">
        <v>1796</v>
      </c>
      <c r="S333" s="452" t="s">
        <v>3811</v>
      </c>
      <c r="T333" s="452" t="s">
        <v>3812</v>
      </c>
      <c r="U333" s="452" t="s">
        <v>3307</v>
      </c>
      <c r="V333" s="452" t="s">
        <v>4202</v>
      </c>
      <c r="W333" s="452" t="s">
        <v>4203</v>
      </c>
      <c r="X333" s="452" t="s">
        <v>1801</v>
      </c>
      <c r="Y333" s="452" t="s">
        <v>2857</v>
      </c>
      <c r="Z333" s="452" t="s">
        <v>3815</v>
      </c>
      <c r="AA333" s="452" t="s">
        <v>2503</v>
      </c>
      <c r="AB333" s="452" t="s">
        <v>3816</v>
      </c>
      <c r="AC333" s="442" t="s">
        <v>1803</v>
      </c>
      <c r="AD333" s="442" t="s">
        <v>1804</v>
      </c>
      <c r="AE333" s="442"/>
      <c r="AF333" s="386"/>
      <c r="AG333" s="386"/>
      <c r="AH333" s="386"/>
      <c r="AI333" s="386"/>
      <c r="AJ333" s="386"/>
      <c r="AK333" s="386"/>
      <c r="AL333" s="386"/>
      <c r="AM333" s="386"/>
      <c r="AN333" s="386"/>
      <c r="AO333" s="386"/>
      <c r="AP333" s="386"/>
      <c r="AQ333" s="386"/>
      <c r="AR333" s="386"/>
      <c r="AS333" s="386"/>
      <c r="AT333" s="386"/>
      <c r="AU333" s="386"/>
      <c r="AV333" s="386"/>
      <c r="AW333" s="386"/>
      <c r="AX333" s="386"/>
      <c r="AY333" s="386"/>
      <c r="AZ333" s="386"/>
      <c r="BA333" s="544" t="s">
        <v>4019</v>
      </c>
      <c r="BB333" s="545" t="s">
        <v>1805</v>
      </c>
      <c r="BC333" s="545" t="s">
        <v>33</v>
      </c>
      <c r="BD333" s="545" t="s">
        <v>1806</v>
      </c>
      <c r="BE333" s="356" t="s">
        <v>2564</v>
      </c>
      <c r="BF333" s="421" t="s">
        <v>2565</v>
      </c>
    </row>
    <row r="334" spans="1:100" ht="150">
      <c r="A334" s="356" t="s">
        <v>4204</v>
      </c>
      <c r="B334" s="443"/>
      <c r="C334" s="443"/>
      <c r="D334" s="443"/>
      <c r="E334" s="356" t="s">
        <v>24</v>
      </c>
      <c r="F334" s="451" t="s">
        <v>1598</v>
      </c>
      <c r="G334" s="451" t="s">
        <v>1599</v>
      </c>
      <c r="H334" s="442" t="s">
        <v>1600</v>
      </c>
      <c r="I334" s="452" t="s">
        <v>3818</v>
      </c>
      <c r="J334" s="452" t="s">
        <v>3818</v>
      </c>
      <c r="K334" s="452" t="s">
        <v>3277</v>
      </c>
      <c r="L334" s="452" t="s">
        <v>4201</v>
      </c>
      <c r="M334" s="452" t="s">
        <v>3807</v>
      </c>
      <c r="N334" s="452" t="s">
        <v>3819</v>
      </c>
      <c r="O334" s="452" t="s">
        <v>3820</v>
      </c>
      <c r="P334" s="452" t="s">
        <v>3821</v>
      </c>
      <c r="Q334" s="453" t="s">
        <v>4015</v>
      </c>
      <c r="R334" s="452" t="s">
        <v>1796</v>
      </c>
      <c r="S334" s="452" t="s">
        <v>3811</v>
      </c>
      <c r="T334" s="452" t="s">
        <v>3822</v>
      </c>
      <c r="U334" s="452" t="s">
        <v>3307</v>
      </c>
      <c r="V334" s="452" t="s">
        <v>4202</v>
      </c>
      <c r="W334" s="452" t="s">
        <v>4205</v>
      </c>
      <c r="X334" s="452" t="s">
        <v>1801</v>
      </c>
      <c r="Y334" s="452" t="s">
        <v>2857</v>
      </c>
      <c r="Z334" s="452" t="s">
        <v>3815</v>
      </c>
      <c r="AA334" s="452" t="s">
        <v>2503</v>
      </c>
      <c r="AB334" s="452" t="s">
        <v>3816</v>
      </c>
      <c r="AC334" s="442" t="s">
        <v>1803</v>
      </c>
      <c r="AD334" s="442" t="s">
        <v>1804</v>
      </c>
      <c r="AE334" s="442"/>
      <c r="AF334" s="386"/>
      <c r="AG334" s="386"/>
      <c r="AH334" s="386"/>
      <c r="AI334" s="386"/>
      <c r="AJ334" s="386"/>
      <c r="AK334" s="386"/>
      <c r="AL334" s="386"/>
      <c r="AM334" s="386"/>
      <c r="AN334" s="386"/>
      <c r="AO334" s="386"/>
      <c r="AP334" s="386"/>
      <c r="AQ334" s="386"/>
      <c r="AR334" s="386"/>
      <c r="AS334" s="386"/>
      <c r="AT334" s="386"/>
      <c r="AU334" s="386"/>
      <c r="AV334" s="386"/>
      <c r="AW334" s="386"/>
      <c r="AX334" s="386"/>
      <c r="AY334" s="386"/>
      <c r="AZ334" s="386"/>
      <c r="BA334" s="544" t="s">
        <v>4019</v>
      </c>
      <c r="BB334" s="545" t="s">
        <v>1805</v>
      </c>
      <c r="BC334" s="545" t="s">
        <v>33</v>
      </c>
      <c r="BD334" s="545" t="s">
        <v>1806</v>
      </c>
      <c r="BE334" s="356" t="s">
        <v>2564</v>
      </c>
      <c r="BF334" s="421" t="s">
        <v>2565</v>
      </c>
    </row>
    <row r="335" spans="1:100" ht="150">
      <c r="A335" s="356" t="s">
        <v>4206</v>
      </c>
      <c r="B335" s="443"/>
      <c r="C335" s="443"/>
      <c r="D335" s="443"/>
      <c r="E335" s="356" t="s">
        <v>24</v>
      </c>
      <c r="F335" s="451" t="s">
        <v>1601</v>
      </c>
      <c r="G335" s="451" t="s">
        <v>1602</v>
      </c>
      <c r="H335" s="442" t="s">
        <v>1603</v>
      </c>
      <c r="I335" s="452" t="s">
        <v>3301</v>
      </c>
      <c r="J335" s="452" t="s">
        <v>3302</v>
      </c>
      <c r="K335" s="452" t="s">
        <v>3277</v>
      </c>
      <c r="L335" s="452" t="s">
        <v>4201</v>
      </c>
      <c r="M335" s="452" t="s">
        <v>3279</v>
      </c>
      <c r="N335" s="452" t="s">
        <v>3303</v>
      </c>
      <c r="O335" s="452" t="s">
        <v>3304</v>
      </c>
      <c r="P335" s="452" t="s">
        <v>3305</v>
      </c>
      <c r="Q335" s="453" t="s">
        <v>4015</v>
      </c>
      <c r="R335" s="452" t="s">
        <v>1796</v>
      </c>
      <c r="S335" s="452" t="s">
        <v>1824</v>
      </c>
      <c r="T335" s="452" t="s">
        <v>3306</v>
      </c>
      <c r="U335" s="452" t="s">
        <v>3307</v>
      </c>
      <c r="V335" s="452" t="s">
        <v>4207</v>
      </c>
      <c r="W335" s="452" t="s">
        <v>4208</v>
      </c>
      <c r="X335" s="452" t="s">
        <v>1801</v>
      </c>
      <c r="Y335" s="452" t="s">
        <v>2857</v>
      </c>
      <c r="Z335" s="452" t="s">
        <v>3310</v>
      </c>
      <c r="AA335" s="452" t="s">
        <v>2503</v>
      </c>
      <c r="AB335" s="452" t="s">
        <v>3311</v>
      </c>
      <c r="AC335" s="442" t="s">
        <v>1804</v>
      </c>
      <c r="AD335" s="442" t="s">
        <v>1804</v>
      </c>
      <c r="AE335" s="442"/>
      <c r="AF335" s="386"/>
      <c r="AG335" s="386"/>
      <c r="AH335" s="386"/>
      <c r="AI335" s="386"/>
      <c r="AJ335" s="386"/>
      <c r="AK335" s="386"/>
      <c r="AL335" s="386"/>
      <c r="AM335" s="386"/>
      <c r="AN335" s="386"/>
      <c r="AO335" s="386"/>
      <c r="AP335" s="386"/>
      <c r="AQ335" s="386"/>
      <c r="AR335" s="386"/>
      <c r="AS335" s="386"/>
      <c r="AT335" s="386"/>
      <c r="AU335" s="386"/>
      <c r="AV335" s="386"/>
      <c r="AW335" s="386"/>
      <c r="AX335" s="386"/>
      <c r="AY335" s="386"/>
      <c r="AZ335" s="386"/>
      <c r="BA335" s="544" t="s">
        <v>4019</v>
      </c>
      <c r="BB335" s="545" t="s">
        <v>1805</v>
      </c>
      <c r="BC335" s="545" t="s">
        <v>33</v>
      </c>
      <c r="BD335" s="545" t="s">
        <v>1806</v>
      </c>
      <c r="BE335" s="356" t="s">
        <v>2564</v>
      </c>
      <c r="BF335" s="421" t="s">
        <v>2565</v>
      </c>
    </row>
    <row r="336" spans="1:100" ht="409.5">
      <c r="A336" s="356" t="s">
        <v>4209</v>
      </c>
      <c r="B336" s="443"/>
      <c r="C336" s="443"/>
      <c r="D336" s="443"/>
      <c r="E336" s="356" t="s">
        <v>24</v>
      </c>
      <c r="F336" s="451" t="s">
        <v>1604</v>
      </c>
      <c r="G336" s="451" t="s">
        <v>1605</v>
      </c>
      <c r="H336" s="442" t="s">
        <v>1606</v>
      </c>
      <c r="I336" s="452" t="s">
        <v>3275</v>
      </c>
      <c r="J336" s="452" t="s">
        <v>3276</v>
      </c>
      <c r="K336" s="452" t="s">
        <v>3277</v>
      </c>
      <c r="L336" s="452" t="s">
        <v>4201</v>
      </c>
      <c r="M336" s="452" t="s">
        <v>3279</v>
      </c>
      <c r="N336" s="452" t="s">
        <v>3280</v>
      </c>
      <c r="O336" s="452" t="s">
        <v>3281</v>
      </c>
      <c r="P336" s="452" t="s">
        <v>3282</v>
      </c>
      <c r="Q336" s="453" t="s">
        <v>4015</v>
      </c>
      <c r="R336" s="452" t="s">
        <v>1796</v>
      </c>
      <c r="S336" s="452" t="s">
        <v>1797</v>
      </c>
      <c r="T336" s="452" t="s">
        <v>4210</v>
      </c>
      <c r="U336" s="452" t="s">
        <v>3284</v>
      </c>
      <c r="V336" s="452" t="s">
        <v>3346</v>
      </c>
      <c r="W336" s="452" t="s">
        <v>4211</v>
      </c>
      <c r="X336" s="452" t="s">
        <v>1801</v>
      </c>
      <c r="Y336" s="452" t="s">
        <v>2857</v>
      </c>
      <c r="Z336" s="452" t="s">
        <v>3287</v>
      </c>
      <c r="AA336" s="452" t="s">
        <v>2503</v>
      </c>
      <c r="AB336" s="452" t="s">
        <v>3288</v>
      </c>
      <c r="AC336" s="442" t="s">
        <v>1804</v>
      </c>
      <c r="AD336" s="442" t="s">
        <v>1804</v>
      </c>
      <c r="AE336" s="442"/>
      <c r="AF336" s="386"/>
      <c r="AG336" s="386"/>
      <c r="AH336" s="386"/>
      <c r="AI336" s="386"/>
      <c r="AJ336" s="386"/>
      <c r="AK336" s="386"/>
      <c r="AL336" s="386"/>
      <c r="AM336" s="386"/>
      <c r="AN336" s="386"/>
      <c r="AO336" s="386"/>
      <c r="AP336" s="386"/>
      <c r="AQ336" s="386"/>
      <c r="AR336" s="386"/>
      <c r="AS336" s="386"/>
      <c r="AT336" s="386"/>
      <c r="AU336" s="386"/>
      <c r="AV336" s="386"/>
      <c r="AW336" s="386"/>
      <c r="AX336" s="386"/>
      <c r="AY336" s="386"/>
      <c r="AZ336" s="386"/>
      <c r="BA336" s="544" t="s">
        <v>4019</v>
      </c>
      <c r="BB336" s="545" t="s">
        <v>1805</v>
      </c>
      <c r="BC336" s="545" t="s">
        <v>33</v>
      </c>
      <c r="BD336" s="545" t="s">
        <v>1806</v>
      </c>
      <c r="BE336" s="356" t="s">
        <v>2564</v>
      </c>
      <c r="BF336" s="421" t="s">
        <v>2565</v>
      </c>
    </row>
    <row r="337" spans="1:100" ht="300">
      <c r="A337" s="356" t="s">
        <v>4212</v>
      </c>
      <c r="B337" s="443"/>
      <c r="C337" s="443"/>
      <c r="D337" s="443"/>
      <c r="E337" s="443" t="s">
        <v>24</v>
      </c>
      <c r="F337" s="512" t="s">
        <v>1607</v>
      </c>
      <c r="G337" s="512" t="s">
        <v>1608</v>
      </c>
      <c r="H337" s="443" t="s">
        <v>1609</v>
      </c>
      <c r="I337" s="514" t="s">
        <v>4213</v>
      </c>
      <c r="J337" s="514" t="s">
        <v>4214</v>
      </c>
      <c r="K337" s="468" t="s">
        <v>3277</v>
      </c>
      <c r="L337" s="468" t="s">
        <v>3278</v>
      </c>
      <c r="M337" s="468" t="s">
        <v>3279</v>
      </c>
      <c r="N337" s="468" t="s">
        <v>3315</v>
      </c>
      <c r="O337" s="468" t="s">
        <v>3316</v>
      </c>
      <c r="P337" s="468" t="s">
        <v>3317</v>
      </c>
      <c r="Q337" s="453" t="s">
        <v>4015</v>
      </c>
      <c r="R337" s="468" t="s">
        <v>1796</v>
      </c>
      <c r="S337" s="468" t="s">
        <v>1797</v>
      </c>
      <c r="T337" s="468" t="s">
        <v>4215</v>
      </c>
      <c r="U337" s="468" t="s">
        <v>3307</v>
      </c>
      <c r="V337" s="468" t="s">
        <v>3346</v>
      </c>
      <c r="W337" s="468" t="s">
        <v>4216</v>
      </c>
      <c r="X337" s="468" t="s">
        <v>1801</v>
      </c>
      <c r="Y337" s="468" t="s">
        <v>2857</v>
      </c>
      <c r="Z337" s="468" t="s">
        <v>3321</v>
      </c>
      <c r="AA337" s="468" t="s">
        <v>2503</v>
      </c>
      <c r="AB337" s="468" t="s">
        <v>3288</v>
      </c>
      <c r="AC337" s="442" t="s">
        <v>1804</v>
      </c>
      <c r="AD337" s="442" t="s">
        <v>1804</v>
      </c>
      <c r="AE337" s="442"/>
      <c r="AF337" s="386"/>
      <c r="BA337" s="544" t="s">
        <v>4019</v>
      </c>
      <c r="BB337" s="545" t="s">
        <v>1805</v>
      </c>
      <c r="BC337" s="545" t="s">
        <v>33</v>
      </c>
      <c r="BD337" s="545" t="s">
        <v>1806</v>
      </c>
      <c r="BE337" s="356" t="s">
        <v>2564</v>
      </c>
      <c r="BF337" s="421" t="s">
        <v>2565</v>
      </c>
    </row>
    <row r="338" spans="1:100" ht="123">
      <c r="A338" s="356" t="s">
        <v>4217</v>
      </c>
      <c r="B338" s="443"/>
      <c r="C338" s="443"/>
      <c r="D338" s="443"/>
      <c r="E338" s="356" t="s">
        <v>24</v>
      </c>
      <c r="F338" s="443" t="s">
        <v>1610</v>
      </c>
      <c r="G338" s="443" t="s">
        <v>1611</v>
      </c>
      <c r="H338" s="443" t="s">
        <v>1612</v>
      </c>
      <c r="I338" s="445" t="s">
        <v>4218</v>
      </c>
      <c r="J338" s="444" t="s">
        <v>4219</v>
      </c>
      <c r="K338" s="442" t="s">
        <v>2812</v>
      </c>
      <c r="L338" s="442" t="s">
        <v>2813</v>
      </c>
      <c r="M338" s="442" t="s">
        <v>2814</v>
      </c>
      <c r="N338" s="442" t="s">
        <v>2815</v>
      </c>
      <c r="O338" s="463" t="s">
        <v>2816</v>
      </c>
      <c r="P338" s="449" t="s">
        <v>2817</v>
      </c>
      <c r="Q338" s="453" t="s">
        <v>4015</v>
      </c>
      <c r="R338" s="442" t="s">
        <v>1796</v>
      </c>
      <c r="S338" s="442" t="s">
        <v>1824</v>
      </c>
      <c r="T338" s="442" t="s">
        <v>4220</v>
      </c>
      <c r="U338" s="442" t="s">
        <v>2721</v>
      </c>
      <c r="V338" s="442" t="s">
        <v>2722</v>
      </c>
      <c r="W338" s="442" t="s">
        <v>4221</v>
      </c>
      <c r="X338" s="442" t="s">
        <v>2721</v>
      </c>
      <c r="Y338" s="442" t="s">
        <v>1804</v>
      </c>
      <c r="Z338" s="442" t="s">
        <v>1804</v>
      </c>
      <c r="AA338" s="442" t="s">
        <v>1804</v>
      </c>
      <c r="AB338" s="442" t="s">
        <v>1804</v>
      </c>
      <c r="AC338" s="442" t="s">
        <v>1804</v>
      </c>
      <c r="AD338" s="442" t="s">
        <v>1804</v>
      </c>
      <c r="AE338" s="442"/>
      <c r="AF338" s="386"/>
      <c r="BA338" s="356" t="s">
        <v>4019</v>
      </c>
      <c r="BB338" s="545" t="s">
        <v>1805</v>
      </c>
      <c r="BC338" s="545" t="s">
        <v>33</v>
      </c>
      <c r="BD338" s="545" t="s">
        <v>1806</v>
      </c>
      <c r="BE338" s="356" t="s">
        <v>2564</v>
      </c>
      <c r="BF338" s="421" t="s">
        <v>2565</v>
      </c>
    </row>
    <row r="339" spans="1:100" ht="150">
      <c r="A339" s="356" t="s">
        <v>4222</v>
      </c>
      <c r="B339" s="443"/>
      <c r="C339" s="443"/>
      <c r="D339" s="443"/>
      <c r="E339" s="356" t="s">
        <v>24</v>
      </c>
      <c r="F339" s="451" t="s">
        <v>1613</v>
      </c>
      <c r="G339" s="451" t="s">
        <v>1614</v>
      </c>
      <c r="H339" s="442" t="s">
        <v>1615</v>
      </c>
      <c r="I339" s="452" t="s">
        <v>3564</v>
      </c>
      <c r="J339" s="452" t="s">
        <v>3565</v>
      </c>
      <c r="K339" s="452" t="s">
        <v>3557</v>
      </c>
      <c r="L339" s="452" t="s">
        <v>4223</v>
      </c>
      <c r="M339" s="452" t="s">
        <v>3559</v>
      </c>
      <c r="N339" s="452" t="s">
        <v>3560</v>
      </c>
      <c r="O339" s="452" t="s">
        <v>3316</v>
      </c>
      <c r="P339" s="452" t="s">
        <v>3325</v>
      </c>
      <c r="Q339" s="453" t="s">
        <v>4015</v>
      </c>
      <c r="R339" s="452" t="s">
        <v>1796</v>
      </c>
      <c r="S339" s="452" t="s">
        <v>1797</v>
      </c>
      <c r="T339" s="452" t="s">
        <v>3566</v>
      </c>
      <c r="U339" s="452" t="s">
        <v>3307</v>
      </c>
      <c r="V339" s="452" t="s">
        <v>3346</v>
      </c>
      <c r="W339" s="452" t="s">
        <v>4224</v>
      </c>
      <c r="X339" s="452" t="s">
        <v>1801</v>
      </c>
      <c r="Y339" s="452" t="s">
        <v>2857</v>
      </c>
      <c r="Z339" s="452" t="s">
        <v>2503</v>
      </c>
      <c r="AA339" s="452" t="s">
        <v>2503</v>
      </c>
      <c r="AB339" s="452" t="s">
        <v>3288</v>
      </c>
      <c r="AC339" s="442" t="s">
        <v>1803</v>
      </c>
      <c r="AD339" s="442" t="s">
        <v>1804</v>
      </c>
      <c r="AE339" s="442"/>
      <c r="AF339" s="386"/>
      <c r="AG339" s="386"/>
      <c r="AH339" s="386"/>
      <c r="AI339" s="386"/>
      <c r="AJ339" s="386"/>
      <c r="AK339" s="386"/>
      <c r="AL339" s="386"/>
      <c r="AM339" s="386"/>
      <c r="AN339" s="386"/>
      <c r="AO339" s="386"/>
      <c r="AP339" s="386"/>
      <c r="AQ339" s="386"/>
      <c r="AR339" s="386"/>
      <c r="AS339" s="386"/>
      <c r="AT339" s="386"/>
      <c r="AU339" s="386"/>
      <c r="AV339" s="386"/>
      <c r="AW339" s="386"/>
      <c r="AX339" s="386"/>
      <c r="AY339" s="386"/>
      <c r="AZ339" s="386"/>
      <c r="BA339" s="544" t="s">
        <v>4019</v>
      </c>
      <c r="BB339" s="545" t="s">
        <v>1805</v>
      </c>
      <c r="BC339" s="545" t="s">
        <v>33</v>
      </c>
      <c r="BD339" s="545" t="s">
        <v>1806</v>
      </c>
      <c r="BE339" s="356" t="s">
        <v>2564</v>
      </c>
      <c r="BF339" s="421" t="s">
        <v>2565</v>
      </c>
    </row>
    <row r="340" spans="1:100" ht="225">
      <c r="A340" s="356" t="s">
        <v>4225</v>
      </c>
      <c r="B340" s="443"/>
      <c r="C340" s="443"/>
      <c r="D340" s="443"/>
      <c r="E340" s="356" t="s">
        <v>24</v>
      </c>
      <c r="F340" s="451" t="s">
        <v>1616</v>
      </c>
      <c r="G340" s="451" t="s">
        <v>1617</v>
      </c>
      <c r="H340" s="442" t="s">
        <v>1618</v>
      </c>
      <c r="I340" s="515" t="s">
        <v>4226</v>
      </c>
      <c r="J340" s="452" t="s">
        <v>3886</v>
      </c>
      <c r="K340" s="452" t="s">
        <v>3277</v>
      </c>
      <c r="L340" s="452" t="s">
        <v>4201</v>
      </c>
      <c r="M340" s="452" t="s">
        <v>3807</v>
      </c>
      <c r="N340" s="452" t="s">
        <v>3887</v>
      </c>
      <c r="O340" s="452" t="s">
        <v>3888</v>
      </c>
      <c r="P340" s="452" t="s">
        <v>3889</v>
      </c>
      <c r="Q340" s="453" t="s">
        <v>4015</v>
      </c>
      <c r="R340" s="452" t="s">
        <v>1796</v>
      </c>
      <c r="S340" s="452" t="s">
        <v>1797</v>
      </c>
      <c r="T340" s="452" t="s">
        <v>3890</v>
      </c>
      <c r="U340" s="452" t="s">
        <v>3891</v>
      </c>
      <c r="V340" s="452" t="s">
        <v>3346</v>
      </c>
      <c r="W340" s="452" t="s">
        <v>4227</v>
      </c>
      <c r="X340" s="452" t="s">
        <v>1801</v>
      </c>
      <c r="Y340" s="452" t="s">
        <v>2857</v>
      </c>
      <c r="Z340" s="452" t="s">
        <v>3328</v>
      </c>
      <c r="AA340" s="452" t="s">
        <v>2503</v>
      </c>
      <c r="AB340" s="452" t="s">
        <v>3840</v>
      </c>
      <c r="AC340" s="442" t="s">
        <v>1803</v>
      </c>
      <c r="AD340" s="442" t="s">
        <v>1804</v>
      </c>
      <c r="AE340" s="442"/>
      <c r="AF340" s="386"/>
      <c r="AG340" s="386"/>
      <c r="AH340" s="386"/>
      <c r="AI340" s="386"/>
      <c r="AJ340" s="386"/>
      <c r="AK340" s="386"/>
      <c r="AL340" s="386"/>
      <c r="AM340" s="386"/>
      <c r="AN340" s="386"/>
      <c r="AO340" s="386"/>
      <c r="AP340" s="386"/>
      <c r="AQ340" s="386"/>
      <c r="AR340" s="386"/>
      <c r="AS340" s="386"/>
      <c r="AT340" s="386"/>
      <c r="AU340" s="386"/>
      <c r="AV340" s="386"/>
      <c r="AW340" s="386"/>
      <c r="AX340" s="386"/>
      <c r="AY340" s="386"/>
      <c r="AZ340" s="386"/>
      <c r="BA340" s="544" t="s">
        <v>4019</v>
      </c>
      <c r="BB340" s="545" t="s">
        <v>1805</v>
      </c>
      <c r="BC340" s="545" t="s">
        <v>33</v>
      </c>
      <c r="BD340" s="545" t="s">
        <v>1806</v>
      </c>
      <c r="BE340" s="356" t="s">
        <v>2564</v>
      </c>
      <c r="BF340" s="421" t="s">
        <v>2565</v>
      </c>
    </row>
    <row r="341" spans="1:100" ht="150">
      <c r="A341" s="356" t="s">
        <v>4228</v>
      </c>
      <c r="B341" s="443"/>
      <c r="C341" s="443"/>
      <c r="D341" s="443"/>
      <c r="E341" s="356" t="s">
        <v>24</v>
      </c>
      <c r="F341" s="443" t="s">
        <v>1619</v>
      </c>
      <c r="G341" s="443" t="s">
        <v>1620</v>
      </c>
      <c r="H341" s="443" t="s">
        <v>1621</v>
      </c>
      <c r="I341" s="452" t="s">
        <v>4229</v>
      </c>
      <c r="J341" s="452" t="s">
        <v>4230</v>
      </c>
      <c r="K341" s="452" t="s">
        <v>3193</v>
      </c>
      <c r="L341" s="452" t="s">
        <v>3194</v>
      </c>
      <c r="M341" s="452" t="s">
        <v>3195</v>
      </c>
      <c r="N341" s="452" t="s">
        <v>3196</v>
      </c>
      <c r="O341" s="452" t="s">
        <v>3197</v>
      </c>
      <c r="P341" s="452" t="s">
        <v>3198</v>
      </c>
      <c r="Q341" s="453" t="s">
        <v>4015</v>
      </c>
      <c r="R341" s="452" t="s">
        <v>1796</v>
      </c>
      <c r="S341" s="452" t="s">
        <v>1797</v>
      </c>
      <c r="T341" s="452" t="s">
        <v>4231</v>
      </c>
      <c r="U341" s="452" t="s">
        <v>3200</v>
      </c>
      <c r="V341" s="452" t="s">
        <v>4232</v>
      </c>
      <c r="W341" s="452" t="s">
        <v>4233</v>
      </c>
      <c r="X341" s="452" t="s">
        <v>1801</v>
      </c>
      <c r="Y341" s="452" t="s">
        <v>2857</v>
      </c>
      <c r="Z341" s="452" t="s">
        <v>3203</v>
      </c>
      <c r="AA341" s="452" t="s">
        <v>2503</v>
      </c>
      <c r="AB341" s="452" t="s">
        <v>2859</v>
      </c>
      <c r="AC341" s="442" t="s">
        <v>1803</v>
      </c>
      <c r="AD341" s="442" t="s">
        <v>1804</v>
      </c>
      <c r="AE341" s="442"/>
      <c r="AF341" s="386"/>
      <c r="BA341" s="356" t="s">
        <v>4019</v>
      </c>
      <c r="BB341" s="545" t="s">
        <v>1805</v>
      </c>
      <c r="BC341" s="545" t="s">
        <v>33</v>
      </c>
      <c r="BD341" s="545" t="s">
        <v>1806</v>
      </c>
      <c r="BE341" s="356" t="s">
        <v>2564</v>
      </c>
      <c r="BF341" s="421" t="s">
        <v>2565</v>
      </c>
    </row>
    <row r="342" spans="1:100" ht="105">
      <c r="A342" s="356" t="s">
        <v>4234</v>
      </c>
      <c r="B342" s="443"/>
      <c r="C342" s="443"/>
      <c r="D342" s="443"/>
      <c r="E342" s="356" t="s">
        <v>24</v>
      </c>
      <c r="F342" s="443" t="s">
        <v>1622</v>
      </c>
      <c r="G342" s="443" t="s">
        <v>1623</v>
      </c>
      <c r="H342" s="443" t="s">
        <v>1624</v>
      </c>
      <c r="I342" s="506" t="s">
        <v>4235</v>
      </c>
      <c r="J342" s="506" t="s">
        <v>4236</v>
      </c>
      <c r="K342" s="480" t="s">
        <v>3277</v>
      </c>
      <c r="L342" s="480" t="s">
        <v>3278</v>
      </c>
      <c r="M342" s="480" t="s">
        <v>3279</v>
      </c>
      <c r="N342" s="480" t="s">
        <v>3611</v>
      </c>
      <c r="O342" s="480" t="s">
        <v>3612</v>
      </c>
      <c r="P342" s="480" t="s">
        <v>3613</v>
      </c>
      <c r="Q342" s="453" t="s">
        <v>4015</v>
      </c>
      <c r="R342" s="480" t="s">
        <v>1796</v>
      </c>
      <c r="S342" s="480" t="s">
        <v>1797</v>
      </c>
      <c r="T342" s="480" t="s">
        <v>4237</v>
      </c>
      <c r="U342" s="480" t="s">
        <v>3307</v>
      </c>
      <c r="V342" s="480" t="s">
        <v>3346</v>
      </c>
      <c r="W342" s="480" t="s">
        <v>4238</v>
      </c>
      <c r="X342" s="480" t="s">
        <v>1801</v>
      </c>
      <c r="Y342" s="480" t="s">
        <v>2857</v>
      </c>
      <c r="Z342" s="480" t="s">
        <v>3616</v>
      </c>
      <c r="AA342" s="480" t="s">
        <v>2503</v>
      </c>
      <c r="AB342" s="480" t="s">
        <v>3617</v>
      </c>
      <c r="AC342" s="442" t="s">
        <v>1804</v>
      </c>
      <c r="AD342" s="442" t="s">
        <v>1804</v>
      </c>
      <c r="AE342" s="442"/>
      <c r="AF342" s="386"/>
      <c r="BA342" s="356" t="s">
        <v>4019</v>
      </c>
      <c r="BB342" s="545" t="s">
        <v>1805</v>
      </c>
      <c r="BC342" s="545" t="s">
        <v>33</v>
      </c>
      <c r="BD342" s="545" t="s">
        <v>1806</v>
      </c>
      <c r="BE342" s="356" t="s">
        <v>2564</v>
      </c>
      <c r="BF342" s="421" t="s">
        <v>2565</v>
      </c>
    </row>
    <row r="343" spans="1:100" ht="150">
      <c r="A343" s="356" t="s">
        <v>4239</v>
      </c>
      <c r="B343" s="443"/>
      <c r="C343" s="443"/>
      <c r="D343" s="443"/>
      <c r="E343" s="356" t="s">
        <v>24</v>
      </c>
      <c r="F343" s="443" t="s">
        <v>1625</v>
      </c>
      <c r="G343" s="443" t="s">
        <v>1626</v>
      </c>
      <c r="H343" s="443" t="s">
        <v>1627</v>
      </c>
      <c r="I343" s="452" t="s">
        <v>4240</v>
      </c>
      <c r="J343" s="452" t="s">
        <v>4241</v>
      </c>
      <c r="K343" s="452" t="s">
        <v>3193</v>
      </c>
      <c r="L343" s="452" t="s">
        <v>3194</v>
      </c>
      <c r="M343" s="452" t="s">
        <v>3195</v>
      </c>
      <c r="N343" s="452" t="s">
        <v>3212</v>
      </c>
      <c r="O343" s="452" t="s">
        <v>3213</v>
      </c>
      <c r="P343" s="452" t="s">
        <v>3214</v>
      </c>
      <c r="Q343" s="453" t="s">
        <v>4015</v>
      </c>
      <c r="R343" s="452" t="s">
        <v>1796</v>
      </c>
      <c r="S343" s="452" t="s">
        <v>1797</v>
      </c>
      <c r="T343" s="452" t="s">
        <v>4242</v>
      </c>
      <c r="U343" s="452" t="s">
        <v>3200</v>
      </c>
      <c r="V343" s="452" t="s">
        <v>4243</v>
      </c>
      <c r="W343" s="452" t="s">
        <v>4244</v>
      </c>
      <c r="X343" s="452" t="s">
        <v>1801</v>
      </c>
      <c r="Y343" s="452" t="s">
        <v>2857</v>
      </c>
      <c r="Z343" s="452" t="s">
        <v>2858</v>
      </c>
      <c r="AA343" s="452" t="s">
        <v>2503</v>
      </c>
      <c r="AB343" s="452" t="s">
        <v>2859</v>
      </c>
      <c r="AC343" s="442" t="s">
        <v>1803</v>
      </c>
      <c r="AD343" s="442" t="s">
        <v>1804</v>
      </c>
      <c r="AE343" s="442"/>
      <c r="AF343" s="386"/>
      <c r="BA343" s="356" t="s">
        <v>4019</v>
      </c>
      <c r="BB343" s="545" t="s">
        <v>1805</v>
      </c>
      <c r="BC343" s="545" t="s">
        <v>33</v>
      </c>
      <c r="BD343" s="545" t="s">
        <v>1806</v>
      </c>
      <c r="BE343" s="356" t="s">
        <v>2564</v>
      </c>
      <c r="BF343" s="421" t="s">
        <v>2565</v>
      </c>
    </row>
    <row r="344" spans="1:100" ht="409.5">
      <c r="A344" s="356" t="s">
        <v>4245</v>
      </c>
      <c r="B344" s="443"/>
      <c r="C344" s="443"/>
      <c r="D344" s="443"/>
      <c r="E344" s="356" t="s">
        <v>24</v>
      </c>
      <c r="F344" s="442" t="s">
        <v>1628</v>
      </c>
      <c r="G344" s="442" t="s">
        <v>1629</v>
      </c>
      <c r="H344" s="442" t="s">
        <v>1630</v>
      </c>
      <c r="I344" s="452" t="s">
        <v>3291</v>
      </c>
      <c r="J344" s="452" t="s">
        <v>3292</v>
      </c>
      <c r="K344" s="452" t="s">
        <v>3277</v>
      </c>
      <c r="L344" s="452" t="s">
        <v>4201</v>
      </c>
      <c r="M344" s="452" t="s">
        <v>3279</v>
      </c>
      <c r="N344" s="452" t="s">
        <v>3293</v>
      </c>
      <c r="O344" s="452" t="s">
        <v>3294</v>
      </c>
      <c r="P344" s="452" t="s">
        <v>3295</v>
      </c>
      <c r="Q344" s="453" t="s">
        <v>4015</v>
      </c>
      <c r="R344" s="452" t="s">
        <v>1796</v>
      </c>
      <c r="S344" s="452" t="s">
        <v>1797</v>
      </c>
      <c r="T344" s="452" t="s">
        <v>4246</v>
      </c>
      <c r="U344" s="452" t="s">
        <v>3297</v>
      </c>
      <c r="V344" s="452" t="s">
        <v>3346</v>
      </c>
      <c r="W344" s="452" t="s">
        <v>4247</v>
      </c>
      <c r="X344" s="452" t="s">
        <v>1801</v>
      </c>
      <c r="Y344" s="452" t="s">
        <v>2857</v>
      </c>
      <c r="Z344" s="452" t="s">
        <v>3287</v>
      </c>
      <c r="AA344" s="452" t="s">
        <v>2503</v>
      </c>
      <c r="AB344" s="452" t="s">
        <v>3288</v>
      </c>
      <c r="AC344" s="442" t="s">
        <v>1804</v>
      </c>
      <c r="AD344" s="442" t="s">
        <v>1804</v>
      </c>
      <c r="AE344" s="442"/>
      <c r="AF344" s="386"/>
      <c r="AG344" s="386"/>
      <c r="AH344" s="386"/>
      <c r="AI344" s="386"/>
      <c r="AJ344" s="386"/>
      <c r="AK344" s="386"/>
      <c r="AL344" s="386"/>
      <c r="AM344" s="386"/>
      <c r="AN344" s="386"/>
      <c r="AO344" s="386"/>
      <c r="AP344" s="386"/>
      <c r="AQ344" s="386"/>
      <c r="AR344" s="386"/>
      <c r="AS344" s="386"/>
      <c r="AT344" s="386"/>
      <c r="AU344" s="386"/>
      <c r="AV344" s="386"/>
      <c r="AW344" s="386"/>
      <c r="AX344" s="386"/>
      <c r="AY344" s="386"/>
      <c r="AZ344" s="386"/>
      <c r="BA344" s="544" t="s">
        <v>4019</v>
      </c>
      <c r="BB344" s="545" t="s">
        <v>1805</v>
      </c>
      <c r="BC344" s="545" t="s">
        <v>33</v>
      </c>
      <c r="BD344" s="545" t="s">
        <v>1806</v>
      </c>
      <c r="BE344" s="356" t="s">
        <v>2564</v>
      </c>
      <c r="BF344" s="421" t="s">
        <v>2565</v>
      </c>
    </row>
    <row r="345" spans="1:100" ht="170.45" customHeight="1">
      <c r="A345" s="356" t="s">
        <v>4248</v>
      </c>
      <c r="B345" s="443"/>
      <c r="C345" s="443"/>
      <c r="D345" s="443"/>
      <c r="E345" s="356" t="s">
        <v>24</v>
      </c>
      <c r="F345" s="443" t="s">
        <v>1631</v>
      </c>
      <c r="G345" s="443" t="s">
        <v>1632</v>
      </c>
      <c r="H345" s="443" t="s">
        <v>1633</v>
      </c>
      <c r="I345" s="452" t="s">
        <v>4240</v>
      </c>
      <c r="J345" s="452" t="s">
        <v>4241</v>
      </c>
      <c r="K345" s="452" t="s">
        <v>3193</v>
      </c>
      <c r="L345" s="452" t="s">
        <v>3194</v>
      </c>
      <c r="M345" s="452" t="s">
        <v>3195</v>
      </c>
      <c r="N345" s="452" t="s">
        <v>3212</v>
      </c>
      <c r="O345" s="452" t="s">
        <v>3213</v>
      </c>
      <c r="P345" s="452" t="s">
        <v>3214</v>
      </c>
      <c r="Q345" s="453" t="s">
        <v>4015</v>
      </c>
      <c r="R345" s="452" t="s">
        <v>1796</v>
      </c>
      <c r="S345" s="452" t="s">
        <v>1797</v>
      </c>
      <c r="T345" s="452" t="s">
        <v>4249</v>
      </c>
      <c r="U345" s="452" t="s">
        <v>3200</v>
      </c>
      <c r="V345" s="452" t="s">
        <v>4243</v>
      </c>
      <c r="W345" s="452" t="s">
        <v>4244</v>
      </c>
      <c r="X345" s="452" t="s">
        <v>1801</v>
      </c>
      <c r="Y345" s="452" t="s">
        <v>2857</v>
      </c>
      <c r="Z345" s="452" t="s">
        <v>2858</v>
      </c>
      <c r="AA345" s="452" t="s">
        <v>2503</v>
      </c>
      <c r="AB345" s="452" t="s">
        <v>2859</v>
      </c>
      <c r="AC345" s="442" t="s">
        <v>1803</v>
      </c>
      <c r="AD345" s="442" t="s">
        <v>1804</v>
      </c>
      <c r="AE345" s="442"/>
      <c r="AF345" s="386"/>
      <c r="BA345" s="356" t="s">
        <v>4019</v>
      </c>
      <c r="BB345" s="545" t="s">
        <v>1805</v>
      </c>
      <c r="BC345" s="545" t="s">
        <v>33</v>
      </c>
      <c r="BD345" s="545" t="s">
        <v>1806</v>
      </c>
      <c r="BE345" s="356" t="s">
        <v>2564</v>
      </c>
      <c r="BF345" s="421" t="s">
        <v>2565</v>
      </c>
    </row>
    <row r="346" spans="1:100" ht="170.45" customHeight="1">
      <c r="A346" s="356" t="s">
        <v>4250</v>
      </c>
      <c r="B346" s="443"/>
      <c r="C346" s="443"/>
      <c r="D346" s="443"/>
      <c r="E346" s="356" t="s">
        <v>24</v>
      </c>
      <c r="F346" s="443" t="s">
        <v>1634</v>
      </c>
      <c r="G346" s="443" t="s">
        <v>1635</v>
      </c>
      <c r="H346" s="443" t="s">
        <v>1636</v>
      </c>
      <c r="I346" s="452" t="s">
        <v>4240</v>
      </c>
      <c r="J346" s="452" t="s">
        <v>4241</v>
      </c>
      <c r="K346" s="452" t="s">
        <v>3193</v>
      </c>
      <c r="L346" s="452" t="s">
        <v>3194</v>
      </c>
      <c r="M346" s="452" t="s">
        <v>3195</v>
      </c>
      <c r="N346" s="452" t="s">
        <v>3212</v>
      </c>
      <c r="O346" s="452" t="s">
        <v>3213</v>
      </c>
      <c r="P346" s="452" t="s">
        <v>3214</v>
      </c>
      <c r="Q346" s="453" t="s">
        <v>4015</v>
      </c>
      <c r="R346" s="452" t="s">
        <v>1796</v>
      </c>
      <c r="S346" s="452" t="s">
        <v>1797</v>
      </c>
      <c r="T346" s="452" t="s">
        <v>4249</v>
      </c>
      <c r="U346" s="452" t="s">
        <v>3200</v>
      </c>
      <c r="V346" s="452" t="s">
        <v>4243</v>
      </c>
      <c r="W346" s="452" t="s">
        <v>4244</v>
      </c>
      <c r="X346" s="452" t="s">
        <v>1801</v>
      </c>
      <c r="Y346" s="452" t="s">
        <v>2857</v>
      </c>
      <c r="Z346" s="452" t="s">
        <v>2858</v>
      </c>
      <c r="AA346" s="452" t="s">
        <v>2503</v>
      </c>
      <c r="AB346" s="452" t="s">
        <v>2859</v>
      </c>
      <c r="AC346" s="442" t="s">
        <v>1803</v>
      </c>
      <c r="AD346" s="442" t="s">
        <v>1804</v>
      </c>
      <c r="AE346" s="442"/>
      <c r="AF346" s="386"/>
      <c r="BA346" s="356" t="s">
        <v>4019</v>
      </c>
      <c r="BB346" s="545" t="s">
        <v>1805</v>
      </c>
      <c r="BC346" s="545" t="s">
        <v>33</v>
      </c>
      <c r="BD346" s="545" t="s">
        <v>1806</v>
      </c>
      <c r="BE346" s="356" t="s">
        <v>2564</v>
      </c>
      <c r="BF346" s="421" t="s">
        <v>2565</v>
      </c>
    </row>
    <row r="347" spans="1:100" ht="150">
      <c r="A347" s="356" t="s">
        <v>4251</v>
      </c>
      <c r="B347" s="443"/>
      <c r="C347" s="443"/>
      <c r="D347" s="443"/>
      <c r="E347" s="356" t="s">
        <v>24</v>
      </c>
      <c r="F347" s="442" t="s">
        <v>1637</v>
      </c>
      <c r="G347" s="442" t="s">
        <v>1638</v>
      </c>
      <c r="H347" s="442" t="s">
        <v>1639</v>
      </c>
      <c r="I347" s="452" t="s">
        <v>3232</v>
      </c>
      <c r="J347" s="452" t="s">
        <v>3233</v>
      </c>
      <c r="K347" s="452" t="s">
        <v>3234</v>
      </c>
      <c r="L347" s="452" t="s">
        <v>4252</v>
      </c>
      <c r="M347" s="452" t="s">
        <v>3236</v>
      </c>
      <c r="N347" s="452" t="s">
        <v>3237</v>
      </c>
      <c r="O347" s="452" t="s">
        <v>3238</v>
      </c>
      <c r="P347" s="452" t="s">
        <v>3239</v>
      </c>
      <c r="Q347" s="453" t="s">
        <v>4015</v>
      </c>
      <c r="R347" s="452" t="s">
        <v>1796</v>
      </c>
      <c r="S347" s="452" t="s">
        <v>1797</v>
      </c>
      <c r="T347" s="452" t="s">
        <v>3240</v>
      </c>
      <c r="U347" s="452" t="s">
        <v>4253</v>
      </c>
      <c r="V347" s="452" t="s">
        <v>3242</v>
      </c>
      <c r="W347" s="452" t="s">
        <v>3243</v>
      </c>
      <c r="X347" s="452" t="s">
        <v>1801</v>
      </c>
      <c r="Y347" s="452" t="s">
        <v>2857</v>
      </c>
      <c r="Z347" s="452" t="s">
        <v>3132</v>
      </c>
      <c r="AA347" s="452" t="s">
        <v>2503</v>
      </c>
      <c r="AB347" s="452" t="s">
        <v>3244</v>
      </c>
      <c r="AC347" s="442" t="s">
        <v>1803</v>
      </c>
      <c r="AD347" s="442" t="s">
        <v>1804</v>
      </c>
      <c r="AE347" s="442"/>
      <c r="AF347" s="386"/>
      <c r="AG347" s="386"/>
      <c r="AH347" s="386"/>
      <c r="AI347" s="386"/>
      <c r="AJ347" s="386"/>
      <c r="AK347" s="386"/>
      <c r="AL347" s="386"/>
      <c r="AM347" s="386"/>
      <c r="AN347" s="386"/>
      <c r="AO347" s="386"/>
      <c r="AP347" s="386"/>
      <c r="AQ347" s="386"/>
      <c r="AR347" s="386"/>
      <c r="AS347" s="386"/>
      <c r="AT347" s="386"/>
      <c r="AU347" s="386"/>
      <c r="AV347" s="386"/>
      <c r="AW347" s="386"/>
      <c r="AX347" s="386"/>
      <c r="AY347" s="386"/>
      <c r="AZ347" s="386"/>
      <c r="BA347" s="544" t="s">
        <v>4019</v>
      </c>
      <c r="BB347" s="545" t="s">
        <v>1805</v>
      </c>
      <c r="BC347" s="545" t="s">
        <v>33</v>
      </c>
      <c r="BD347" s="545" t="s">
        <v>1806</v>
      </c>
      <c r="BE347" s="356" t="s">
        <v>2564</v>
      </c>
      <c r="BF347" s="421" t="s">
        <v>2565</v>
      </c>
    </row>
    <row r="348" spans="1:100" ht="270">
      <c r="A348" s="356" t="s">
        <v>4254</v>
      </c>
      <c r="B348" s="443"/>
      <c r="C348" s="443"/>
      <c r="D348" s="443"/>
      <c r="E348" s="356" t="s">
        <v>24</v>
      </c>
      <c r="F348" s="442" t="s">
        <v>1640</v>
      </c>
      <c r="G348" s="442" t="s">
        <v>1641</v>
      </c>
      <c r="H348" s="442" t="s">
        <v>4255</v>
      </c>
      <c r="I348" s="452" t="s">
        <v>3158</v>
      </c>
      <c r="J348" s="452" t="s">
        <v>3159</v>
      </c>
      <c r="K348" s="452" t="s">
        <v>4256</v>
      </c>
      <c r="L348" s="452" t="s">
        <v>4257</v>
      </c>
      <c r="M348" s="452" t="s">
        <v>3147</v>
      </c>
      <c r="N348" s="452" t="s">
        <v>3160</v>
      </c>
      <c r="O348" s="452" t="s">
        <v>3161</v>
      </c>
      <c r="P348" s="452" t="s">
        <v>3162</v>
      </c>
      <c r="Q348" s="453" t="s">
        <v>4015</v>
      </c>
      <c r="R348" s="452" t="s">
        <v>2151</v>
      </c>
      <c r="S348" s="452" t="s">
        <v>1797</v>
      </c>
      <c r="T348" s="452" t="s">
        <v>4258</v>
      </c>
      <c r="U348" s="452" t="s">
        <v>3012</v>
      </c>
      <c r="V348" s="452" t="s">
        <v>3152</v>
      </c>
      <c r="W348" s="452" t="s">
        <v>3164</v>
      </c>
      <c r="X348" s="452" t="s">
        <v>1801</v>
      </c>
      <c r="Y348" s="452" t="s">
        <v>2857</v>
      </c>
      <c r="Z348" s="452" t="s">
        <v>3165</v>
      </c>
      <c r="AA348" s="452" t="s">
        <v>2503</v>
      </c>
      <c r="AB348" s="452" t="s">
        <v>3155</v>
      </c>
      <c r="AC348" s="442" t="s">
        <v>1803</v>
      </c>
      <c r="AD348" s="442" t="s">
        <v>1804</v>
      </c>
      <c r="AE348" s="442" t="s">
        <v>3156</v>
      </c>
      <c r="AF348" s="386"/>
      <c r="AG348" s="386"/>
      <c r="AH348" s="386"/>
      <c r="AI348" s="386"/>
      <c r="AJ348" s="386"/>
      <c r="AK348" s="386"/>
      <c r="AL348" s="386"/>
      <c r="AM348" s="386"/>
      <c r="AN348" s="386"/>
      <c r="AO348" s="386"/>
      <c r="AP348" s="386"/>
      <c r="AQ348" s="386"/>
      <c r="AR348" s="386"/>
      <c r="AS348" s="386"/>
      <c r="AT348" s="386"/>
      <c r="AU348" s="386"/>
      <c r="AV348" s="386"/>
      <c r="AW348" s="386"/>
      <c r="AX348" s="386"/>
      <c r="AY348" s="386"/>
      <c r="AZ348" s="386"/>
      <c r="BA348" s="544" t="s">
        <v>4019</v>
      </c>
      <c r="BB348" s="545" t="s">
        <v>1805</v>
      </c>
      <c r="BC348" s="545" t="s">
        <v>33</v>
      </c>
      <c r="BD348" s="545" t="s">
        <v>1806</v>
      </c>
      <c r="BE348" s="356" t="s">
        <v>2564</v>
      </c>
      <c r="BF348" s="421" t="s">
        <v>2565</v>
      </c>
    </row>
    <row r="349" spans="1:100" ht="270">
      <c r="A349" s="356" t="s">
        <v>4259</v>
      </c>
      <c r="B349" s="443"/>
      <c r="C349" s="443"/>
      <c r="D349" s="443"/>
      <c r="E349" s="356" t="s">
        <v>24</v>
      </c>
      <c r="F349" s="442" t="s">
        <v>1643</v>
      </c>
      <c r="G349" s="442" t="s">
        <v>1644</v>
      </c>
      <c r="H349" s="442" t="s">
        <v>4260</v>
      </c>
      <c r="I349" s="452" t="s">
        <v>3167</v>
      </c>
      <c r="J349" s="452" t="s">
        <v>3168</v>
      </c>
      <c r="K349" s="452" t="s">
        <v>4261</v>
      </c>
      <c r="L349" s="452" t="s">
        <v>4257</v>
      </c>
      <c r="M349" s="452" t="s">
        <v>3147</v>
      </c>
      <c r="N349" s="452" t="s">
        <v>3169</v>
      </c>
      <c r="O349" s="452" t="s">
        <v>3170</v>
      </c>
      <c r="P349" s="452" t="s">
        <v>3171</v>
      </c>
      <c r="Q349" s="453" t="s">
        <v>4015</v>
      </c>
      <c r="R349" s="452" t="s">
        <v>2151</v>
      </c>
      <c r="S349" s="452" t="s">
        <v>1797</v>
      </c>
      <c r="T349" s="452" t="s">
        <v>4262</v>
      </c>
      <c r="U349" s="452" t="s">
        <v>3012</v>
      </c>
      <c r="V349" s="452" t="s">
        <v>3152</v>
      </c>
      <c r="W349" s="452" t="s">
        <v>3173</v>
      </c>
      <c r="X349" s="452" t="s">
        <v>1801</v>
      </c>
      <c r="Y349" s="452" t="s">
        <v>2857</v>
      </c>
      <c r="Z349" s="452" t="s">
        <v>3165</v>
      </c>
      <c r="AA349" s="452" t="s">
        <v>2503</v>
      </c>
      <c r="AB349" s="452" t="s">
        <v>3155</v>
      </c>
      <c r="AC349" s="442" t="s">
        <v>1803</v>
      </c>
      <c r="AD349" s="442" t="s">
        <v>1804</v>
      </c>
      <c r="AE349" s="442" t="s">
        <v>3156</v>
      </c>
      <c r="AF349" s="386"/>
      <c r="AG349" s="386"/>
      <c r="AH349" s="386"/>
      <c r="AI349" s="386"/>
      <c r="AJ349" s="386"/>
      <c r="AK349" s="386"/>
      <c r="AL349" s="386"/>
      <c r="AM349" s="386"/>
      <c r="AN349" s="386"/>
      <c r="AO349" s="386"/>
      <c r="AP349" s="386"/>
      <c r="AQ349" s="386"/>
      <c r="AR349" s="386"/>
      <c r="AS349" s="386"/>
      <c r="AT349" s="386"/>
      <c r="AU349" s="386"/>
      <c r="AV349" s="386"/>
      <c r="AW349" s="386"/>
      <c r="AX349" s="386"/>
      <c r="AY349" s="386"/>
      <c r="AZ349" s="386"/>
      <c r="BA349" s="544" t="s">
        <v>4019</v>
      </c>
      <c r="BB349" s="545" t="s">
        <v>1805</v>
      </c>
      <c r="BC349" s="545" t="s">
        <v>33</v>
      </c>
      <c r="BD349" s="545" t="s">
        <v>1806</v>
      </c>
      <c r="BE349" s="356" t="s">
        <v>2564</v>
      </c>
      <c r="BF349" s="421" t="s">
        <v>2565</v>
      </c>
    </row>
    <row r="350" spans="1:100" ht="270">
      <c r="A350" s="356" t="s">
        <v>4263</v>
      </c>
      <c r="B350" s="443"/>
      <c r="C350" s="443"/>
      <c r="D350" s="443"/>
      <c r="E350" s="356" t="s">
        <v>24</v>
      </c>
      <c r="F350" s="442" t="s">
        <v>1646</v>
      </c>
      <c r="G350" s="442" t="s">
        <v>1647</v>
      </c>
      <c r="H350" s="442" t="s">
        <v>4264</v>
      </c>
      <c r="I350" s="452" t="s">
        <v>3175</v>
      </c>
      <c r="J350" s="452" t="s">
        <v>3176</v>
      </c>
      <c r="K350" s="452" t="s">
        <v>3145</v>
      </c>
      <c r="L350" s="452" t="s">
        <v>4257</v>
      </c>
      <c r="M350" s="452" t="s">
        <v>3147</v>
      </c>
      <c r="N350" s="452" t="s">
        <v>3177</v>
      </c>
      <c r="O350" s="452" t="s">
        <v>3178</v>
      </c>
      <c r="P350" s="452" t="s">
        <v>3179</v>
      </c>
      <c r="Q350" s="453" t="s">
        <v>4015</v>
      </c>
      <c r="R350" s="452" t="s">
        <v>2151</v>
      </c>
      <c r="S350" s="452" t="s">
        <v>1797</v>
      </c>
      <c r="T350" s="452" t="s">
        <v>4265</v>
      </c>
      <c r="U350" s="452" t="s">
        <v>3012</v>
      </c>
      <c r="V350" s="452" t="s">
        <v>3152</v>
      </c>
      <c r="W350" s="452" t="s">
        <v>3181</v>
      </c>
      <c r="X350" s="452" t="s">
        <v>1801</v>
      </c>
      <c r="Y350" s="452" t="s">
        <v>2857</v>
      </c>
      <c r="Z350" s="452" t="s">
        <v>3165</v>
      </c>
      <c r="AA350" s="452" t="s">
        <v>2503</v>
      </c>
      <c r="AB350" s="452" t="s">
        <v>3155</v>
      </c>
      <c r="AC350" s="442" t="s">
        <v>1803</v>
      </c>
      <c r="AD350" s="442" t="s">
        <v>1804</v>
      </c>
      <c r="AE350" s="442" t="s">
        <v>3156</v>
      </c>
      <c r="AF350" s="386"/>
      <c r="AG350" s="386"/>
      <c r="AH350" s="386"/>
      <c r="AI350" s="386"/>
      <c r="AJ350" s="386"/>
      <c r="AK350" s="386"/>
      <c r="AL350" s="386"/>
      <c r="AM350" s="386"/>
      <c r="AN350" s="386"/>
      <c r="AO350" s="386"/>
      <c r="AP350" s="386"/>
      <c r="AQ350" s="386"/>
      <c r="AR350" s="386"/>
      <c r="AS350" s="386"/>
      <c r="AT350" s="386"/>
      <c r="AU350" s="386"/>
      <c r="AV350" s="386"/>
      <c r="AW350" s="386"/>
      <c r="AX350" s="386"/>
      <c r="AY350" s="386"/>
      <c r="AZ350" s="386"/>
      <c r="BA350" s="544" t="s">
        <v>4019</v>
      </c>
      <c r="BB350" s="545" t="s">
        <v>1805</v>
      </c>
      <c r="BC350" s="545" t="s">
        <v>33</v>
      </c>
      <c r="BD350" s="545" t="s">
        <v>1806</v>
      </c>
      <c r="BE350" s="356" t="s">
        <v>2564</v>
      </c>
      <c r="BF350" s="421" t="s">
        <v>2565</v>
      </c>
    </row>
    <row r="351" spans="1:100" ht="270">
      <c r="A351" s="356" t="s">
        <v>4266</v>
      </c>
      <c r="B351" s="443"/>
      <c r="C351" s="443"/>
      <c r="D351" s="443"/>
      <c r="E351" s="356" t="s">
        <v>24</v>
      </c>
      <c r="F351" s="442" t="s">
        <v>1649</v>
      </c>
      <c r="G351" s="442" t="s">
        <v>1650</v>
      </c>
      <c r="H351" s="442" t="s">
        <v>4267</v>
      </c>
      <c r="I351" s="452" t="s">
        <v>3183</v>
      </c>
      <c r="J351" s="452" t="s">
        <v>3184</v>
      </c>
      <c r="K351" s="452" t="s">
        <v>3145</v>
      </c>
      <c r="L351" s="452" t="s">
        <v>4257</v>
      </c>
      <c r="M351" s="452" t="s">
        <v>3147</v>
      </c>
      <c r="N351" s="452" t="s">
        <v>3185</v>
      </c>
      <c r="O351" s="452" t="s">
        <v>3186</v>
      </c>
      <c r="P351" s="452" t="s">
        <v>3187</v>
      </c>
      <c r="Q351" s="453" t="s">
        <v>4015</v>
      </c>
      <c r="R351" s="452" t="s">
        <v>2151</v>
      </c>
      <c r="S351" s="452" t="s">
        <v>1797</v>
      </c>
      <c r="T351" s="452" t="s">
        <v>4268</v>
      </c>
      <c r="U351" s="452" t="s">
        <v>3012</v>
      </c>
      <c r="V351" s="452" t="s">
        <v>3152</v>
      </c>
      <c r="W351" s="452" t="s">
        <v>3189</v>
      </c>
      <c r="X351" s="452" t="s">
        <v>1801</v>
      </c>
      <c r="Y351" s="452" t="s">
        <v>2857</v>
      </c>
      <c r="Z351" s="452" t="s">
        <v>3165</v>
      </c>
      <c r="AA351" s="452" t="s">
        <v>2503</v>
      </c>
      <c r="AB351" s="452" t="s">
        <v>3155</v>
      </c>
      <c r="AC351" s="442" t="s">
        <v>1803</v>
      </c>
      <c r="AD351" s="442" t="s">
        <v>1804</v>
      </c>
      <c r="AE351" s="442" t="s">
        <v>3156</v>
      </c>
      <c r="AF351" s="386"/>
      <c r="AG351" s="386"/>
      <c r="AH351" s="386"/>
      <c r="AI351" s="386"/>
      <c r="AJ351" s="386"/>
      <c r="AK351" s="386"/>
      <c r="AL351" s="386"/>
      <c r="AM351" s="386"/>
      <c r="AN351" s="386"/>
      <c r="AO351" s="386"/>
      <c r="AP351" s="386"/>
      <c r="AQ351" s="386"/>
      <c r="AR351" s="386"/>
      <c r="AS351" s="386"/>
      <c r="AT351" s="386"/>
      <c r="AU351" s="386"/>
      <c r="AV351" s="386"/>
      <c r="AW351" s="386"/>
      <c r="AX351" s="386"/>
      <c r="AY351" s="386"/>
      <c r="AZ351" s="386"/>
      <c r="BA351" s="544" t="s">
        <v>4019</v>
      </c>
      <c r="BB351" s="545" t="s">
        <v>1805</v>
      </c>
      <c r="BC351" s="545" t="s">
        <v>33</v>
      </c>
      <c r="BD351" s="545" t="s">
        <v>1806</v>
      </c>
      <c r="BE351" s="356" t="s">
        <v>2564</v>
      </c>
      <c r="BF351" s="421" t="s">
        <v>2565</v>
      </c>
    </row>
    <row r="352" spans="1:100" s="390" customFormat="1" ht="180">
      <c r="A352" s="356" t="s">
        <v>4269</v>
      </c>
      <c r="B352" s="356"/>
      <c r="C352" s="356"/>
      <c r="D352" s="356"/>
      <c r="E352" s="356" t="s">
        <v>24</v>
      </c>
      <c r="F352" s="452" t="s">
        <v>4270</v>
      </c>
      <c r="G352" s="509" t="s">
        <v>4271</v>
      </c>
      <c r="H352" s="452" t="s">
        <v>4272</v>
      </c>
      <c r="I352" s="452" t="s">
        <v>3028</v>
      </c>
      <c r="J352" s="452" t="s">
        <v>3029</v>
      </c>
      <c r="K352" s="452" t="s">
        <v>3030</v>
      </c>
      <c r="L352" s="452" t="s">
        <v>3031</v>
      </c>
      <c r="M352" s="452" t="s">
        <v>3032</v>
      </c>
      <c r="N352" s="452" t="s">
        <v>3033</v>
      </c>
      <c r="O352" s="452" t="s">
        <v>3034</v>
      </c>
      <c r="P352" s="452" t="s">
        <v>3035</v>
      </c>
      <c r="Q352" s="453" t="s">
        <v>4141</v>
      </c>
      <c r="R352" s="452" t="s">
        <v>3010</v>
      </c>
      <c r="S352" s="452" t="s">
        <v>1797</v>
      </c>
      <c r="T352" s="452" t="s">
        <v>3036</v>
      </c>
      <c r="U352" s="452" t="s">
        <v>3012</v>
      </c>
      <c r="V352" s="452" t="s">
        <v>2932</v>
      </c>
      <c r="W352" s="452" t="s">
        <v>3037</v>
      </c>
      <c r="X352" s="452" t="s">
        <v>1801</v>
      </c>
      <c r="Y352" s="452" t="s">
        <v>2857</v>
      </c>
      <c r="Z352" s="452" t="s">
        <v>3014</v>
      </c>
      <c r="AA352" s="452" t="s">
        <v>2503</v>
      </c>
      <c r="AB352" s="452" t="s">
        <v>4064</v>
      </c>
      <c r="AC352" s="442" t="s">
        <v>1803</v>
      </c>
      <c r="AD352" s="442" t="s">
        <v>2503</v>
      </c>
      <c r="AE352" s="442"/>
      <c r="AF352" s="386"/>
      <c r="AG352" s="384"/>
      <c r="AH352" s="384"/>
      <c r="AI352" s="384"/>
      <c r="AJ352" s="384"/>
      <c r="AK352" s="384"/>
      <c r="AL352" s="384"/>
      <c r="AM352" s="384"/>
      <c r="AN352" s="384"/>
      <c r="AO352" s="384"/>
      <c r="AP352" s="384"/>
      <c r="AQ352" s="384"/>
      <c r="AR352" s="384"/>
      <c r="AS352" s="384"/>
      <c r="AT352" s="384"/>
      <c r="AU352" s="384"/>
      <c r="AV352" s="384"/>
      <c r="AW352" s="384"/>
      <c r="AX352" s="384"/>
      <c r="AY352" s="384"/>
      <c r="AZ352" s="384"/>
      <c r="BA352" s="544" t="s">
        <v>4019</v>
      </c>
      <c r="BB352" s="545" t="s">
        <v>1805</v>
      </c>
      <c r="BC352" s="545" t="s">
        <v>33</v>
      </c>
      <c r="BD352" s="545" t="s">
        <v>1806</v>
      </c>
      <c r="BE352" s="356" t="s">
        <v>2564</v>
      </c>
      <c r="BF352" s="421" t="s">
        <v>2565</v>
      </c>
      <c r="BG352" s="384"/>
      <c r="BH352" s="384"/>
      <c r="BI352" s="384"/>
      <c r="BJ352" s="384"/>
      <c r="BK352" s="384"/>
      <c r="BL352" s="384"/>
      <c r="BM352" s="384"/>
      <c r="BN352" s="384"/>
      <c r="BO352" s="384"/>
      <c r="BP352" s="384"/>
      <c r="BQ352" s="384"/>
      <c r="BR352" s="384"/>
      <c r="BS352" s="384"/>
      <c r="BT352" s="384"/>
      <c r="BU352" s="384"/>
      <c r="BV352" s="384"/>
      <c r="BW352" s="384"/>
      <c r="BX352" s="384"/>
      <c r="BY352" s="384"/>
      <c r="BZ352" s="384"/>
      <c r="CA352" s="384"/>
      <c r="CB352" s="384"/>
      <c r="CC352" s="384"/>
      <c r="CD352" s="384"/>
      <c r="CE352" s="384"/>
      <c r="CF352" s="384"/>
      <c r="CG352" s="384"/>
      <c r="CH352" s="384"/>
      <c r="CI352" s="384"/>
      <c r="CJ352" s="384"/>
      <c r="CK352" s="384"/>
      <c r="CL352" s="384"/>
      <c r="CM352" s="384"/>
      <c r="CN352" s="384"/>
      <c r="CO352" s="384"/>
      <c r="CP352" s="384"/>
      <c r="CQ352" s="384"/>
      <c r="CR352" s="384"/>
      <c r="CS352" s="384"/>
      <c r="CT352" s="384"/>
      <c r="CU352" s="384"/>
      <c r="CV352" s="384"/>
    </row>
    <row r="353" spans="1:100" s="390" customFormat="1" ht="180">
      <c r="A353" s="356" t="s">
        <v>4273</v>
      </c>
      <c r="B353" s="356"/>
      <c r="C353" s="356"/>
      <c r="D353" s="356"/>
      <c r="E353" s="356" t="s">
        <v>24</v>
      </c>
      <c r="F353" s="452" t="s">
        <v>4274</v>
      </c>
      <c r="G353" s="509" t="s">
        <v>4275</v>
      </c>
      <c r="H353" s="452" t="s">
        <v>4276</v>
      </c>
      <c r="I353" s="452" t="s">
        <v>3047</v>
      </c>
      <c r="J353" s="452" t="s">
        <v>3048</v>
      </c>
      <c r="K353" s="452" t="s">
        <v>3004</v>
      </c>
      <c r="L353" s="452" t="s">
        <v>3005</v>
      </c>
      <c r="M353" s="452" t="s">
        <v>3006</v>
      </c>
      <c r="N353" s="452" t="s">
        <v>3007</v>
      </c>
      <c r="O353" s="452" t="s">
        <v>3008</v>
      </c>
      <c r="P353" s="452" t="s">
        <v>3009</v>
      </c>
      <c r="Q353" s="453" t="s">
        <v>4015</v>
      </c>
      <c r="R353" s="452" t="s">
        <v>3010</v>
      </c>
      <c r="S353" s="452" t="s">
        <v>1797</v>
      </c>
      <c r="T353" s="452" t="s">
        <v>3049</v>
      </c>
      <c r="U353" s="452" t="s">
        <v>3012</v>
      </c>
      <c r="V353" s="452" t="s">
        <v>2932</v>
      </c>
      <c r="W353" s="452" t="s">
        <v>3050</v>
      </c>
      <c r="X353" s="452" t="s">
        <v>1801</v>
      </c>
      <c r="Y353" s="452" t="s">
        <v>2857</v>
      </c>
      <c r="Z353" s="452" t="s">
        <v>3014</v>
      </c>
      <c r="AA353" s="452" t="s">
        <v>2503</v>
      </c>
      <c r="AB353" s="452" t="s">
        <v>4064</v>
      </c>
      <c r="AC353" s="442" t="s">
        <v>1803</v>
      </c>
      <c r="AD353" s="442" t="s">
        <v>2503</v>
      </c>
      <c r="AE353" s="442"/>
      <c r="AF353" s="386"/>
      <c r="AG353" s="384"/>
      <c r="AH353" s="384"/>
      <c r="AI353" s="384"/>
      <c r="AJ353" s="384"/>
      <c r="AK353" s="384"/>
      <c r="AL353" s="384"/>
      <c r="AM353" s="384"/>
      <c r="AN353" s="384"/>
      <c r="AO353" s="384"/>
      <c r="AP353" s="384"/>
      <c r="AQ353" s="384"/>
      <c r="AR353" s="384"/>
      <c r="AS353" s="384"/>
      <c r="AT353" s="384"/>
      <c r="AU353" s="384"/>
      <c r="AV353" s="384"/>
      <c r="AW353" s="384"/>
      <c r="AX353" s="384"/>
      <c r="AY353" s="384"/>
      <c r="AZ353" s="384"/>
      <c r="BA353" s="544" t="s">
        <v>4019</v>
      </c>
      <c r="BB353" s="545" t="s">
        <v>1805</v>
      </c>
      <c r="BC353" s="545" t="s">
        <v>33</v>
      </c>
      <c r="BD353" s="545" t="s">
        <v>1806</v>
      </c>
      <c r="BE353" s="356" t="s">
        <v>2564</v>
      </c>
      <c r="BF353" s="421" t="s">
        <v>2565</v>
      </c>
      <c r="BG353" s="384"/>
      <c r="BH353" s="384"/>
      <c r="BI353" s="384"/>
      <c r="BJ353" s="384"/>
      <c r="BK353" s="384"/>
      <c r="BL353" s="384"/>
      <c r="BM353" s="384"/>
      <c r="BN353" s="384"/>
      <c r="BO353" s="384"/>
      <c r="BP353" s="384"/>
      <c r="BQ353" s="384"/>
      <c r="BR353" s="384"/>
      <c r="BS353" s="384"/>
      <c r="BT353" s="384"/>
      <c r="BU353" s="384"/>
      <c r="BV353" s="384"/>
      <c r="BW353" s="384"/>
      <c r="BX353" s="384"/>
      <c r="BY353" s="384"/>
      <c r="BZ353" s="384"/>
      <c r="CA353" s="384"/>
      <c r="CB353" s="384"/>
      <c r="CC353" s="384"/>
      <c r="CD353" s="384"/>
      <c r="CE353" s="384"/>
      <c r="CF353" s="384"/>
      <c r="CG353" s="384"/>
      <c r="CH353" s="384"/>
      <c r="CI353" s="384"/>
      <c r="CJ353" s="384"/>
      <c r="CK353" s="384"/>
      <c r="CL353" s="384"/>
      <c r="CM353" s="384"/>
      <c r="CN353" s="384"/>
      <c r="CO353" s="384"/>
      <c r="CP353" s="384"/>
      <c r="CQ353" s="384"/>
      <c r="CR353" s="384"/>
      <c r="CS353" s="384"/>
      <c r="CT353" s="384"/>
      <c r="CU353" s="384"/>
      <c r="CV353" s="384"/>
    </row>
    <row r="354" spans="1:100" s="390" customFormat="1" ht="255">
      <c r="A354" s="356" t="s">
        <v>4277</v>
      </c>
      <c r="B354" s="356"/>
      <c r="C354" s="356"/>
      <c r="D354" s="356"/>
      <c r="E354" s="356" t="s">
        <v>24</v>
      </c>
      <c r="F354" s="452" t="s">
        <v>4278</v>
      </c>
      <c r="G354" s="516" t="s">
        <v>4279</v>
      </c>
      <c r="H354" s="484" t="s">
        <v>4280</v>
      </c>
      <c r="I354" s="484" t="s">
        <v>3717</v>
      </c>
      <c r="J354" s="484" t="s">
        <v>3718</v>
      </c>
      <c r="K354" s="484" t="s">
        <v>1394</v>
      </c>
      <c r="L354" s="484" t="s">
        <v>3717</v>
      </c>
      <c r="M354" s="484" t="s">
        <v>3718</v>
      </c>
      <c r="N354" s="484" t="s">
        <v>3719</v>
      </c>
      <c r="O354" s="486" t="s">
        <v>3098</v>
      </c>
      <c r="P354" s="486" t="s">
        <v>3099</v>
      </c>
      <c r="Q354" s="453" t="s">
        <v>4015</v>
      </c>
      <c r="R354" s="484" t="s">
        <v>3587</v>
      </c>
      <c r="S354" s="484" t="s">
        <v>1824</v>
      </c>
      <c r="T354" s="484" t="s">
        <v>4281</v>
      </c>
      <c r="U354" s="484" t="s">
        <v>3721</v>
      </c>
      <c r="V354" s="484" t="s">
        <v>4058</v>
      </c>
      <c r="W354" s="484" t="s">
        <v>4282</v>
      </c>
      <c r="X354" s="484" t="s">
        <v>1801</v>
      </c>
      <c r="Y354" s="484" t="s">
        <v>2857</v>
      </c>
      <c r="Z354" s="484" t="s">
        <v>3723</v>
      </c>
      <c r="AA354" s="484" t="s">
        <v>2503</v>
      </c>
      <c r="AB354" s="484" t="s">
        <v>3617</v>
      </c>
      <c r="AC354" s="442" t="s">
        <v>1803</v>
      </c>
      <c r="AD354" s="442" t="s">
        <v>1804</v>
      </c>
      <c r="AE354" s="442"/>
      <c r="AF354" s="386"/>
      <c r="AG354" s="384"/>
      <c r="AH354" s="384"/>
      <c r="AI354" s="384"/>
      <c r="AJ354" s="384"/>
      <c r="AK354" s="384"/>
      <c r="AL354" s="384"/>
      <c r="AM354" s="384"/>
      <c r="AN354" s="384"/>
      <c r="AO354" s="384"/>
      <c r="AP354" s="384"/>
      <c r="AQ354" s="384"/>
      <c r="AR354" s="384"/>
      <c r="AS354" s="384"/>
      <c r="AT354" s="384"/>
      <c r="AU354" s="384"/>
      <c r="AV354" s="384"/>
      <c r="AW354" s="384"/>
      <c r="AX354" s="384"/>
      <c r="AY354" s="384"/>
      <c r="AZ354" s="384"/>
      <c r="BA354" s="544" t="s">
        <v>4019</v>
      </c>
      <c r="BB354" s="545" t="s">
        <v>1805</v>
      </c>
      <c r="BC354" s="545" t="s">
        <v>33</v>
      </c>
      <c r="BD354" s="545" t="s">
        <v>1806</v>
      </c>
      <c r="BE354" s="356" t="s">
        <v>2564</v>
      </c>
      <c r="BF354" s="421" t="s">
        <v>2565</v>
      </c>
      <c r="BG354" s="384"/>
      <c r="BH354" s="384"/>
      <c r="BI354" s="384"/>
      <c r="BJ354" s="384"/>
      <c r="BK354" s="384"/>
      <c r="BL354" s="384"/>
      <c r="BM354" s="384"/>
      <c r="BN354" s="384"/>
      <c r="BO354" s="384"/>
      <c r="BP354" s="384"/>
      <c r="BQ354" s="384"/>
      <c r="BR354" s="384"/>
      <c r="BS354" s="384"/>
      <c r="BT354" s="384"/>
      <c r="BU354" s="384"/>
      <c r="BV354" s="384"/>
      <c r="BW354" s="384"/>
      <c r="BX354" s="384"/>
      <c r="BY354" s="384"/>
      <c r="BZ354" s="384"/>
      <c r="CA354" s="384"/>
      <c r="CB354" s="384"/>
      <c r="CC354" s="384"/>
      <c r="CD354" s="384"/>
      <c r="CE354" s="384"/>
      <c r="CF354" s="384"/>
      <c r="CG354" s="384"/>
      <c r="CH354" s="384"/>
      <c r="CI354" s="384"/>
      <c r="CJ354" s="384"/>
      <c r="CK354" s="384"/>
      <c r="CL354" s="384"/>
      <c r="CM354" s="384"/>
      <c r="CN354" s="384"/>
      <c r="CO354" s="384"/>
      <c r="CP354" s="384"/>
      <c r="CQ354" s="384"/>
      <c r="CR354" s="384"/>
      <c r="CS354" s="384"/>
      <c r="CT354" s="384"/>
      <c r="CU354" s="384"/>
      <c r="CV354" s="384"/>
    </row>
    <row r="355" spans="1:100" s="390" customFormat="1" ht="150">
      <c r="A355" s="356" t="s">
        <v>4283</v>
      </c>
      <c r="B355" s="356"/>
      <c r="C355" s="356"/>
      <c r="D355" s="356"/>
      <c r="E355" s="356" t="s">
        <v>24</v>
      </c>
      <c r="F355" s="452" t="s">
        <v>4284</v>
      </c>
      <c r="G355" s="509" t="s">
        <v>4285</v>
      </c>
      <c r="H355" s="452" t="s">
        <v>4286</v>
      </c>
      <c r="I355" s="452" t="s">
        <v>2966</v>
      </c>
      <c r="J355" s="452" t="s">
        <v>2967</v>
      </c>
      <c r="K355" s="452" t="s">
        <v>2968</v>
      </c>
      <c r="L355" s="452" t="s">
        <v>2969</v>
      </c>
      <c r="M355" s="452" t="s">
        <v>2970</v>
      </c>
      <c r="N355" s="452" t="s">
        <v>2971</v>
      </c>
      <c r="O355" s="452" t="s">
        <v>2972</v>
      </c>
      <c r="P355" s="452" t="s">
        <v>2973</v>
      </c>
      <c r="Q355" s="453" t="s">
        <v>4015</v>
      </c>
      <c r="R355" s="452" t="s">
        <v>2930</v>
      </c>
      <c r="S355" s="452" t="s">
        <v>1797</v>
      </c>
      <c r="T355" s="452" t="s">
        <v>4287</v>
      </c>
      <c r="U355" s="452" t="s">
        <v>4288</v>
      </c>
      <c r="V355" s="452" t="s">
        <v>2976</v>
      </c>
      <c r="W355" s="452" t="s">
        <v>2977</v>
      </c>
      <c r="X355" s="452" t="s">
        <v>1801</v>
      </c>
      <c r="Y355" s="452" t="s">
        <v>2857</v>
      </c>
      <c r="Z355" s="452" t="s">
        <v>2978</v>
      </c>
      <c r="AA355" s="452" t="s">
        <v>2503</v>
      </c>
      <c r="AB355" s="452" t="s">
        <v>2979</v>
      </c>
      <c r="AC355" s="442" t="s">
        <v>1803</v>
      </c>
      <c r="AD355" s="442" t="s">
        <v>2503</v>
      </c>
      <c r="AE355" s="442"/>
      <c r="AF355" s="386"/>
      <c r="AG355" s="384"/>
      <c r="AH355" s="384"/>
      <c r="AI355" s="384"/>
      <c r="AJ355" s="384"/>
      <c r="AK355" s="384"/>
      <c r="AL355" s="384"/>
      <c r="AM355" s="384"/>
      <c r="AN355" s="384"/>
      <c r="AO355" s="384"/>
      <c r="AP355" s="384"/>
      <c r="AQ355" s="384"/>
      <c r="AR355" s="384"/>
      <c r="AS355" s="384"/>
      <c r="AT355" s="384"/>
      <c r="AU355" s="384"/>
      <c r="AV355" s="384"/>
      <c r="AW355" s="384"/>
      <c r="AX355" s="384"/>
      <c r="AY355" s="384"/>
      <c r="AZ355" s="384"/>
      <c r="BA355" s="544" t="s">
        <v>4019</v>
      </c>
      <c r="BB355" s="545" t="s">
        <v>1805</v>
      </c>
      <c r="BC355" s="545" t="s">
        <v>33</v>
      </c>
      <c r="BD355" s="545" t="s">
        <v>1806</v>
      </c>
      <c r="BE355" s="356" t="s">
        <v>2564</v>
      </c>
      <c r="BF355" s="421" t="s">
        <v>2565</v>
      </c>
      <c r="BG355" s="384"/>
      <c r="BH355" s="384"/>
      <c r="BI355" s="384"/>
      <c r="BJ355" s="384"/>
      <c r="BK355" s="384"/>
      <c r="BL355" s="384"/>
      <c r="BM355" s="384"/>
      <c r="BN355" s="384"/>
      <c r="BO355" s="384"/>
      <c r="BP355" s="384"/>
      <c r="BQ355" s="384"/>
      <c r="BR355" s="384"/>
      <c r="BS355" s="384"/>
      <c r="BT355" s="384"/>
      <c r="BU355" s="384"/>
      <c r="BV355" s="384"/>
      <c r="BW355" s="384"/>
      <c r="BX355" s="384"/>
      <c r="BY355" s="384"/>
      <c r="BZ355" s="384"/>
      <c r="CA355" s="384"/>
      <c r="CB355" s="384"/>
      <c r="CC355" s="384"/>
      <c r="CD355" s="384"/>
      <c r="CE355" s="384"/>
      <c r="CF355" s="384"/>
      <c r="CG355" s="384"/>
      <c r="CH355" s="384"/>
      <c r="CI355" s="384"/>
      <c r="CJ355" s="384"/>
      <c r="CK355" s="384"/>
      <c r="CL355" s="384"/>
      <c r="CM355" s="384"/>
      <c r="CN355" s="384"/>
      <c r="CO355" s="384"/>
      <c r="CP355" s="384"/>
      <c r="CQ355" s="384"/>
      <c r="CR355" s="384"/>
      <c r="CS355" s="384"/>
      <c r="CT355" s="384"/>
      <c r="CU355" s="384"/>
      <c r="CV355" s="384"/>
    </row>
    <row r="356" spans="1:100" s="390" customFormat="1" ht="180">
      <c r="A356" s="356" t="s">
        <v>4289</v>
      </c>
      <c r="B356" s="356"/>
      <c r="C356" s="356"/>
      <c r="D356" s="356"/>
      <c r="E356" s="356" t="s">
        <v>24</v>
      </c>
      <c r="F356" s="452" t="s">
        <v>4290</v>
      </c>
      <c r="G356" s="509" t="s">
        <v>4291</v>
      </c>
      <c r="H356" s="452" t="s">
        <v>4292</v>
      </c>
      <c r="I356" s="452" t="s">
        <v>3052</v>
      </c>
      <c r="J356" s="452" t="s">
        <v>3053</v>
      </c>
      <c r="K356" s="452" t="s">
        <v>3041</v>
      </c>
      <c r="L356" s="452" t="s">
        <v>3042</v>
      </c>
      <c r="M356" s="452" t="s">
        <v>3043</v>
      </c>
      <c r="N356" s="452" t="s">
        <v>3054</v>
      </c>
      <c r="O356" s="452" t="s">
        <v>3055</v>
      </c>
      <c r="P356" s="452" t="s">
        <v>3035</v>
      </c>
      <c r="Q356" s="453" t="s">
        <v>4015</v>
      </c>
      <c r="R356" s="452" t="s">
        <v>3010</v>
      </c>
      <c r="S356" s="452" t="s">
        <v>1797</v>
      </c>
      <c r="T356" s="452" t="s">
        <v>3056</v>
      </c>
      <c r="U356" s="452" t="s">
        <v>3012</v>
      </c>
      <c r="V356" s="452" t="s">
        <v>2932</v>
      </c>
      <c r="W356" s="452" t="s">
        <v>3057</v>
      </c>
      <c r="X356" s="452" t="s">
        <v>1801</v>
      </c>
      <c r="Y356" s="452" t="s">
        <v>2857</v>
      </c>
      <c r="Z356" s="452" t="s">
        <v>3014</v>
      </c>
      <c r="AA356" s="452" t="s">
        <v>2503</v>
      </c>
      <c r="AB356" s="452" t="s">
        <v>4064</v>
      </c>
      <c r="AC356" s="442" t="s">
        <v>1803</v>
      </c>
      <c r="AD356" s="442" t="s">
        <v>2503</v>
      </c>
      <c r="AE356" s="442"/>
      <c r="AF356" s="386"/>
      <c r="AG356" s="384"/>
      <c r="AH356" s="384"/>
      <c r="AI356" s="384"/>
      <c r="AJ356" s="384"/>
      <c r="AK356" s="384"/>
      <c r="AL356" s="384"/>
      <c r="AM356" s="384"/>
      <c r="AN356" s="384"/>
      <c r="AO356" s="384"/>
      <c r="AP356" s="384"/>
      <c r="AQ356" s="384"/>
      <c r="AR356" s="384"/>
      <c r="AS356" s="384"/>
      <c r="AT356" s="384"/>
      <c r="AU356" s="384"/>
      <c r="AV356" s="384"/>
      <c r="AW356" s="384"/>
      <c r="AX356" s="384"/>
      <c r="AY356" s="384"/>
      <c r="AZ356" s="384"/>
      <c r="BA356" s="544" t="s">
        <v>4019</v>
      </c>
      <c r="BB356" s="545" t="s">
        <v>1805</v>
      </c>
      <c r="BC356" s="545" t="s">
        <v>33</v>
      </c>
      <c r="BD356" s="545" t="s">
        <v>1806</v>
      </c>
      <c r="BE356" s="356" t="s">
        <v>2564</v>
      </c>
      <c r="BF356" s="421" t="s">
        <v>2565</v>
      </c>
      <c r="BG356" s="384"/>
      <c r="BH356" s="384"/>
      <c r="BI356" s="384"/>
      <c r="BJ356" s="384"/>
      <c r="BK356" s="384"/>
      <c r="BL356" s="384"/>
      <c r="BM356" s="384"/>
      <c r="BN356" s="384"/>
      <c r="BO356" s="384"/>
      <c r="BP356" s="384"/>
      <c r="BQ356" s="384"/>
      <c r="BR356" s="384"/>
      <c r="BS356" s="384"/>
      <c r="BT356" s="384"/>
      <c r="BU356" s="384"/>
      <c r="BV356" s="384"/>
      <c r="BW356" s="384"/>
      <c r="BX356" s="384"/>
      <c r="BY356" s="384"/>
      <c r="BZ356" s="384"/>
      <c r="CA356" s="384"/>
      <c r="CB356" s="384"/>
      <c r="CC356" s="384"/>
      <c r="CD356" s="384"/>
      <c r="CE356" s="384"/>
      <c r="CF356" s="384"/>
      <c r="CG356" s="384"/>
      <c r="CH356" s="384"/>
      <c r="CI356" s="384"/>
      <c r="CJ356" s="384"/>
      <c r="CK356" s="384"/>
      <c r="CL356" s="384"/>
      <c r="CM356" s="384"/>
      <c r="CN356" s="384"/>
      <c r="CO356" s="384"/>
      <c r="CP356" s="384"/>
      <c r="CQ356" s="384"/>
      <c r="CR356" s="384"/>
      <c r="CS356" s="384"/>
      <c r="CT356" s="384"/>
      <c r="CU356" s="384"/>
      <c r="CV356" s="384"/>
    </row>
    <row r="357" spans="1:100" s="390" customFormat="1" ht="150">
      <c r="A357" s="356" t="s">
        <v>4293</v>
      </c>
      <c r="B357" s="356"/>
      <c r="C357" s="356"/>
      <c r="D357" s="356"/>
      <c r="E357" s="356" t="s">
        <v>24</v>
      </c>
      <c r="F357" s="452" t="s">
        <v>4294</v>
      </c>
      <c r="G357" s="509" t="s">
        <v>4295</v>
      </c>
      <c r="H357" s="452" t="s">
        <v>4296</v>
      </c>
      <c r="I357" s="452" t="s">
        <v>3088</v>
      </c>
      <c r="J357" s="452" t="s">
        <v>3088</v>
      </c>
      <c r="K357" s="452" t="s">
        <v>3041</v>
      </c>
      <c r="L357" s="452" t="s">
        <v>3042</v>
      </c>
      <c r="M357" s="452" t="s">
        <v>3043</v>
      </c>
      <c r="N357" s="452" t="s">
        <v>3089</v>
      </c>
      <c r="O357" s="452" t="s">
        <v>3090</v>
      </c>
      <c r="P357" s="452" t="s">
        <v>3091</v>
      </c>
      <c r="Q357" s="453" t="s">
        <v>4015</v>
      </c>
      <c r="R357" s="452" t="s">
        <v>3083</v>
      </c>
      <c r="S357" s="452" t="s">
        <v>1797</v>
      </c>
      <c r="T357" s="452" t="s">
        <v>3092</v>
      </c>
      <c r="U357" s="452" t="s">
        <v>3012</v>
      </c>
      <c r="V357" s="452" t="s">
        <v>2932</v>
      </c>
      <c r="W357" s="452" t="s">
        <v>3093</v>
      </c>
      <c r="X357" s="452" t="s">
        <v>1801</v>
      </c>
      <c r="Y357" s="452" t="s">
        <v>2857</v>
      </c>
      <c r="Z357" s="452" t="s">
        <v>2934</v>
      </c>
      <c r="AA357" s="452" t="s">
        <v>2503</v>
      </c>
      <c r="AB357" s="452" t="s">
        <v>3086</v>
      </c>
      <c r="AC357" s="442" t="s">
        <v>1803</v>
      </c>
      <c r="AD357" s="442" t="s">
        <v>2503</v>
      </c>
      <c r="AE357" s="442"/>
      <c r="AF357" s="386"/>
      <c r="AG357" s="384"/>
      <c r="AH357" s="384"/>
      <c r="AI357" s="384"/>
      <c r="AJ357" s="384"/>
      <c r="AK357" s="384"/>
      <c r="AL357" s="384"/>
      <c r="AM357" s="384"/>
      <c r="AN357" s="384"/>
      <c r="AO357" s="384"/>
      <c r="AP357" s="384"/>
      <c r="AQ357" s="384"/>
      <c r="AR357" s="384"/>
      <c r="AS357" s="384"/>
      <c r="AT357" s="384"/>
      <c r="AU357" s="384"/>
      <c r="AV357" s="384"/>
      <c r="AW357" s="384"/>
      <c r="AX357" s="384"/>
      <c r="AY357" s="384"/>
      <c r="AZ357" s="384"/>
      <c r="BA357" s="544" t="s">
        <v>4019</v>
      </c>
      <c r="BB357" s="545" t="s">
        <v>1805</v>
      </c>
      <c r="BC357" s="545" t="s">
        <v>33</v>
      </c>
      <c r="BD357" s="545" t="s">
        <v>1806</v>
      </c>
      <c r="BE357" s="356" t="s">
        <v>2564</v>
      </c>
      <c r="BF357" s="421" t="s">
        <v>2565</v>
      </c>
      <c r="BG357" s="384"/>
      <c r="BH357" s="384"/>
      <c r="BI357" s="384"/>
      <c r="BJ357" s="384"/>
      <c r="BK357" s="384"/>
      <c r="BL357" s="384"/>
      <c r="BM357" s="384"/>
      <c r="BN357" s="384"/>
      <c r="BO357" s="384"/>
      <c r="BP357" s="384"/>
      <c r="BQ357" s="384"/>
      <c r="BR357" s="384"/>
      <c r="BS357" s="384"/>
      <c r="BT357" s="384"/>
      <c r="BU357" s="384"/>
      <c r="BV357" s="384"/>
      <c r="BW357" s="384"/>
      <c r="BX357" s="384"/>
      <c r="BY357" s="384"/>
      <c r="BZ357" s="384"/>
      <c r="CA357" s="384"/>
      <c r="CB357" s="384"/>
      <c r="CC357" s="384"/>
      <c r="CD357" s="384"/>
      <c r="CE357" s="384"/>
      <c r="CF357" s="384"/>
      <c r="CG357" s="384"/>
      <c r="CH357" s="384"/>
      <c r="CI357" s="384"/>
      <c r="CJ357" s="384"/>
      <c r="CK357" s="384"/>
      <c r="CL357" s="384"/>
      <c r="CM357" s="384"/>
      <c r="CN357" s="384"/>
      <c r="CO357" s="384"/>
      <c r="CP357" s="384"/>
      <c r="CQ357" s="384"/>
      <c r="CR357" s="384"/>
      <c r="CS357" s="384"/>
      <c r="CT357" s="384"/>
      <c r="CU357" s="384"/>
      <c r="CV357" s="384"/>
    </row>
    <row r="358" spans="1:100" s="390" customFormat="1" ht="150">
      <c r="A358" s="356" t="s">
        <v>4297</v>
      </c>
      <c r="B358" s="356"/>
      <c r="C358" s="356"/>
      <c r="D358" s="356"/>
      <c r="E358" s="356" t="s">
        <v>24</v>
      </c>
      <c r="F358" s="468" t="s">
        <v>4298</v>
      </c>
      <c r="G358" s="517" t="s">
        <v>4299</v>
      </c>
      <c r="H358" s="468" t="s">
        <v>4300</v>
      </c>
      <c r="I358" s="468" t="s">
        <v>3409</v>
      </c>
      <c r="J358" s="468" t="s">
        <v>3410</v>
      </c>
      <c r="K358" s="468" t="s">
        <v>3396</v>
      </c>
      <c r="L358" s="468" t="s">
        <v>3397</v>
      </c>
      <c r="M358" s="468" t="s">
        <v>3398</v>
      </c>
      <c r="N358" s="468" t="s">
        <v>3361</v>
      </c>
      <c r="O358" s="468" t="s">
        <v>3411</v>
      </c>
      <c r="P358" s="468" t="s">
        <v>3363</v>
      </c>
      <c r="Q358" s="453" t="s">
        <v>4015</v>
      </c>
      <c r="R358" s="468" t="s">
        <v>1796</v>
      </c>
      <c r="S358" s="468" t="s">
        <v>1824</v>
      </c>
      <c r="T358" s="468" t="s">
        <v>3412</v>
      </c>
      <c r="U358" s="468" t="s">
        <v>3365</v>
      </c>
      <c r="V358" s="468" t="s">
        <v>4207</v>
      </c>
      <c r="W358" s="468" t="s">
        <v>4301</v>
      </c>
      <c r="X358" s="468" t="s">
        <v>3367</v>
      </c>
      <c r="Y358" s="468" t="s">
        <v>2857</v>
      </c>
      <c r="Z358" s="468" t="s">
        <v>3310</v>
      </c>
      <c r="AA358" s="468" t="s">
        <v>2503</v>
      </c>
      <c r="AB358" s="468" t="s">
        <v>3311</v>
      </c>
      <c r="AC358" s="442" t="s">
        <v>1803</v>
      </c>
      <c r="AD358" s="442" t="s">
        <v>1804</v>
      </c>
      <c r="AE358" s="442" t="s">
        <v>3369</v>
      </c>
      <c r="AF358" s="386"/>
      <c r="AG358" s="384"/>
      <c r="AH358" s="384"/>
      <c r="AI358" s="384"/>
      <c r="AJ358" s="384"/>
      <c r="AK358" s="384"/>
      <c r="AL358" s="384"/>
      <c r="AM358" s="384"/>
      <c r="AN358" s="384"/>
      <c r="AO358" s="384"/>
      <c r="AP358" s="384"/>
      <c r="AQ358" s="384"/>
      <c r="AR358" s="384"/>
      <c r="AS358" s="384"/>
      <c r="AT358" s="384"/>
      <c r="AU358" s="384"/>
      <c r="AV358" s="384"/>
      <c r="AW358" s="384"/>
      <c r="AX358" s="384"/>
      <c r="AY358" s="384"/>
      <c r="AZ358" s="384"/>
      <c r="BA358" s="544" t="s">
        <v>4019</v>
      </c>
      <c r="BB358" s="545" t="s">
        <v>1805</v>
      </c>
      <c r="BC358" s="545" t="s">
        <v>33</v>
      </c>
      <c r="BD358" s="545" t="s">
        <v>1806</v>
      </c>
      <c r="BE358" s="356" t="s">
        <v>2564</v>
      </c>
      <c r="BF358" s="421" t="s">
        <v>2565</v>
      </c>
      <c r="BG358" s="384"/>
      <c r="BH358" s="384"/>
      <c r="BI358" s="384"/>
      <c r="BJ358" s="384"/>
      <c r="BK358" s="384"/>
      <c r="BL358" s="384"/>
      <c r="BM358" s="384"/>
      <c r="BN358" s="384"/>
      <c r="BO358" s="384"/>
      <c r="BP358" s="384"/>
      <c r="BQ358" s="384"/>
      <c r="BR358" s="384"/>
      <c r="BS358" s="384"/>
      <c r="BT358" s="384"/>
      <c r="BU358" s="384"/>
      <c r="BV358" s="384"/>
      <c r="BW358" s="384"/>
      <c r="BX358" s="384"/>
      <c r="BY358" s="384"/>
      <c r="BZ358" s="384"/>
      <c r="CA358" s="384"/>
      <c r="CB358" s="384"/>
      <c r="CC358" s="384"/>
      <c r="CD358" s="384"/>
      <c r="CE358" s="384"/>
      <c r="CF358" s="384"/>
      <c r="CG358" s="384"/>
      <c r="CH358" s="384"/>
      <c r="CI358" s="384"/>
      <c r="CJ358" s="384"/>
      <c r="CK358" s="384"/>
      <c r="CL358" s="384"/>
      <c r="CM358" s="384"/>
      <c r="CN358" s="384"/>
      <c r="CO358" s="384"/>
      <c r="CP358" s="384"/>
      <c r="CQ358" s="384"/>
      <c r="CR358" s="384"/>
      <c r="CS358" s="384"/>
      <c r="CT358" s="384"/>
      <c r="CU358" s="384"/>
      <c r="CV358" s="384"/>
    </row>
    <row r="359" spans="1:100" s="390" customFormat="1" ht="409.5">
      <c r="A359" s="356" t="s">
        <v>4302</v>
      </c>
      <c r="B359" s="356"/>
      <c r="C359" s="356"/>
      <c r="D359" s="356"/>
      <c r="E359" s="356" t="s">
        <v>24</v>
      </c>
      <c r="F359" s="468" t="s">
        <v>4303</v>
      </c>
      <c r="G359" s="468" t="s">
        <v>4304</v>
      </c>
      <c r="H359" s="468" t="s">
        <v>4305</v>
      </c>
      <c r="I359" s="468" t="s">
        <v>3394</v>
      </c>
      <c r="J359" s="468" t="s">
        <v>3395</v>
      </c>
      <c r="K359" s="468" t="s">
        <v>3396</v>
      </c>
      <c r="L359" s="468" t="s">
        <v>3397</v>
      </c>
      <c r="M359" s="468" t="s">
        <v>3398</v>
      </c>
      <c r="N359" s="468" t="s">
        <v>3341</v>
      </c>
      <c r="O359" s="468" t="s">
        <v>3342</v>
      </c>
      <c r="P359" s="468" t="s">
        <v>3343</v>
      </c>
      <c r="Q359" s="453" t="s">
        <v>4015</v>
      </c>
      <c r="R359" s="468" t="s">
        <v>1796</v>
      </c>
      <c r="S359" s="468" t="s">
        <v>1797</v>
      </c>
      <c r="T359" s="468" t="s">
        <v>4306</v>
      </c>
      <c r="U359" s="468" t="s">
        <v>4307</v>
      </c>
      <c r="V359" s="468" t="s">
        <v>3346</v>
      </c>
      <c r="W359" s="468" t="s">
        <v>4308</v>
      </c>
      <c r="X359" s="468" t="s">
        <v>1801</v>
      </c>
      <c r="Y359" s="468" t="s">
        <v>2857</v>
      </c>
      <c r="Z359" s="468" t="s">
        <v>3287</v>
      </c>
      <c r="AA359" s="468" t="s">
        <v>2503</v>
      </c>
      <c r="AB359" s="468" t="s">
        <v>3288</v>
      </c>
      <c r="AC359" s="442" t="s">
        <v>1803</v>
      </c>
      <c r="AD359" s="442" t="s">
        <v>1804</v>
      </c>
      <c r="AE359" s="442" t="s">
        <v>3348</v>
      </c>
      <c r="AF359" s="386"/>
      <c r="AG359" s="384"/>
      <c r="AH359" s="384"/>
      <c r="AI359" s="384"/>
      <c r="AJ359" s="384"/>
      <c r="AK359" s="384"/>
      <c r="AL359" s="384"/>
      <c r="AM359" s="384"/>
      <c r="AN359" s="384"/>
      <c r="AO359" s="384"/>
      <c r="AP359" s="384"/>
      <c r="AQ359" s="384"/>
      <c r="AR359" s="384"/>
      <c r="AS359" s="384"/>
      <c r="AT359" s="384"/>
      <c r="AU359" s="384"/>
      <c r="AV359" s="384"/>
      <c r="AW359" s="384"/>
      <c r="AX359" s="384"/>
      <c r="AY359" s="384"/>
      <c r="AZ359" s="384"/>
      <c r="BA359" s="544" t="s">
        <v>4019</v>
      </c>
      <c r="BB359" s="545" t="s">
        <v>1805</v>
      </c>
      <c r="BC359" s="545" t="s">
        <v>33</v>
      </c>
      <c r="BD359" s="545" t="s">
        <v>1806</v>
      </c>
      <c r="BE359" s="356" t="s">
        <v>2564</v>
      </c>
      <c r="BF359" s="421" t="s">
        <v>2565</v>
      </c>
      <c r="BG359" s="384"/>
      <c r="BH359" s="384"/>
      <c r="BI359" s="384"/>
      <c r="BJ359" s="384"/>
      <c r="BK359" s="384"/>
      <c r="BL359" s="384"/>
      <c r="BM359" s="384"/>
      <c r="BN359" s="384"/>
      <c r="BO359" s="384"/>
      <c r="BP359" s="384"/>
      <c r="BQ359" s="384"/>
      <c r="BR359" s="384"/>
      <c r="BS359" s="384"/>
      <c r="BT359" s="384"/>
      <c r="BU359" s="384"/>
      <c r="BV359" s="384"/>
      <c r="BW359" s="384"/>
      <c r="BX359" s="384"/>
      <c r="BY359" s="384"/>
      <c r="BZ359" s="384"/>
      <c r="CA359" s="384"/>
      <c r="CB359" s="384"/>
      <c r="CC359" s="384"/>
      <c r="CD359" s="384"/>
      <c r="CE359" s="384"/>
      <c r="CF359" s="384"/>
      <c r="CG359" s="384"/>
      <c r="CH359" s="384"/>
      <c r="CI359" s="384"/>
      <c r="CJ359" s="384"/>
      <c r="CK359" s="384"/>
      <c r="CL359" s="384"/>
      <c r="CM359" s="384"/>
      <c r="CN359" s="384"/>
      <c r="CO359" s="384"/>
      <c r="CP359" s="384"/>
      <c r="CQ359" s="384"/>
      <c r="CR359" s="384"/>
      <c r="CS359" s="384"/>
      <c r="CT359" s="384"/>
      <c r="CU359" s="384"/>
      <c r="CV359" s="384"/>
    </row>
    <row r="360" spans="1:100" s="390" customFormat="1" ht="150">
      <c r="A360" s="356" t="s">
        <v>4309</v>
      </c>
      <c r="B360" s="356"/>
      <c r="C360" s="356"/>
      <c r="D360" s="356"/>
      <c r="E360" s="356" t="s">
        <v>24</v>
      </c>
      <c r="F360" s="468" t="s">
        <v>4310</v>
      </c>
      <c r="G360" s="517" t="s">
        <v>4311</v>
      </c>
      <c r="H360" s="468" t="s">
        <v>4312</v>
      </c>
      <c r="I360" s="468" t="s">
        <v>3359</v>
      </c>
      <c r="J360" s="468" t="s">
        <v>3360</v>
      </c>
      <c r="K360" s="468" t="s">
        <v>3338</v>
      </c>
      <c r="L360" s="468" t="s">
        <v>3339</v>
      </c>
      <c r="M360" s="468" t="s">
        <v>3340</v>
      </c>
      <c r="N360" s="468" t="s">
        <v>3361</v>
      </c>
      <c r="O360" s="468" t="s">
        <v>3362</v>
      </c>
      <c r="P360" s="468" t="s">
        <v>3363</v>
      </c>
      <c r="Q360" s="453" t="s">
        <v>4015</v>
      </c>
      <c r="R360" s="468" t="s">
        <v>1796</v>
      </c>
      <c r="S360" s="468" t="s">
        <v>1824</v>
      </c>
      <c r="T360" s="468" t="s">
        <v>3364</v>
      </c>
      <c r="U360" s="468" t="s">
        <v>3365</v>
      </c>
      <c r="V360" s="468" t="s">
        <v>4207</v>
      </c>
      <c r="W360" s="468" t="s">
        <v>4313</v>
      </c>
      <c r="X360" s="468" t="s">
        <v>3367</v>
      </c>
      <c r="Y360" s="468" t="s">
        <v>2857</v>
      </c>
      <c r="Z360" s="468" t="s">
        <v>3310</v>
      </c>
      <c r="AA360" s="468" t="s">
        <v>2503</v>
      </c>
      <c r="AB360" s="468" t="s">
        <v>3311</v>
      </c>
      <c r="AC360" s="442" t="s">
        <v>1803</v>
      </c>
      <c r="AD360" s="442" t="s">
        <v>1804</v>
      </c>
      <c r="AE360" s="442" t="s">
        <v>3369</v>
      </c>
      <c r="AF360" s="386"/>
      <c r="AG360" s="384"/>
      <c r="AH360" s="384"/>
      <c r="AI360" s="384"/>
      <c r="AJ360" s="384"/>
      <c r="AK360" s="384"/>
      <c r="AL360" s="384"/>
      <c r="AM360" s="384"/>
      <c r="AN360" s="384"/>
      <c r="AO360" s="384"/>
      <c r="AP360" s="384"/>
      <c r="AQ360" s="384"/>
      <c r="AR360" s="384"/>
      <c r="AS360" s="384"/>
      <c r="AT360" s="384"/>
      <c r="AU360" s="384"/>
      <c r="AV360" s="384"/>
      <c r="AW360" s="384"/>
      <c r="AX360" s="384"/>
      <c r="AY360" s="384"/>
      <c r="AZ360" s="384"/>
      <c r="BA360" s="544" t="s">
        <v>4019</v>
      </c>
      <c r="BB360" s="545" t="s">
        <v>1805</v>
      </c>
      <c r="BC360" s="545" t="s">
        <v>33</v>
      </c>
      <c r="BD360" s="545" t="s">
        <v>1806</v>
      </c>
      <c r="BE360" s="356" t="s">
        <v>2564</v>
      </c>
      <c r="BF360" s="421" t="s">
        <v>2565</v>
      </c>
      <c r="BG360" s="384"/>
      <c r="BH360" s="384"/>
      <c r="BI360" s="384"/>
      <c r="BJ360" s="384"/>
      <c r="BK360" s="384"/>
      <c r="BL360" s="384"/>
      <c r="BM360" s="384"/>
      <c r="BN360" s="384"/>
      <c r="BO360" s="384"/>
      <c r="BP360" s="384"/>
      <c r="BQ360" s="384"/>
      <c r="BR360" s="384"/>
      <c r="BS360" s="384"/>
      <c r="BT360" s="384"/>
      <c r="BU360" s="384"/>
      <c r="BV360" s="384"/>
      <c r="BW360" s="384"/>
      <c r="BX360" s="384"/>
      <c r="BY360" s="384"/>
      <c r="BZ360" s="384"/>
      <c r="CA360" s="384"/>
      <c r="CB360" s="384"/>
      <c r="CC360" s="384"/>
      <c r="CD360" s="384"/>
      <c r="CE360" s="384"/>
      <c r="CF360" s="384"/>
      <c r="CG360" s="384"/>
      <c r="CH360" s="384"/>
      <c r="CI360" s="384"/>
      <c r="CJ360" s="384"/>
      <c r="CK360" s="384"/>
      <c r="CL360" s="384"/>
      <c r="CM360" s="384"/>
      <c r="CN360" s="384"/>
      <c r="CO360" s="384"/>
      <c r="CP360" s="384"/>
      <c r="CQ360" s="384"/>
      <c r="CR360" s="384"/>
      <c r="CS360" s="384"/>
      <c r="CT360" s="384"/>
      <c r="CU360" s="384"/>
      <c r="CV360" s="384"/>
    </row>
    <row r="361" spans="1:100" s="390" customFormat="1" ht="409.5">
      <c r="A361" s="356" t="s">
        <v>4314</v>
      </c>
      <c r="B361" s="356"/>
      <c r="C361" s="356"/>
      <c r="D361" s="356"/>
      <c r="E361" s="356" t="s">
        <v>24</v>
      </c>
      <c r="F361" s="468" t="s">
        <v>4315</v>
      </c>
      <c r="G361" s="517" t="s">
        <v>4316</v>
      </c>
      <c r="H361" s="468" t="s">
        <v>4317</v>
      </c>
      <c r="I361" s="468" t="s">
        <v>3336</v>
      </c>
      <c r="J361" s="514" t="s">
        <v>4318</v>
      </c>
      <c r="K361" s="468" t="s">
        <v>3338</v>
      </c>
      <c r="L361" s="468" t="s">
        <v>3339</v>
      </c>
      <c r="M361" s="468" t="s">
        <v>3340</v>
      </c>
      <c r="N361" s="468" t="s">
        <v>3341</v>
      </c>
      <c r="O361" s="468" t="s">
        <v>3342</v>
      </c>
      <c r="P361" s="468" t="s">
        <v>3343</v>
      </c>
      <c r="Q361" s="453" t="s">
        <v>4015</v>
      </c>
      <c r="R361" s="468" t="s">
        <v>1796</v>
      </c>
      <c r="S361" s="468" t="s">
        <v>1797</v>
      </c>
      <c r="T361" s="468" t="s">
        <v>4319</v>
      </c>
      <c r="U361" s="468" t="s">
        <v>4320</v>
      </c>
      <c r="V361" s="468" t="s">
        <v>3346</v>
      </c>
      <c r="W361" s="468" t="s">
        <v>4321</v>
      </c>
      <c r="X361" s="468" t="s">
        <v>1801</v>
      </c>
      <c r="Y361" s="468" t="s">
        <v>2857</v>
      </c>
      <c r="Z361" s="468" t="s">
        <v>3287</v>
      </c>
      <c r="AA361" s="468" t="s">
        <v>2503</v>
      </c>
      <c r="AB361" s="468" t="s">
        <v>3288</v>
      </c>
      <c r="AC361" s="442" t="s">
        <v>1803</v>
      </c>
      <c r="AD361" s="442" t="s">
        <v>1804</v>
      </c>
      <c r="AE361" s="442" t="s">
        <v>3348</v>
      </c>
      <c r="AF361" s="386"/>
      <c r="AG361" s="384"/>
      <c r="AH361" s="384"/>
      <c r="AI361" s="384"/>
      <c r="AJ361" s="384"/>
      <c r="AK361" s="384"/>
      <c r="AL361" s="384"/>
      <c r="AM361" s="384"/>
      <c r="AN361" s="384"/>
      <c r="AO361" s="384"/>
      <c r="AP361" s="384"/>
      <c r="AQ361" s="384"/>
      <c r="AR361" s="384"/>
      <c r="AS361" s="384"/>
      <c r="AT361" s="384"/>
      <c r="AU361" s="384"/>
      <c r="AV361" s="384"/>
      <c r="AW361" s="384"/>
      <c r="AX361" s="384"/>
      <c r="AY361" s="384"/>
      <c r="AZ361" s="384"/>
      <c r="BA361" s="544" t="s">
        <v>4019</v>
      </c>
      <c r="BB361" s="545" t="s">
        <v>1805</v>
      </c>
      <c r="BC361" s="545" t="s">
        <v>33</v>
      </c>
      <c r="BD361" s="545" t="s">
        <v>1806</v>
      </c>
      <c r="BE361" s="356" t="s">
        <v>2564</v>
      </c>
      <c r="BF361" s="421" t="s">
        <v>2565</v>
      </c>
      <c r="BG361" s="384"/>
      <c r="BH361" s="384"/>
      <c r="BI361" s="384"/>
      <c r="BJ361" s="384"/>
      <c r="BK361" s="384"/>
      <c r="BL361" s="384"/>
      <c r="BM361" s="384"/>
      <c r="BN361" s="384"/>
      <c r="BO361" s="384"/>
      <c r="BP361" s="384"/>
      <c r="BQ361" s="384"/>
      <c r="BR361" s="384"/>
      <c r="BS361" s="384"/>
      <c r="BT361" s="384"/>
      <c r="BU361" s="384"/>
      <c r="BV361" s="384"/>
      <c r="BW361" s="384"/>
      <c r="BX361" s="384"/>
      <c r="BY361" s="384"/>
      <c r="BZ361" s="384"/>
      <c r="CA361" s="384"/>
      <c r="CB361" s="384"/>
      <c r="CC361" s="384"/>
      <c r="CD361" s="384"/>
      <c r="CE361" s="384"/>
      <c r="CF361" s="384"/>
      <c r="CG361" s="384"/>
      <c r="CH361" s="384"/>
      <c r="CI361" s="384"/>
      <c r="CJ361" s="384"/>
      <c r="CK361" s="384"/>
      <c r="CL361" s="384"/>
      <c r="CM361" s="384"/>
      <c r="CN361" s="384"/>
      <c r="CO361" s="384"/>
      <c r="CP361" s="384"/>
      <c r="CQ361" s="384"/>
      <c r="CR361" s="384"/>
      <c r="CS361" s="384"/>
      <c r="CT361" s="384"/>
      <c r="CU361" s="384"/>
      <c r="CV361" s="384"/>
    </row>
    <row r="362" spans="1:100" ht="300">
      <c r="A362" s="356" t="s">
        <v>4322</v>
      </c>
      <c r="B362" s="443"/>
      <c r="C362" s="443"/>
      <c r="D362" s="443"/>
      <c r="E362" s="356" t="s">
        <v>24</v>
      </c>
      <c r="F362" s="443" t="s">
        <v>4323</v>
      </c>
      <c r="G362" s="443" t="s">
        <v>4324</v>
      </c>
      <c r="H362" s="443" t="s">
        <v>4325</v>
      </c>
      <c r="I362" s="514" t="s">
        <v>4326</v>
      </c>
      <c r="J362" s="514" t="s">
        <v>4327</v>
      </c>
      <c r="K362" s="468" t="s">
        <v>3396</v>
      </c>
      <c r="L362" s="468" t="s">
        <v>3397</v>
      </c>
      <c r="M362" s="468" t="s">
        <v>3398</v>
      </c>
      <c r="N362" s="468" t="s">
        <v>3373</v>
      </c>
      <c r="O362" s="468" t="s">
        <v>3374</v>
      </c>
      <c r="P362" s="468" t="s">
        <v>3375</v>
      </c>
      <c r="Q362" s="453" t="s">
        <v>4015</v>
      </c>
      <c r="R362" s="468" t="s">
        <v>1796</v>
      </c>
      <c r="S362" s="468" t="s">
        <v>1797</v>
      </c>
      <c r="T362" s="468" t="s">
        <v>4328</v>
      </c>
      <c r="U362" s="468" t="s">
        <v>4329</v>
      </c>
      <c r="V362" s="468" t="s">
        <v>3346</v>
      </c>
      <c r="W362" s="468" t="s">
        <v>4330</v>
      </c>
      <c r="X362" s="468" t="s">
        <v>1801</v>
      </c>
      <c r="Y362" s="468" t="s">
        <v>2857</v>
      </c>
      <c r="Z362" s="468" t="s">
        <v>3321</v>
      </c>
      <c r="AA362" s="468" t="s">
        <v>2503</v>
      </c>
      <c r="AB362" s="468" t="s">
        <v>3288</v>
      </c>
      <c r="AC362" s="442" t="s">
        <v>1803</v>
      </c>
      <c r="AD362" s="442" t="s">
        <v>1804</v>
      </c>
      <c r="AE362" s="442" t="s">
        <v>3379</v>
      </c>
      <c r="AF362" s="386"/>
      <c r="BA362" s="549" t="s">
        <v>4019</v>
      </c>
      <c r="BB362" s="550" t="s">
        <v>1805</v>
      </c>
      <c r="BC362" s="550" t="s">
        <v>33</v>
      </c>
      <c r="BD362" s="550" t="s">
        <v>1806</v>
      </c>
      <c r="BE362" s="549" t="s">
        <v>2564</v>
      </c>
      <c r="BF362" s="421" t="s">
        <v>2565</v>
      </c>
    </row>
    <row r="363" spans="1:100" ht="300">
      <c r="A363" s="356" t="s">
        <v>4331</v>
      </c>
      <c r="B363" s="443"/>
      <c r="C363" s="443"/>
      <c r="D363" s="443"/>
      <c r="E363" s="356" t="s">
        <v>24</v>
      </c>
      <c r="F363" s="443" t="s">
        <v>4332</v>
      </c>
      <c r="G363" s="443" t="s">
        <v>4333</v>
      </c>
      <c r="H363" s="443" t="s">
        <v>4334</v>
      </c>
      <c r="I363" s="514" t="s">
        <v>4335</v>
      </c>
      <c r="J363" s="514" t="s">
        <v>4336</v>
      </c>
      <c r="K363" s="468" t="s">
        <v>3338</v>
      </c>
      <c r="L363" s="468" t="s">
        <v>3339</v>
      </c>
      <c r="M363" s="468" t="s">
        <v>3340</v>
      </c>
      <c r="N363" s="468" t="s">
        <v>3373</v>
      </c>
      <c r="O363" s="468" t="s">
        <v>3374</v>
      </c>
      <c r="P363" s="468" t="s">
        <v>3375</v>
      </c>
      <c r="Q363" s="453" t="s">
        <v>4015</v>
      </c>
      <c r="R363" s="468" t="s">
        <v>1796</v>
      </c>
      <c r="S363" s="468" t="s">
        <v>1797</v>
      </c>
      <c r="T363" s="468" t="s">
        <v>4337</v>
      </c>
      <c r="U363" s="468" t="s">
        <v>4338</v>
      </c>
      <c r="V363" s="468" t="s">
        <v>3346</v>
      </c>
      <c r="W363" s="468" t="s">
        <v>4339</v>
      </c>
      <c r="X363" s="468" t="s">
        <v>1801</v>
      </c>
      <c r="Y363" s="468" t="s">
        <v>2857</v>
      </c>
      <c r="Z363" s="468" t="s">
        <v>3321</v>
      </c>
      <c r="AA363" s="468" t="s">
        <v>2503</v>
      </c>
      <c r="AB363" s="468" t="s">
        <v>3288</v>
      </c>
      <c r="AC363" s="442" t="s">
        <v>1803</v>
      </c>
      <c r="AD363" s="442" t="s">
        <v>1804</v>
      </c>
      <c r="AE363" s="442" t="s">
        <v>3379</v>
      </c>
      <c r="AF363" s="386"/>
      <c r="BA363" s="356" t="s">
        <v>4019</v>
      </c>
      <c r="BB363" s="545" t="s">
        <v>1805</v>
      </c>
      <c r="BC363" s="545" t="s">
        <v>33</v>
      </c>
      <c r="BD363" s="545" t="s">
        <v>1806</v>
      </c>
      <c r="BE363" s="356" t="s">
        <v>2564</v>
      </c>
      <c r="BF363" s="421" t="s">
        <v>2565</v>
      </c>
    </row>
    <row r="364" spans="1:100" ht="225">
      <c r="A364" s="356" t="s">
        <v>4340</v>
      </c>
      <c r="B364" s="443"/>
      <c r="C364" s="443"/>
      <c r="D364" s="443"/>
      <c r="E364" s="471" t="s">
        <v>148</v>
      </c>
      <c r="F364" s="443" t="s">
        <v>4341</v>
      </c>
      <c r="G364" s="443" t="s">
        <v>4342</v>
      </c>
      <c r="H364" s="443" t="s">
        <v>4343</v>
      </c>
      <c r="I364" s="473" t="s">
        <v>4344</v>
      </c>
      <c r="J364" s="473" t="s">
        <v>3579</v>
      </c>
      <c r="K364" s="475" t="s">
        <v>3396</v>
      </c>
      <c r="L364" s="475" t="s">
        <v>3580</v>
      </c>
      <c r="M364" s="476" t="s">
        <v>3581</v>
      </c>
      <c r="N364" s="472" t="s">
        <v>3560</v>
      </c>
      <c r="O364" s="472" t="s">
        <v>3316</v>
      </c>
      <c r="P364" s="472" t="s">
        <v>3325</v>
      </c>
      <c r="Q364" s="453" t="s">
        <v>4015</v>
      </c>
      <c r="R364" s="472" t="s">
        <v>1796</v>
      </c>
      <c r="S364" s="472" t="s">
        <v>1797</v>
      </c>
      <c r="T364" s="472" t="s">
        <v>3582</v>
      </c>
      <c r="U364" s="472" t="s">
        <v>3573</v>
      </c>
      <c r="V364" s="472" t="s">
        <v>3346</v>
      </c>
      <c r="W364" s="472" t="s">
        <v>4345</v>
      </c>
      <c r="X364" s="472" t="s">
        <v>1801</v>
      </c>
      <c r="Y364" s="472" t="s">
        <v>2857</v>
      </c>
      <c r="Z364" s="472" t="s">
        <v>3328</v>
      </c>
      <c r="AA364" s="472" t="s">
        <v>2503</v>
      </c>
      <c r="AB364" s="472" t="s">
        <v>3288</v>
      </c>
      <c r="AC364" s="472" t="s">
        <v>1803</v>
      </c>
      <c r="AD364" s="472" t="s">
        <v>1804</v>
      </c>
      <c r="AE364" s="442"/>
      <c r="AF364" s="386"/>
      <c r="BA364" s="356" t="s">
        <v>4019</v>
      </c>
      <c r="BB364" s="545" t="s">
        <v>1805</v>
      </c>
      <c r="BC364" s="545" t="s">
        <v>33</v>
      </c>
      <c r="BD364" s="545" t="s">
        <v>1806</v>
      </c>
      <c r="BE364" s="356" t="s">
        <v>2564</v>
      </c>
      <c r="BF364" s="421" t="s">
        <v>2565</v>
      </c>
    </row>
    <row r="365" spans="1:100" ht="150">
      <c r="A365" s="356" t="s">
        <v>4346</v>
      </c>
      <c r="B365" s="443"/>
      <c r="C365" s="443"/>
      <c r="D365" s="443"/>
      <c r="E365" s="471" t="s">
        <v>24</v>
      </c>
      <c r="F365" s="443" t="s">
        <v>1691</v>
      </c>
      <c r="G365" s="443" t="s">
        <v>1692</v>
      </c>
      <c r="H365" s="443" t="s">
        <v>1693</v>
      </c>
      <c r="I365" s="473" t="s">
        <v>4347</v>
      </c>
      <c r="J365" s="473" t="s">
        <v>3571</v>
      </c>
      <c r="K365" s="475" t="s">
        <v>3557</v>
      </c>
      <c r="L365" s="475" t="s">
        <v>3558</v>
      </c>
      <c r="M365" s="476" t="s">
        <v>3559</v>
      </c>
      <c r="N365" s="472" t="s">
        <v>3560</v>
      </c>
      <c r="O365" s="472" t="s">
        <v>3316</v>
      </c>
      <c r="P365" s="472" t="s">
        <v>3325</v>
      </c>
      <c r="Q365" s="453" t="s">
        <v>4015</v>
      </c>
      <c r="R365" s="472" t="s">
        <v>1796</v>
      </c>
      <c r="S365" s="472" t="s">
        <v>1797</v>
      </c>
      <c r="T365" s="472" t="s">
        <v>3572</v>
      </c>
      <c r="U365" s="472" t="s">
        <v>3573</v>
      </c>
      <c r="V365" s="472" t="s">
        <v>3346</v>
      </c>
      <c r="W365" s="472" t="s">
        <v>4348</v>
      </c>
      <c r="X365" s="472" t="s">
        <v>1801</v>
      </c>
      <c r="Y365" s="472" t="s">
        <v>2857</v>
      </c>
      <c r="Z365" s="472" t="s">
        <v>2503</v>
      </c>
      <c r="AA365" s="472" t="s">
        <v>2503</v>
      </c>
      <c r="AB365" s="472" t="s">
        <v>3288</v>
      </c>
      <c r="AC365" s="472" t="s">
        <v>1803</v>
      </c>
      <c r="AD365" s="472" t="s">
        <v>1804</v>
      </c>
      <c r="AE365" s="442"/>
      <c r="AF365" s="386"/>
      <c r="BA365" s="356" t="s">
        <v>4019</v>
      </c>
      <c r="BB365" s="545" t="s">
        <v>1805</v>
      </c>
      <c r="BC365" s="545" t="s">
        <v>33</v>
      </c>
      <c r="BD365" s="545" t="s">
        <v>1806</v>
      </c>
      <c r="BE365" s="356" t="s">
        <v>2564</v>
      </c>
      <c r="BF365" s="421" t="s">
        <v>2565</v>
      </c>
    </row>
    <row r="366" spans="1:100" ht="225">
      <c r="A366" s="356" t="s">
        <v>4349</v>
      </c>
      <c r="B366" s="386"/>
      <c r="C366" s="386"/>
      <c r="D366" s="386"/>
      <c r="E366" s="494" t="s">
        <v>24</v>
      </c>
      <c r="F366" s="495" t="s">
        <v>4350</v>
      </c>
      <c r="G366" s="518" t="s">
        <v>4351</v>
      </c>
      <c r="H366" s="495" t="s">
        <v>4352</v>
      </c>
      <c r="I366" s="501" t="s">
        <v>4353</v>
      </c>
      <c r="J366" s="501" t="s">
        <v>3900</v>
      </c>
      <c r="K366" s="503" t="s">
        <v>3396</v>
      </c>
      <c r="L366" s="503" t="s">
        <v>3868</v>
      </c>
      <c r="M366" s="496" t="s">
        <v>3869</v>
      </c>
      <c r="N366" s="495" t="s">
        <v>3887</v>
      </c>
      <c r="O366" s="495" t="s">
        <v>3888</v>
      </c>
      <c r="P366" s="495" t="s">
        <v>3889</v>
      </c>
      <c r="Q366" s="453" t="s">
        <v>4015</v>
      </c>
      <c r="R366" s="495" t="s">
        <v>1796</v>
      </c>
      <c r="S366" s="495" t="s">
        <v>1797</v>
      </c>
      <c r="T366" s="495" t="s">
        <v>3901</v>
      </c>
      <c r="U366" s="495" t="s">
        <v>3896</v>
      </c>
      <c r="V366" s="495" t="s">
        <v>3346</v>
      </c>
      <c r="W366" s="495" t="s">
        <v>4354</v>
      </c>
      <c r="X366" s="495" t="s">
        <v>1801</v>
      </c>
      <c r="Y366" s="495" t="s">
        <v>2857</v>
      </c>
      <c r="Z366" s="495" t="s">
        <v>3328</v>
      </c>
      <c r="AA366" s="495" t="s">
        <v>2503</v>
      </c>
      <c r="AB366" s="495" t="s">
        <v>3840</v>
      </c>
      <c r="AC366" s="495" t="s">
        <v>1803</v>
      </c>
      <c r="AD366" s="495" t="s">
        <v>1804</v>
      </c>
      <c r="AE366" s="442"/>
      <c r="AF366" s="386"/>
      <c r="BA366" s="544" t="s">
        <v>4019</v>
      </c>
      <c r="BB366" s="545" t="s">
        <v>1805</v>
      </c>
      <c r="BC366" s="545" t="s">
        <v>33</v>
      </c>
      <c r="BD366" s="545" t="s">
        <v>1806</v>
      </c>
      <c r="BE366" s="356" t="s">
        <v>2564</v>
      </c>
      <c r="BF366" s="421" t="s">
        <v>2565</v>
      </c>
    </row>
    <row r="367" spans="1:100" ht="225">
      <c r="A367" s="356" t="s">
        <v>4355</v>
      </c>
      <c r="B367" s="386"/>
      <c r="C367" s="386"/>
      <c r="D367" s="386"/>
      <c r="E367" s="494" t="s">
        <v>148</v>
      </c>
      <c r="F367" s="512" t="s">
        <v>1697</v>
      </c>
      <c r="G367" s="512" t="s">
        <v>1698</v>
      </c>
      <c r="H367" s="443" t="s">
        <v>1699</v>
      </c>
      <c r="I367" s="501" t="s">
        <v>4356</v>
      </c>
      <c r="J367" s="501" t="s">
        <v>3894</v>
      </c>
      <c r="K367" s="503" t="s">
        <v>3338</v>
      </c>
      <c r="L367" s="503" t="s">
        <v>3339</v>
      </c>
      <c r="M367" s="496" t="s">
        <v>3861</v>
      </c>
      <c r="N367" s="495" t="s">
        <v>3887</v>
      </c>
      <c r="O367" s="495" t="s">
        <v>3888</v>
      </c>
      <c r="P367" s="495" t="s">
        <v>3889</v>
      </c>
      <c r="Q367" s="453" t="s">
        <v>4015</v>
      </c>
      <c r="R367" s="495" t="s">
        <v>1796</v>
      </c>
      <c r="S367" s="495" t="s">
        <v>1797</v>
      </c>
      <c r="T367" s="495" t="s">
        <v>3895</v>
      </c>
      <c r="U367" s="495" t="s">
        <v>3896</v>
      </c>
      <c r="V367" s="495" t="s">
        <v>3346</v>
      </c>
      <c r="W367" s="495" t="s">
        <v>4357</v>
      </c>
      <c r="X367" s="495" t="s">
        <v>1801</v>
      </c>
      <c r="Y367" s="495" t="s">
        <v>2857</v>
      </c>
      <c r="Z367" s="495" t="s">
        <v>3328</v>
      </c>
      <c r="AA367" s="495" t="s">
        <v>2503</v>
      </c>
      <c r="AB367" s="495" t="s">
        <v>3840</v>
      </c>
      <c r="AC367" s="495" t="s">
        <v>1803</v>
      </c>
      <c r="AD367" s="495" t="s">
        <v>1804</v>
      </c>
      <c r="AE367" s="442"/>
      <c r="AF367" s="386"/>
      <c r="BA367" s="356" t="s">
        <v>4019</v>
      </c>
      <c r="BB367" s="545" t="s">
        <v>1805</v>
      </c>
      <c r="BC367" s="545" t="s">
        <v>33</v>
      </c>
      <c r="BD367" s="545" t="s">
        <v>1806</v>
      </c>
      <c r="BE367" s="356" t="s">
        <v>2564</v>
      </c>
      <c r="BF367" s="421" t="s">
        <v>2565</v>
      </c>
    </row>
    <row r="368" spans="1:100" ht="150">
      <c r="A368" s="356" t="s">
        <v>4358</v>
      </c>
      <c r="B368" s="443"/>
      <c r="C368" s="443"/>
      <c r="D368" s="443"/>
      <c r="E368" s="356" t="s">
        <v>148</v>
      </c>
      <c r="F368" s="443" t="s">
        <v>4359</v>
      </c>
      <c r="G368" s="443" t="s">
        <v>4360</v>
      </c>
      <c r="H368" s="443" t="s">
        <v>4361</v>
      </c>
      <c r="I368" s="519" t="s">
        <v>4362</v>
      </c>
      <c r="J368" s="519" t="s">
        <v>4363</v>
      </c>
      <c r="K368" s="452" t="s">
        <v>2847</v>
      </c>
      <c r="L368" s="452" t="s">
        <v>2848</v>
      </c>
      <c r="M368" s="452" t="s">
        <v>2849</v>
      </c>
      <c r="N368" s="465" t="s">
        <v>2850</v>
      </c>
      <c r="O368" s="452" t="s">
        <v>2863</v>
      </c>
      <c r="P368" s="452" t="s">
        <v>2852</v>
      </c>
      <c r="Q368" s="453" t="s">
        <v>4015</v>
      </c>
      <c r="R368" s="452" t="s">
        <v>1796</v>
      </c>
      <c r="S368" s="452" t="s">
        <v>1797</v>
      </c>
      <c r="T368" s="450" t="s">
        <v>4364</v>
      </c>
      <c r="U368" s="452" t="s">
        <v>2854</v>
      </c>
      <c r="V368" s="450" t="s">
        <v>4365</v>
      </c>
      <c r="W368" s="450" t="s">
        <v>4366</v>
      </c>
      <c r="X368" s="452" t="s">
        <v>1801</v>
      </c>
      <c r="Y368" s="452" t="s">
        <v>2857</v>
      </c>
      <c r="Z368" s="452" t="s">
        <v>2858</v>
      </c>
      <c r="AA368" s="452" t="s">
        <v>2503</v>
      </c>
      <c r="AB368" s="452" t="s">
        <v>2859</v>
      </c>
      <c r="AC368" s="442" t="s">
        <v>1803</v>
      </c>
      <c r="AD368" s="442" t="s">
        <v>2503</v>
      </c>
      <c r="AE368" s="442"/>
      <c r="AF368" s="386"/>
      <c r="BA368" s="356" t="s">
        <v>4019</v>
      </c>
      <c r="BB368" s="545" t="s">
        <v>1805</v>
      </c>
      <c r="BC368" s="545" t="s">
        <v>33</v>
      </c>
      <c r="BD368" s="545" t="s">
        <v>1806</v>
      </c>
      <c r="BE368" s="356" t="s">
        <v>2564</v>
      </c>
      <c r="BF368" s="421" t="s">
        <v>2565</v>
      </c>
    </row>
    <row r="369" spans="1:100" ht="150">
      <c r="A369" s="356" t="s">
        <v>4367</v>
      </c>
      <c r="B369" s="443"/>
      <c r="C369" s="443"/>
      <c r="D369" s="443"/>
      <c r="E369" s="356" t="s">
        <v>24</v>
      </c>
      <c r="F369" s="443" t="s">
        <v>1703</v>
      </c>
      <c r="G369" s="443" t="s">
        <v>1704</v>
      </c>
      <c r="H369" s="443" t="s">
        <v>1705</v>
      </c>
      <c r="I369" s="519" t="s">
        <v>4368</v>
      </c>
      <c r="J369" s="519" t="s">
        <v>4369</v>
      </c>
      <c r="K369" s="452" t="s">
        <v>2847</v>
      </c>
      <c r="L369" s="452" t="s">
        <v>2848</v>
      </c>
      <c r="M369" s="452" t="s">
        <v>2849</v>
      </c>
      <c r="N369" s="465" t="s">
        <v>2850</v>
      </c>
      <c r="O369" s="452" t="s">
        <v>2851</v>
      </c>
      <c r="P369" s="452" t="s">
        <v>2852</v>
      </c>
      <c r="Q369" s="453" t="s">
        <v>4015</v>
      </c>
      <c r="R369" s="452" t="s">
        <v>1796</v>
      </c>
      <c r="S369" s="452" t="s">
        <v>1797</v>
      </c>
      <c r="T369" s="450" t="s">
        <v>4370</v>
      </c>
      <c r="U369" s="452" t="s">
        <v>2854</v>
      </c>
      <c r="V369" s="450" t="s">
        <v>4371</v>
      </c>
      <c r="W369" s="450" t="s">
        <v>4372</v>
      </c>
      <c r="X369" s="452" t="s">
        <v>1801</v>
      </c>
      <c r="Y369" s="452" t="s">
        <v>2857</v>
      </c>
      <c r="Z369" s="452" t="s">
        <v>2858</v>
      </c>
      <c r="AA369" s="452" t="s">
        <v>2503</v>
      </c>
      <c r="AB369" s="452" t="s">
        <v>2859</v>
      </c>
      <c r="AC369" s="442" t="s">
        <v>1803</v>
      </c>
      <c r="AD369" s="442" t="s">
        <v>2503</v>
      </c>
      <c r="AE369" s="442"/>
      <c r="AF369" s="386"/>
      <c r="BA369" s="356" t="s">
        <v>4019</v>
      </c>
      <c r="BB369" s="545" t="s">
        <v>1805</v>
      </c>
      <c r="BC369" s="545" t="s">
        <v>33</v>
      </c>
      <c r="BD369" s="545" t="s">
        <v>1806</v>
      </c>
      <c r="BE369" s="356" t="s">
        <v>2564</v>
      </c>
      <c r="BF369" s="421" t="s">
        <v>2565</v>
      </c>
    </row>
    <row r="370" spans="1:100" ht="150">
      <c r="A370" s="356" t="s">
        <v>4373</v>
      </c>
      <c r="B370" s="443"/>
      <c r="C370" s="443"/>
      <c r="D370" s="443"/>
      <c r="E370" s="356" t="s">
        <v>148</v>
      </c>
      <c r="F370" s="443" t="s">
        <v>4374</v>
      </c>
      <c r="G370" s="443" t="s">
        <v>4375</v>
      </c>
      <c r="H370" s="443" t="s">
        <v>4376</v>
      </c>
      <c r="I370" s="519" t="s">
        <v>4377</v>
      </c>
      <c r="J370" s="519" t="s">
        <v>4378</v>
      </c>
      <c r="K370" s="452" t="s">
        <v>2847</v>
      </c>
      <c r="L370" s="452" t="s">
        <v>2848</v>
      </c>
      <c r="M370" s="452" t="s">
        <v>2849</v>
      </c>
      <c r="N370" s="465" t="s">
        <v>2882</v>
      </c>
      <c r="O370" s="452" t="s">
        <v>2883</v>
      </c>
      <c r="P370" s="452" t="s">
        <v>2884</v>
      </c>
      <c r="Q370" s="453" t="s">
        <v>4015</v>
      </c>
      <c r="R370" s="452" t="s">
        <v>1796</v>
      </c>
      <c r="S370" s="452" t="s">
        <v>1797</v>
      </c>
      <c r="T370" s="450" t="s">
        <v>4379</v>
      </c>
      <c r="U370" s="452" t="s">
        <v>2854</v>
      </c>
      <c r="V370" s="450" t="s">
        <v>4380</v>
      </c>
      <c r="W370" s="450" t="s">
        <v>4381</v>
      </c>
      <c r="X370" s="452" t="s">
        <v>1801</v>
      </c>
      <c r="Y370" s="452" t="s">
        <v>2857</v>
      </c>
      <c r="Z370" s="452" t="s">
        <v>2858</v>
      </c>
      <c r="AA370" s="452" t="s">
        <v>2503</v>
      </c>
      <c r="AB370" s="452" t="s">
        <v>2859</v>
      </c>
      <c r="AC370" s="442" t="s">
        <v>1803</v>
      </c>
      <c r="AD370" s="442" t="s">
        <v>2503</v>
      </c>
      <c r="AE370" s="442"/>
      <c r="AF370" s="386"/>
      <c r="BA370" s="356" t="s">
        <v>4019</v>
      </c>
      <c r="BB370" s="545" t="s">
        <v>1805</v>
      </c>
      <c r="BC370" s="545" t="s">
        <v>33</v>
      </c>
      <c r="BD370" s="545" t="s">
        <v>1806</v>
      </c>
      <c r="BE370" s="356" t="s">
        <v>2564</v>
      </c>
      <c r="BF370" s="421" t="s">
        <v>2565</v>
      </c>
    </row>
    <row r="371" spans="1:100" ht="150">
      <c r="A371" s="356" t="s">
        <v>4382</v>
      </c>
      <c r="B371" s="443"/>
      <c r="C371" s="443"/>
      <c r="D371" s="443"/>
      <c r="E371" s="356" t="s">
        <v>24</v>
      </c>
      <c r="F371" s="443" t="s">
        <v>1709</v>
      </c>
      <c r="G371" s="443" t="s">
        <v>1710</v>
      </c>
      <c r="H371" s="443" t="s">
        <v>1711</v>
      </c>
      <c r="I371" s="519" t="s">
        <v>4383</v>
      </c>
      <c r="J371" s="519" t="s">
        <v>4384</v>
      </c>
      <c r="K371" s="452" t="s">
        <v>2847</v>
      </c>
      <c r="L371" s="452" t="s">
        <v>2848</v>
      </c>
      <c r="M371" s="452" t="s">
        <v>2849</v>
      </c>
      <c r="N371" s="465" t="s">
        <v>2882</v>
      </c>
      <c r="O371" s="452" t="s">
        <v>2883</v>
      </c>
      <c r="P371" s="452" t="s">
        <v>2884</v>
      </c>
      <c r="Q371" s="453" t="s">
        <v>4015</v>
      </c>
      <c r="R371" s="452" t="s">
        <v>1796</v>
      </c>
      <c r="S371" s="452" t="s">
        <v>1797</v>
      </c>
      <c r="T371" s="450" t="s">
        <v>4385</v>
      </c>
      <c r="U371" s="452" t="s">
        <v>2854</v>
      </c>
      <c r="V371" s="450" t="s">
        <v>4386</v>
      </c>
      <c r="W371" s="450" t="s">
        <v>4387</v>
      </c>
      <c r="X371" s="452" t="s">
        <v>1801</v>
      </c>
      <c r="Y371" s="452" t="s">
        <v>2857</v>
      </c>
      <c r="Z371" s="452" t="s">
        <v>2858</v>
      </c>
      <c r="AA371" s="452" t="s">
        <v>2503</v>
      </c>
      <c r="AB371" s="452" t="s">
        <v>2859</v>
      </c>
      <c r="AC371" s="442" t="s">
        <v>1803</v>
      </c>
      <c r="AD371" s="442" t="s">
        <v>2503</v>
      </c>
      <c r="AE371" s="442"/>
      <c r="AF371" s="386"/>
      <c r="BA371" s="356" t="s">
        <v>4019</v>
      </c>
      <c r="BB371" s="545" t="s">
        <v>1805</v>
      </c>
      <c r="BC371" s="545" t="s">
        <v>33</v>
      </c>
      <c r="BD371" s="545" t="s">
        <v>1806</v>
      </c>
      <c r="BE371" s="356" t="s">
        <v>2564</v>
      </c>
      <c r="BF371" s="421" t="s">
        <v>2565</v>
      </c>
    </row>
    <row r="372" spans="1:100" ht="409.5">
      <c r="A372" s="356" t="s">
        <v>4388</v>
      </c>
      <c r="B372" s="443"/>
      <c r="C372" s="443"/>
      <c r="D372" s="443"/>
      <c r="E372" s="356" t="s">
        <v>148</v>
      </c>
      <c r="F372" s="443" t="s">
        <v>4389</v>
      </c>
      <c r="G372" s="443" t="s">
        <v>4390</v>
      </c>
      <c r="H372" s="443" t="s">
        <v>4391</v>
      </c>
      <c r="I372" s="468" t="s">
        <v>3403</v>
      </c>
      <c r="J372" s="468" t="s">
        <v>3404</v>
      </c>
      <c r="K372" s="468" t="s">
        <v>3396</v>
      </c>
      <c r="L372" s="468" t="s">
        <v>3397</v>
      </c>
      <c r="M372" s="468" t="s">
        <v>3398</v>
      </c>
      <c r="N372" s="468" t="s">
        <v>3352</v>
      </c>
      <c r="O372" s="468" t="s">
        <v>3353</v>
      </c>
      <c r="P372" s="468" t="s">
        <v>3354</v>
      </c>
      <c r="Q372" s="453" t="s">
        <v>4015</v>
      </c>
      <c r="R372" s="468" t="s">
        <v>1796</v>
      </c>
      <c r="S372" s="468" t="s">
        <v>1797</v>
      </c>
      <c r="T372" s="468" t="s">
        <v>4392</v>
      </c>
      <c r="U372" s="468" t="s">
        <v>4393</v>
      </c>
      <c r="V372" s="468" t="s">
        <v>3346</v>
      </c>
      <c r="W372" s="468" t="s">
        <v>4394</v>
      </c>
      <c r="X372" s="468" t="s">
        <v>1801</v>
      </c>
      <c r="Y372" s="468" t="s">
        <v>2857</v>
      </c>
      <c r="Z372" s="468" t="s">
        <v>3287</v>
      </c>
      <c r="AA372" s="468" t="s">
        <v>2503</v>
      </c>
      <c r="AB372" s="468" t="s">
        <v>3288</v>
      </c>
      <c r="AC372" s="442" t="s">
        <v>1803</v>
      </c>
      <c r="AD372" s="442" t="s">
        <v>1804</v>
      </c>
      <c r="AE372" s="442" t="s">
        <v>3348</v>
      </c>
      <c r="AF372" s="386"/>
      <c r="BA372" s="356" t="s">
        <v>4019</v>
      </c>
      <c r="BB372" s="545" t="s">
        <v>1805</v>
      </c>
      <c r="BC372" s="545" t="s">
        <v>33</v>
      </c>
      <c r="BD372" s="545" t="s">
        <v>1806</v>
      </c>
      <c r="BE372" s="356" t="s">
        <v>2564</v>
      </c>
      <c r="BF372" s="421" t="s">
        <v>2565</v>
      </c>
    </row>
    <row r="373" spans="1:100" ht="409.5">
      <c r="A373" s="356" t="s">
        <v>4395</v>
      </c>
      <c r="B373" s="443"/>
      <c r="C373" s="443"/>
      <c r="D373" s="443"/>
      <c r="E373" s="356" t="s">
        <v>24</v>
      </c>
      <c r="F373" s="443" t="s">
        <v>1715</v>
      </c>
      <c r="G373" s="443" t="s">
        <v>1716</v>
      </c>
      <c r="H373" s="443" t="s">
        <v>1717</v>
      </c>
      <c r="I373" s="514" t="s">
        <v>4396</v>
      </c>
      <c r="J373" s="468" t="s">
        <v>3351</v>
      </c>
      <c r="K373" s="468" t="s">
        <v>3338</v>
      </c>
      <c r="L373" s="468" t="s">
        <v>3339</v>
      </c>
      <c r="M373" s="468" t="s">
        <v>3340</v>
      </c>
      <c r="N373" s="468" t="s">
        <v>3352</v>
      </c>
      <c r="O373" s="468" t="s">
        <v>3353</v>
      </c>
      <c r="P373" s="468" t="s">
        <v>3354</v>
      </c>
      <c r="Q373" s="453" t="s">
        <v>4015</v>
      </c>
      <c r="R373" s="468" t="s">
        <v>1796</v>
      </c>
      <c r="S373" s="468" t="s">
        <v>1797</v>
      </c>
      <c r="T373" s="468" t="s">
        <v>4397</v>
      </c>
      <c r="U373" s="468" t="s">
        <v>4398</v>
      </c>
      <c r="V373" s="468" t="s">
        <v>3346</v>
      </c>
      <c r="W373" s="468" t="s">
        <v>4399</v>
      </c>
      <c r="X373" s="468" t="s">
        <v>1801</v>
      </c>
      <c r="Y373" s="468" t="s">
        <v>2857</v>
      </c>
      <c r="Z373" s="468" t="s">
        <v>3287</v>
      </c>
      <c r="AA373" s="468" t="s">
        <v>2503</v>
      </c>
      <c r="AB373" s="468" t="s">
        <v>3288</v>
      </c>
      <c r="AC373" s="442" t="s">
        <v>1803</v>
      </c>
      <c r="AD373" s="442" t="s">
        <v>1804</v>
      </c>
      <c r="AE373" s="442" t="s">
        <v>3348</v>
      </c>
      <c r="AF373" s="386"/>
      <c r="BA373" s="356" t="s">
        <v>4019</v>
      </c>
      <c r="BB373" s="545" t="s">
        <v>1805</v>
      </c>
      <c r="BC373" s="545" t="s">
        <v>33</v>
      </c>
      <c r="BD373" s="545" t="s">
        <v>1806</v>
      </c>
      <c r="BE373" s="356" t="s">
        <v>2564</v>
      </c>
      <c r="BF373" s="421" t="s">
        <v>2565</v>
      </c>
    </row>
    <row r="374" spans="1:100" ht="150">
      <c r="A374" s="356" t="s">
        <v>4400</v>
      </c>
      <c r="B374" s="443"/>
      <c r="C374" s="443"/>
      <c r="D374" s="443"/>
      <c r="E374" s="356" t="s">
        <v>148</v>
      </c>
      <c r="F374" s="443" t="s">
        <v>4401</v>
      </c>
      <c r="G374" s="443" t="s">
        <v>4402</v>
      </c>
      <c r="H374" s="443" t="s">
        <v>4403</v>
      </c>
      <c r="I374" s="519" t="s">
        <v>4377</v>
      </c>
      <c r="J374" s="519" t="s">
        <v>4378</v>
      </c>
      <c r="K374" s="452" t="s">
        <v>2847</v>
      </c>
      <c r="L374" s="452" t="s">
        <v>2848</v>
      </c>
      <c r="M374" s="452" t="s">
        <v>2849</v>
      </c>
      <c r="N374" s="465" t="s">
        <v>2882</v>
      </c>
      <c r="O374" s="452" t="s">
        <v>2883</v>
      </c>
      <c r="P374" s="452" t="s">
        <v>2884</v>
      </c>
      <c r="Q374" s="453" t="s">
        <v>4015</v>
      </c>
      <c r="R374" s="452" t="s">
        <v>1796</v>
      </c>
      <c r="S374" s="452" t="s">
        <v>1797</v>
      </c>
      <c r="T374" s="450" t="s">
        <v>4379</v>
      </c>
      <c r="U374" s="452" t="s">
        <v>2854</v>
      </c>
      <c r="V374" s="450" t="s">
        <v>4380</v>
      </c>
      <c r="W374" s="450" t="s">
        <v>4381</v>
      </c>
      <c r="X374" s="452" t="s">
        <v>1801</v>
      </c>
      <c r="Y374" s="452" t="s">
        <v>2857</v>
      </c>
      <c r="Z374" s="452" t="s">
        <v>2858</v>
      </c>
      <c r="AA374" s="452" t="s">
        <v>2503</v>
      </c>
      <c r="AB374" s="452" t="s">
        <v>2859</v>
      </c>
      <c r="AC374" s="442" t="s">
        <v>1803</v>
      </c>
      <c r="AD374" s="442" t="s">
        <v>2503</v>
      </c>
      <c r="AE374" s="442"/>
      <c r="AF374" s="386"/>
      <c r="BA374" s="356" t="s">
        <v>4019</v>
      </c>
      <c r="BB374" s="545" t="s">
        <v>1805</v>
      </c>
      <c r="BC374" s="545" t="s">
        <v>33</v>
      </c>
      <c r="BD374" s="545" t="s">
        <v>1806</v>
      </c>
      <c r="BE374" s="356" t="s">
        <v>2564</v>
      </c>
      <c r="BF374" s="421" t="s">
        <v>2565</v>
      </c>
    </row>
    <row r="375" spans="1:100" ht="150">
      <c r="A375" s="356" t="s">
        <v>4404</v>
      </c>
      <c r="B375" s="443"/>
      <c r="C375" s="443"/>
      <c r="D375" s="443"/>
      <c r="E375" s="356" t="s">
        <v>24</v>
      </c>
      <c r="F375" s="443" t="s">
        <v>1721</v>
      </c>
      <c r="G375" s="443" t="s">
        <v>1722</v>
      </c>
      <c r="H375" s="443" t="s">
        <v>1723</v>
      </c>
      <c r="I375" s="519" t="s">
        <v>4383</v>
      </c>
      <c r="J375" s="519" t="s">
        <v>4384</v>
      </c>
      <c r="K375" s="452" t="s">
        <v>2847</v>
      </c>
      <c r="L375" s="452" t="s">
        <v>2848</v>
      </c>
      <c r="M375" s="452" t="s">
        <v>2849</v>
      </c>
      <c r="N375" s="465" t="s">
        <v>2882</v>
      </c>
      <c r="O375" s="452" t="s">
        <v>2883</v>
      </c>
      <c r="P375" s="452" t="s">
        <v>2884</v>
      </c>
      <c r="Q375" s="453" t="s">
        <v>4015</v>
      </c>
      <c r="R375" s="452" t="s">
        <v>1796</v>
      </c>
      <c r="S375" s="452" t="s">
        <v>1797</v>
      </c>
      <c r="T375" s="450" t="s">
        <v>4385</v>
      </c>
      <c r="U375" s="452" t="s">
        <v>2854</v>
      </c>
      <c r="V375" s="450" t="s">
        <v>4386</v>
      </c>
      <c r="W375" s="450" t="s">
        <v>4387</v>
      </c>
      <c r="X375" s="452" t="s">
        <v>1801</v>
      </c>
      <c r="Y375" s="452" t="s">
        <v>2857</v>
      </c>
      <c r="Z375" s="452" t="s">
        <v>2858</v>
      </c>
      <c r="AA375" s="452" t="s">
        <v>2503</v>
      </c>
      <c r="AB375" s="452" t="s">
        <v>2859</v>
      </c>
      <c r="AC375" s="442" t="s">
        <v>1803</v>
      </c>
      <c r="AD375" s="442" t="s">
        <v>2503</v>
      </c>
      <c r="AE375" s="442"/>
      <c r="AF375" s="386"/>
      <c r="BA375" s="356" t="s">
        <v>4019</v>
      </c>
      <c r="BB375" s="545" t="s">
        <v>1805</v>
      </c>
      <c r="BC375" s="545" t="s">
        <v>33</v>
      </c>
      <c r="BD375" s="545" t="s">
        <v>1806</v>
      </c>
      <c r="BE375" s="356" t="s">
        <v>2564</v>
      </c>
      <c r="BF375" s="421" t="s">
        <v>2565</v>
      </c>
    </row>
    <row r="376" spans="1:100" ht="150">
      <c r="A376" s="356" t="s">
        <v>4405</v>
      </c>
      <c r="B376" s="443"/>
      <c r="C376" s="443"/>
      <c r="D376" s="443"/>
      <c r="E376" s="356" t="s">
        <v>148</v>
      </c>
      <c r="F376" s="443" t="s">
        <v>4406</v>
      </c>
      <c r="G376" s="443" t="s">
        <v>4407</v>
      </c>
      <c r="H376" s="443" t="s">
        <v>4408</v>
      </c>
      <c r="I376" s="520" t="s">
        <v>4409</v>
      </c>
      <c r="J376" s="520" t="s">
        <v>4410</v>
      </c>
      <c r="K376" s="482" t="s">
        <v>3396</v>
      </c>
      <c r="L376" s="482" t="s">
        <v>3397</v>
      </c>
      <c r="M376" s="482" t="s">
        <v>3398</v>
      </c>
      <c r="N376" s="482" t="s">
        <v>3611</v>
      </c>
      <c r="O376" s="482" t="s">
        <v>3612</v>
      </c>
      <c r="P376" s="482" t="s">
        <v>3613</v>
      </c>
      <c r="Q376" s="453" t="s">
        <v>4015</v>
      </c>
      <c r="R376" s="482" t="s">
        <v>1796</v>
      </c>
      <c r="S376" s="482" t="s">
        <v>1797</v>
      </c>
      <c r="T376" s="466" t="s">
        <v>4411</v>
      </c>
      <c r="U376" s="482" t="s">
        <v>4412</v>
      </c>
      <c r="V376" s="482" t="s">
        <v>3346</v>
      </c>
      <c r="W376" s="482" t="s">
        <v>4413</v>
      </c>
      <c r="X376" s="482" t="s">
        <v>1801</v>
      </c>
      <c r="Y376" s="482" t="s">
        <v>2857</v>
      </c>
      <c r="Z376" s="482" t="s">
        <v>3616</v>
      </c>
      <c r="AA376" s="482" t="s">
        <v>2503</v>
      </c>
      <c r="AB376" s="482" t="s">
        <v>3617</v>
      </c>
      <c r="AC376" s="442" t="s">
        <v>1803</v>
      </c>
      <c r="AD376" s="442" t="s">
        <v>1804</v>
      </c>
      <c r="AE376" s="442"/>
      <c r="AF376" s="386"/>
      <c r="BA376" s="356" t="s">
        <v>4019</v>
      </c>
      <c r="BB376" s="545" t="s">
        <v>1805</v>
      </c>
      <c r="BC376" s="545" t="s">
        <v>33</v>
      </c>
      <c r="BD376" s="545" t="s">
        <v>1806</v>
      </c>
      <c r="BE376" s="356" t="s">
        <v>2564</v>
      </c>
      <c r="BF376" s="421" t="s">
        <v>2565</v>
      </c>
    </row>
    <row r="377" spans="1:100" ht="165">
      <c r="A377" s="356" t="s">
        <v>4414</v>
      </c>
      <c r="B377" s="443"/>
      <c r="C377" s="443"/>
      <c r="D377" s="443"/>
      <c r="E377" s="356" t="s">
        <v>24</v>
      </c>
      <c r="F377" s="443" t="s">
        <v>1727</v>
      </c>
      <c r="G377" s="443" t="s">
        <v>1728</v>
      </c>
      <c r="H377" s="443" t="s">
        <v>1729</v>
      </c>
      <c r="I377" s="506" t="s">
        <v>4415</v>
      </c>
      <c r="J377" s="506" t="s">
        <v>4416</v>
      </c>
      <c r="K377" s="480" t="s">
        <v>3338</v>
      </c>
      <c r="L377" s="480" t="s">
        <v>3339</v>
      </c>
      <c r="M377" s="480" t="s">
        <v>3340</v>
      </c>
      <c r="N377" s="480" t="s">
        <v>3611</v>
      </c>
      <c r="O377" s="480" t="s">
        <v>3612</v>
      </c>
      <c r="P377" s="480" t="s">
        <v>3613</v>
      </c>
      <c r="Q377" s="453" t="s">
        <v>4015</v>
      </c>
      <c r="R377" s="480" t="s">
        <v>1796</v>
      </c>
      <c r="S377" s="480" t="s">
        <v>1797</v>
      </c>
      <c r="T377" s="521" t="s">
        <v>4417</v>
      </c>
      <c r="U377" s="521" t="s">
        <v>4418</v>
      </c>
      <c r="V377" s="480" t="s">
        <v>3346</v>
      </c>
      <c r="W377" s="521" t="s">
        <v>4419</v>
      </c>
      <c r="X377" s="480" t="s">
        <v>1801</v>
      </c>
      <c r="Y377" s="480" t="s">
        <v>2857</v>
      </c>
      <c r="Z377" s="480" t="s">
        <v>3616</v>
      </c>
      <c r="AA377" s="480" t="s">
        <v>2503</v>
      </c>
      <c r="AB377" s="480" t="s">
        <v>3617</v>
      </c>
      <c r="AC377" s="442" t="s">
        <v>1803</v>
      </c>
      <c r="AD377" s="442" t="s">
        <v>1804</v>
      </c>
      <c r="AE377" s="442"/>
      <c r="AF377" s="386"/>
      <c r="BA377" s="356" t="s">
        <v>4019</v>
      </c>
      <c r="BB377" s="545" t="s">
        <v>1805</v>
      </c>
      <c r="BC377" s="545" t="s">
        <v>33</v>
      </c>
      <c r="BD377" s="545" t="s">
        <v>1806</v>
      </c>
      <c r="BE377" s="356" t="s">
        <v>2564</v>
      </c>
      <c r="BF377" s="421" t="s">
        <v>2565</v>
      </c>
    </row>
    <row r="378" spans="1:100" ht="150">
      <c r="A378" s="356" t="s">
        <v>4420</v>
      </c>
      <c r="B378" s="386"/>
      <c r="C378" s="386"/>
      <c r="D378" s="386"/>
      <c r="E378" s="494" t="s">
        <v>24</v>
      </c>
      <c r="F378" s="495" t="s">
        <v>4421</v>
      </c>
      <c r="G378" s="518" t="s">
        <v>4422</v>
      </c>
      <c r="H378" s="477" t="s">
        <v>4423</v>
      </c>
      <c r="I378" s="478" t="s">
        <v>3835</v>
      </c>
      <c r="J378" s="478" t="s">
        <v>3835</v>
      </c>
      <c r="K378" s="477" t="s">
        <v>1433</v>
      </c>
      <c r="L378" s="478" t="s">
        <v>3835</v>
      </c>
      <c r="M378" s="478" t="s">
        <v>3835</v>
      </c>
      <c r="N378" s="477" t="s">
        <v>3827</v>
      </c>
      <c r="O378" s="500" t="s">
        <v>3828</v>
      </c>
      <c r="P378" s="500" t="s">
        <v>3829</v>
      </c>
      <c r="Q378" s="453" t="s">
        <v>4015</v>
      </c>
      <c r="R378" s="477" t="s">
        <v>3587</v>
      </c>
      <c r="S378" s="477" t="s">
        <v>1797</v>
      </c>
      <c r="T378" s="495" t="s">
        <v>4424</v>
      </c>
      <c r="U378" s="495" t="s">
        <v>4425</v>
      </c>
      <c r="V378" s="495" t="s">
        <v>4426</v>
      </c>
      <c r="W378" s="495" t="s">
        <v>4427</v>
      </c>
      <c r="X378" s="477" t="s">
        <v>1801</v>
      </c>
      <c r="Y378" s="495" t="s">
        <v>2857</v>
      </c>
      <c r="Z378" s="477" t="s">
        <v>3723</v>
      </c>
      <c r="AA378" s="495" t="s">
        <v>2503</v>
      </c>
      <c r="AB378" s="495" t="s">
        <v>3840</v>
      </c>
      <c r="AC378" s="477" t="s">
        <v>1803</v>
      </c>
      <c r="AD378" s="495" t="s">
        <v>1804</v>
      </c>
      <c r="AE378" s="442"/>
      <c r="AF378" s="386"/>
      <c r="BA378" s="544" t="s">
        <v>4019</v>
      </c>
      <c r="BB378" s="545" t="s">
        <v>1805</v>
      </c>
      <c r="BC378" s="545" t="s">
        <v>33</v>
      </c>
      <c r="BD378" s="545" t="s">
        <v>1806</v>
      </c>
      <c r="BE378" s="356" t="s">
        <v>2564</v>
      </c>
      <c r="BF378" s="421" t="s">
        <v>2565</v>
      </c>
    </row>
    <row r="379" spans="1:100" ht="291.75">
      <c r="A379" s="356" t="s">
        <v>4428</v>
      </c>
      <c r="B379" s="386"/>
      <c r="C379" s="386"/>
      <c r="D379" s="386"/>
      <c r="E379" s="494" t="s">
        <v>24</v>
      </c>
      <c r="F379" s="495" t="s">
        <v>4429</v>
      </c>
      <c r="G379" s="518" t="s">
        <v>4430</v>
      </c>
      <c r="H379" s="477" t="s">
        <v>4431</v>
      </c>
      <c r="I379" s="478" t="s">
        <v>3826</v>
      </c>
      <c r="J379" s="478" t="s">
        <v>3826</v>
      </c>
      <c r="K379" s="477" t="s">
        <v>1430</v>
      </c>
      <c r="L379" s="478" t="s">
        <v>3826</v>
      </c>
      <c r="M379" s="478" t="s">
        <v>3826</v>
      </c>
      <c r="N379" s="477" t="s">
        <v>3827</v>
      </c>
      <c r="O379" s="500" t="s">
        <v>3828</v>
      </c>
      <c r="P379" s="500" t="s">
        <v>3829</v>
      </c>
      <c r="Q379" s="453" t="s">
        <v>4015</v>
      </c>
      <c r="R379" s="477" t="s">
        <v>3587</v>
      </c>
      <c r="S379" s="477" t="s">
        <v>1797</v>
      </c>
      <c r="T379" s="495" t="s">
        <v>4432</v>
      </c>
      <c r="U379" s="495" t="s">
        <v>4433</v>
      </c>
      <c r="V379" s="495" t="s">
        <v>4426</v>
      </c>
      <c r="W379" s="495" t="s">
        <v>4434</v>
      </c>
      <c r="X379" s="477" t="s">
        <v>1801</v>
      </c>
      <c r="Y379" s="495" t="s">
        <v>2857</v>
      </c>
      <c r="Z379" s="477" t="s">
        <v>3723</v>
      </c>
      <c r="AA379" s="495" t="s">
        <v>2503</v>
      </c>
      <c r="AB379" s="495" t="s">
        <v>3833</v>
      </c>
      <c r="AC379" s="477" t="s">
        <v>1803</v>
      </c>
      <c r="AD379" s="495" t="s">
        <v>1804</v>
      </c>
      <c r="AE379" s="442"/>
      <c r="AF379" s="386"/>
      <c r="BA379" s="544" t="s">
        <v>4019</v>
      </c>
      <c r="BB379" s="545" t="s">
        <v>1805</v>
      </c>
      <c r="BC379" s="545" t="s">
        <v>33</v>
      </c>
      <c r="BD379" s="545" t="s">
        <v>1806</v>
      </c>
      <c r="BE379" s="356" t="s">
        <v>2564</v>
      </c>
      <c r="BF379" s="421" t="s">
        <v>2565</v>
      </c>
    </row>
    <row r="380" spans="1:100" s="390" customFormat="1" ht="180">
      <c r="A380" s="356" t="s">
        <v>4435</v>
      </c>
      <c r="B380" s="356"/>
      <c r="C380" s="356"/>
      <c r="D380" s="356"/>
      <c r="E380" s="356" t="s">
        <v>24</v>
      </c>
      <c r="F380" s="452" t="s">
        <v>4436</v>
      </c>
      <c r="G380" s="509" t="s">
        <v>4437</v>
      </c>
      <c r="H380" s="452" t="s">
        <v>4438</v>
      </c>
      <c r="I380" s="452" t="s">
        <v>3002</v>
      </c>
      <c r="J380" s="452" t="s">
        <v>3003</v>
      </c>
      <c r="K380" s="452" t="s">
        <v>3004</v>
      </c>
      <c r="L380" s="452" t="s">
        <v>3005</v>
      </c>
      <c r="M380" s="452" t="s">
        <v>3006</v>
      </c>
      <c r="N380" s="452" t="s">
        <v>3007</v>
      </c>
      <c r="O380" s="452" t="s">
        <v>3008</v>
      </c>
      <c r="P380" s="452" t="s">
        <v>3009</v>
      </c>
      <c r="Q380" s="453" t="s">
        <v>4141</v>
      </c>
      <c r="R380" s="452" t="s">
        <v>3010</v>
      </c>
      <c r="S380" s="452" t="s">
        <v>1797</v>
      </c>
      <c r="T380" s="452" t="s">
        <v>3011</v>
      </c>
      <c r="U380" s="452" t="s">
        <v>3012</v>
      </c>
      <c r="V380" s="452" t="s">
        <v>2932</v>
      </c>
      <c r="W380" s="452" t="s">
        <v>3013</v>
      </c>
      <c r="X380" s="452" t="s">
        <v>1801</v>
      </c>
      <c r="Y380" s="452" t="s">
        <v>2857</v>
      </c>
      <c r="Z380" s="452" t="s">
        <v>3014</v>
      </c>
      <c r="AA380" s="452" t="s">
        <v>2503</v>
      </c>
      <c r="AB380" s="452" t="s">
        <v>4064</v>
      </c>
      <c r="AC380" s="442" t="s">
        <v>1803</v>
      </c>
      <c r="AD380" s="442" t="s">
        <v>2503</v>
      </c>
      <c r="AE380" s="442"/>
      <c r="AF380" s="386"/>
      <c r="AG380" s="384"/>
      <c r="AH380" s="384"/>
      <c r="AI380" s="384"/>
      <c r="AJ380" s="384"/>
      <c r="AK380" s="384"/>
      <c r="AL380" s="384"/>
      <c r="AM380" s="384"/>
      <c r="AN380" s="384"/>
      <c r="AO380" s="384"/>
      <c r="AP380" s="384"/>
      <c r="AQ380" s="384"/>
      <c r="AR380" s="384"/>
      <c r="AS380" s="384"/>
      <c r="AT380" s="384"/>
      <c r="AU380" s="384"/>
      <c r="AV380" s="384"/>
      <c r="AW380" s="384"/>
      <c r="AX380" s="384"/>
      <c r="AY380" s="384"/>
      <c r="AZ380" s="384"/>
      <c r="BA380" s="544" t="s">
        <v>4019</v>
      </c>
      <c r="BB380" s="545" t="s">
        <v>1805</v>
      </c>
      <c r="BC380" s="545" t="s">
        <v>33</v>
      </c>
      <c r="BD380" s="545" t="s">
        <v>1806</v>
      </c>
      <c r="BE380" s="356" t="s">
        <v>2564</v>
      </c>
      <c r="BF380" s="421" t="s">
        <v>2565</v>
      </c>
      <c r="BG380" s="384"/>
      <c r="BH380" s="384"/>
      <c r="BI380" s="384"/>
      <c r="BJ380" s="384"/>
      <c r="BK380" s="384"/>
      <c r="BL380" s="384"/>
      <c r="BM380" s="384"/>
      <c r="BN380" s="384"/>
      <c r="BO380" s="384"/>
      <c r="BP380" s="384"/>
      <c r="BQ380" s="384"/>
      <c r="BR380" s="384"/>
      <c r="BS380" s="384"/>
      <c r="BT380" s="384"/>
      <c r="BU380" s="384"/>
      <c r="BV380" s="384"/>
      <c r="BW380" s="384"/>
      <c r="BX380" s="384"/>
      <c r="BY380" s="384"/>
      <c r="BZ380" s="384"/>
      <c r="CA380" s="384"/>
      <c r="CB380" s="384"/>
      <c r="CC380" s="384"/>
      <c r="CD380" s="384"/>
      <c r="CE380" s="384"/>
      <c r="CF380" s="384"/>
      <c r="CG380" s="384"/>
      <c r="CH380" s="384"/>
      <c r="CI380" s="384"/>
      <c r="CJ380" s="384"/>
      <c r="CK380" s="384"/>
      <c r="CL380" s="384"/>
      <c r="CM380" s="384"/>
      <c r="CN380" s="384"/>
      <c r="CO380" s="384"/>
      <c r="CP380" s="384"/>
      <c r="CQ380" s="384"/>
      <c r="CR380" s="384"/>
      <c r="CS380" s="384"/>
      <c r="CT380" s="384"/>
      <c r="CU380" s="384"/>
      <c r="CV380" s="384"/>
    </row>
    <row r="381" spans="1:100" ht="150">
      <c r="A381" s="356" t="s">
        <v>4439</v>
      </c>
      <c r="B381" s="443"/>
      <c r="C381" s="443"/>
      <c r="D381" s="443"/>
      <c r="E381" s="356" t="s">
        <v>148</v>
      </c>
      <c r="F381" s="443" t="s">
        <v>4440</v>
      </c>
      <c r="G381" s="443" t="s">
        <v>4441</v>
      </c>
      <c r="H381" s="443" t="s">
        <v>4442</v>
      </c>
      <c r="I381" s="519" t="s">
        <v>4377</v>
      </c>
      <c r="J381" s="519" t="s">
        <v>4378</v>
      </c>
      <c r="K381" s="452" t="s">
        <v>2847</v>
      </c>
      <c r="L381" s="452" t="s">
        <v>2848</v>
      </c>
      <c r="M381" s="452" t="s">
        <v>2849</v>
      </c>
      <c r="N381" s="465" t="s">
        <v>2882</v>
      </c>
      <c r="O381" s="452" t="s">
        <v>2883</v>
      </c>
      <c r="P381" s="452" t="s">
        <v>2884</v>
      </c>
      <c r="Q381" s="453" t="s">
        <v>4141</v>
      </c>
      <c r="R381" s="452" t="s">
        <v>1796</v>
      </c>
      <c r="S381" s="452" t="s">
        <v>1797</v>
      </c>
      <c r="T381" s="450" t="s">
        <v>4379</v>
      </c>
      <c r="U381" s="452" t="s">
        <v>2854</v>
      </c>
      <c r="V381" s="450" t="s">
        <v>4380</v>
      </c>
      <c r="W381" s="450" t="s">
        <v>4381</v>
      </c>
      <c r="X381" s="452" t="s">
        <v>1801</v>
      </c>
      <c r="Y381" s="452" t="s">
        <v>2857</v>
      </c>
      <c r="Z381" s="452" t="s">
        <v>2858</v>
      </c>
      <c r="AA381" s="452" t="s">
        <v>2503</v>
      </c>
      <c r="AB381" s="452" t="s">
        <v>2859</v>
      </c>
      <c r="AC381" s="442" t="s">
        <v>1803</v>
      </c>
      <c r="AD381" s="442" t="s">
        <v>2503</v>
      </c>
      <c r="AE381" s="442"/>
      <c r="AF381" s="386"/>
      <c r="BA381" s="356" t="s">
        <v>4019</v>
      </c>
      <c r="BB381" s="545" t="s">
        <v>1805</v>
      </c>
      <c r="BC381" s="545" t="s">
        <v>33</v>
      </c>
      <c r="BD381" s="545" t="s">
        <v>1806</v>
      </c>
      <c r="BE381" s="356" t="s">
        <v>2564</v>
      </c>
      <c r="BF381" s="421" t="s">
        <v>2565</v>
      </c>
    </row>
    <row r="382" spans="1:100" ht="150">
      <c r="A382" s="356" t="s">
        <v>4443</v>
      </c>
      <c r="B382" s="443"/>
      <c r="C382" s="443"/>
      <c r="D382" s="443"/>
      <c r="E382" s="356" t="s">
        <v>24</v>
      </c>
      <c r="F382" s="443" t="s">
        <v>1742</v>
      </c>
      <c r="G382" s="443" t="s">
        <v>1743</v>
      </c>
      <c r="H382" s="443" t="s">
        <v>1744</v>
      </c>
      <c r="I382" s="519" t="s">
        <v>4383</v>
      </c>
      <c r="J382" s="519" t="s">
        <v>4384</v>
      </c>
      <c r="K382" s="452" t="s">
        <v>2847</v>
      </c>
      <c r="L382" s="452" t="s">
        <v>2848</v>
      </c>
      <c r="M382" s="452" t="s">
        <v>2849</v>
      </c>
      <c r="N382" s="465" t="s">
        <v>2882</v>
      </c>
      <c r="O382" s="452" t="s">
        <v>2883</v>
      </c>
      <c r="P382" s="452" t="s">
        <v>2884</v>
      </c>
      <c r="Q382" s="453" t="s">
        <v>4141</v>
      </c>
      <c r="R382" s="452" t="s">
        <v>1796</v>
      </c>
      <c r="S382" s="452" t="s">
        <v>1797</v>
      </c>
      <c r="T382" s="450" t="s">
        <v>4385</v>
      </c>
      <c r="U382" s="452" t="s">
        <v>2854</v>
      </c>
      <c r="V382" s="450" t="s">
        <v>4386</v>
      </c>
      <c r="W382" s="450" t="s">
        <v>4387</v>
      </c>
      <c r="X382" s="452" t="s">
        <v>1801</v>
      </c>
      <c r="Y382" s="452" t="s">
        <v>2857</v>
      </c>
      <c r="Z382" s="452" t="s">
        <v>2858</v>
      </c>
      <c r="AA382" s="452" t="s">
        <v>2503</v>
      </c>
      <c r="AB382" s="452" t="s">
        <v>2859</v>
      </c>
      <c r="AC382" s="442" t="s">
        <v>1803</v>
      </c>
      <c r="AD382" s="442" t="s">
        <v>2503</v>
      </c>
      <c r="AE382" s="442"/>
      <c r="AF382" s="386"/>
      <c r="BA382" s="356" t="s">
        <v>4019</v>
      </c>
      <c r="BB382" s="545" t="s">
        <v>1805</v>
      </c>
      <c r="BC382" s="545" t="s">
        <v>33</v>
      </c>
      <c r="BD382" s="545" t="s">
        <v>1806</v>
      </c>
      <c r="BE382" s="356" t="s">
        <v>2564</v>
      </c>
      <c r="BF382" s="421" t="s">
        <v>2565</v>
      </c>
    </row>
  </sheetData>
  <sheetProtection formatCells="0" formatColumns="0" formatRows="0"/>
  <autoFilter ref="A6:CW382" xr:uid="{86E99791-02DF-414C-835C-C8232ADDAEA6}">
    <sortState xmlns:xlrd2="http://schemas.microsoft.com/office/spreadsheetml/2017/richdata2" ref="A8:CW382">
      <sortCondition ref="BA6:BA382"/>
    </sortState>
  </autoFilter>
  <mergeCells count="23">
    <mergeCell ref="Q5:Q6"/>
    <mergeCell ref="A2:AE2"/>
    <mergeCell ref="A3:AE3"/>
    <mergeCell ref="A5:A6"/>
    <mergeCell ref="B5:E5"/>
    <mergeCell ref="F5:F6"/>
    <mergeCell ref="G5:G6"/>
    <mergeCell ref="H5:H6"/>
    <mergeCell ref="I5:I6"/>
    <mergeCell ref="J5:J6"/>
    <mergeCell ref="K5:K6"/>
    <mergeCell ref="L5:L6"/>
    <mergeCell ref="M5:M6"/>
    <mergeCell ref="N5:N6"/>
    <mergeCell ref="O5:O6"/>
    <mergeCell ref="P5:P6"/>
    <mergeCell ref="BA5:BF5"/>
    <mergeCell ref="R5:R6"/>
    <mergeCell ref="S5:S6"/>
    <mergeCell ref="AC5:AC6"/>
    <mergeCell ref="AD5:AD6"/>
    <mergeCell ref="AE5:AE6"/>
    <mergeCell ref="AF5:AF6"/>
  </mergeCells>
  <phoneticPr fontId="45" type="noConversion"/>
  <conditionalFormatting sqref="F7:F241 F262:F280 I283:J290 I301:J365 F308:F361 H308:H361 H322:J322 H331:J332 H352:J352 F380 H380:J380">
    <cfRule type="cellIs" dxfId="87" priority="30" stopIfTrue="1" operator="equal">
      <formula>"tbd"</formula>
    </cfRule>
  </conditionalFormatting>
  <conditionalFormatting sqref="F291:F300">
    <cfRule type="cellIs" dxfId="86" priority="2" stopIfTrue="1" operator="equal">
      <formula>"tbd"</formula>
    </cfRule>
  </conditionalFormatting>
  <conditionalFormatting sqref="H7:J126">
    <cfRule type="cellIs" dxfId="85" priority="31" stopIfTrue="1" operator="equal">
      <formula>"tbd"</formula>
    </cfRule>
  </conditionalFormatting>
  <conditionalFormatting sqref="H130:J241">
    <cfRule type="cellIs" dxfId="84" priority="29" stopIfTrue="1" operator="equal">
      <formula>"tbd"</formula>
    </cfRule>
  </conditionalFormatting>
  <conditionalFormatting sqref="H259:J280">
    <cfRule type="cellIs" dxfId="83" priority="28" stopIfTrue="1" operator="equal">
      <formula>"tbd"</formula>
    </cfRule>
  </conditionalFormatting>
  <conditionalFormatting sqref="H291:J300">
    <cfRule type="cellIs" dxfId="82" priority="1" stopIfTrue="1" operator="equal">
      <formula>"tbd"</formula>
    </cfRule>
  </conditionalFormatting>
  <conditionalFormatting sqref="I127:J129">
    <cfRule type="cellIs" dxfId="81" priority="32" stopIfTrue="1" operator="equal">
      <formula>"tbd"</formula>
    </cfRule>
  </conditionalFormatting>
  <conditionalFormatting sqref="I368:J377">
    <cfRule type="cellIs" dxfId="80" priority="25" stopIfTrue="1" operator="equal">
      <formula>"tbd"</formula>
    </cfRule>
  </conditionalFormatting>
  <conditionalFormatting sqref="I381:J382">
    <cfRule type="cellIs" dxfId="79" priority="24" stopIfTrue="1" operator="equal">
      <formula>"tbd"</formula>
    </cfRule>
  </conditionalFormatting>
  <printOptions horizontalCentered="1"/>
  <pageMargins left="0.70763888888888904" right="0.70763888888888904" top="0.74791666666666701" bottom="0.74791666666666701" header="0.31388888888888899" footer="0.31388888888888899"/>
  <pageSetup paperSize="9" scale="55" orientation="landscape"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工作表10"/>
  <dimension ref="A1:AN107"/>
  <sheetViews>
    <sheetView zoomScaleNormal="100" workbookViewId="0">
      <selection activeCell="O20" sqref="O20:P20"/>
    </sheetView>
  </sheetViews>
  <sheetFormatPr defaultColWidth="9" defaultRowHeight="15.75"/>
  <cols>
    <col min="1" max="1" width="8.875" style="48" customWidth="1"/>
    <col min="2" max="3" width="15" style="128" customWidth="1"/>
    <col min="4" max="4" width="24.5" style="48" customWidth="1"/>
    <col min="5" max="5" width="8.25" style="48" customWidth="1"/>
    <col min="6" max="6" width="6.75" style="126" customWidth="1"/>
    <col min="7" max="7" width="8.625" style="48" customWidth="1"/>
    <col min="8" max="8" width="9.25" style="126" customWidth="1"/>
    <col min="9" max="9" width="22" style="31" bestFit="1" customWidth="1"/>
    <col min="10" max="10" width="13.5" style="48" customWidth="1"/>
    <col min="11" max="11" width="13.375" style="48" customWidth="1"/>
    <col min="12" max="12" width="6.625" style="48" customWidth="1"/>
    <col min="13" max="13" width="9.75" style="126" customWidth="1"/>
    <col min="14" max="14" width="15.75" style="126" customWidth="1"/>
    <col min="15" max="16" width="9.75" style="126" customWidth="1"/>
    <col min="17" max="17" width="18.5" style="48" customWidth="1"/>
    <col min="18" max="35" width="9" style="48"/>
    <col min="36" max="40" width="9" style="48" hidden="1" customWidth="1"/>
    <col min="41" max="16384" width="9" style="48"/>
  </cols>
  <sheetData>
    <row r="1" spans="1:39" ht="18.75">
      <c r="A1" s="121" t="s">
        <v>0</v>
      </c>
      <c r="B1" s="58"/>
      <c r="C1" s="58"/>
      <c r="D1" s="59"/>
      <c r="E1" s="60"/>
      <c r="F1" s="60"/>
      <c r="G1" s="60"/>
      <c r="H1" s="60"/>
      <c r="I1" s="84"/>
      <c r="J1" s="60"/>
      <c r="K1" s="60"/>
      <c r="L1" s="60"/>
      <c r="M1" s="60"/>
      <c r="N1" s="60"/>
      <c r="O1" s="60"/>
      <c r="P1" s="60"/>
      <c r="Q1" s="62"/>
      <c r="AK1" s="122" t="s">
        <v>4444</v>
      </c>
      <c r="AM1" s="122" t="s">
        <v>4445</v>
      </c>
    </row>
    <row r="2" spans="1:39" s="18" customFormat="1" ht="15.75" customHeight="1">
      <c r="A2" s="907" t="s">
        <v>4446</v>
      </c>
      <c r="B2" s="908"/>
      <c r="C2" s="908"/>
      <c r="D2" s="908"/>
      <c r="E2" s="908"/>
      <c r="F2" s="908"/>
      <c r="G2" s="908"/>
      <c r="H2" s="908"/>
      <c r="I2" s="908"/>
      <c r="J2" s="908"/>
      <c r="K2" s="908"/>
      <c r="L2" s="908"/>
      <c r="M2" s="908"/>
      <c r="N2" s="908"/>
      <c r="O2" s="908"/>
      <c r="P2" s="908"/>
      <c r="Q2" s="908"/>
      <c r="AK2" s="123" t="s">
        <v>152</v>
      </c>
      <c r="AL2" s="48"/>
      <c r="AM2" s="123" t="s">
        <v>156</v>
      </c>
    </row>
    <row r="3" spans="1:39" s="18" customFormat="1" ht="21" customHeight="1">
      <c r="A3" s="909"/>
      <c r="B3" s="908"/>
      <c r="C3" s="908"/>
      <c r="D3" s="908"/>
      <c r="E3" s="908"/>
      <c r="F3" s="908"/>
      <c r="G3" s="908"/>
      <c r="H3" s="908"/>
      <c r="I3" s="908"/>
      <c r="J3" s="908"/>
      <c r="K3" s="908"/>
      <c r="L3" s="908"/>
      <c r="M3" s="908"/>
      <c r="N3" s="908"/>
      <c r="O3" s="908"/>
      <c r="P3" s="908"/>
      <c r="Q3" s="908"/>
      <c r="AK3" s="123" t="s">
        <v>158</v>
      </c>
      <c r="AL3" s="48"/>
      <c r="AM3" s="123" t="s">
        <v>4447</v>
      </c>
    </row>
    <row r="4" spans="1:39" s="18" customFormat="1" ht="9.75" customHeight="1">
      <c r="A4" s="63"/>
      <c r="B4" s="64"/>
      <c r="C4" s="64"/>
      <c r="D4" s="64"/>
      <c r="E4" s="65"/>
      <c r="F4" s="65"/>
      <c r="G4" s="65"/>
      <c r="H4" s="65"/>
      <c r="I4" s="85"/>
      <c r="J4" s="67"/>
      <c r="K4" s="67"/>
      <c r="L4" s="67"/>
      <c r="M4" s="68"/>
      <c r="N4" s="68"/>
      <c r="O4" s="68"/>
      <c r="P4" s="68"/>
      <c r="Q4" s="69"/>
      <c r="AK4" s="123" t="s">
        <v>161</v>
      </c>
      <c r="AL4" s="48"/>
      <c r="AM4" s="124" t="s">
        <v>4448</v>
      </c>
    </row>
    <row r="5" spans="1:39" s="19" customFormat="1" ht="35.25" customHeight="1">
      <c r="A5" s="910" t="s">
        <v>4449</v>
      </c>
      <c r="B5" s="911"/>
      <c r="C5" s="911"/>
      <c r="D5" s="912"/>
      <c r="E5" s="912"/>
      <c r="F5" s="912"/>
      <c r="G5" s="912"/>
      <c r="H5" s="912"/>
      <c r="I5" s="912"/>
      <c r="J5" s="912"/>
      <c r="K5" s="912"/>
      <c r="L5" s="912"/>
      <c r="M5" s="912"/>
      <c r="N5" s="912"/>
      <c r="O5" s="912"/>
      <c r="P5" s="912"/>
      <c r="Q5" s="913"/>
      <c r="AK5" s="124" t="s">
        <v>4450</v>
      </c>
      <c r="AL5" s="48"/>
      <c r="AM5" s="48"/>
    </row>
    <row r="6" spans="1:39" ht="33.75" customHeight="1">
      <c r="A6" s="914" t="s">
        <v>4451</v>
      </c>
      <c r="B6" s="915"/>
      <c r="C6" s="915"/>
      <c r="D6" s="915"/>
      <c r="E6" s="915"/>
      <c r="F6" s="915"/>
      <c r="G6" s="915"/>
      <c r="H6" s="915"/>
      <c r="I6" s="915"/>
      <c r="J6" s="915"/>
      <c r="K6" s="915"/>
      <c r="L6" s="915"/>
      <c r="M6" s="915"/>
      <c r="N6" s="915"/>
      <c r="O6" s="915"/>
      <c r="P6" s="915"/>
      <c r="Q6" s="915"/>
    </row>
    <row r="7" spans="1:39" ht="34.5" customHeight="1">
      <c r="A7" s="875" t="s">
        <v>4452</v>
      </c>
      <c r="B7" s="875" t="s">
        <v>4453</v>
      </c>
      <c r="C7" s="875" t="s">
        <v>4454</v>
      </c>
      <c r="D7" s="875" t="s">
        <v>4455</v>
      </c>
      <c r="E7" s="875" t="s">
        <v>4456</v>
      </c>
      <c r="F7" s="875" t="s">
        <v>4457</v>
      </c>
      <c r="G7" s="916" t="s">
        <v>4458</v>
      </c>
      <c r="H7" s="916" t="s">
        <v>4459</v>
      </c>
      <c r="I7" s="875" t="s">
        <v>4460</v>
      </c>
      <c r="J7" s="875" t="s">
        <v>4461</v>
      </c>
      <c r="K7" s="875" t="s">
        <v>4462</v>
      </c>
      <c r="L7" s="875" t="s">
        <v>54</v>
      </c>
      <c r="M7" s="875" t="s">
        <v>4463</v>
      </c>
      <c r="N7" s="875" t="s">
        <v>4464</v>
      </c>
      <c r="O7" s="875" t="s">
        <v>4465</v>
      </c>
      <c r="P7" s="875" t="s">
        <v>4466</v>
      </c>
      <c r="Q7" s="875" t="s">
        <v>470</v>
      </c>
    </row>
    <row r="8" spans="1:39" ht="61.5" customHeight="1">
      <c r="A8" s="875"/>
      <c r="B8" s="875"/>
      <c r="C8" s="875"/>
      <c r="D8" s="875"/>
      <c r="E8" s="875"/>
      <c r="F8" s="875"/>
      <c r="G8" s="916"/>
      <c r="H8" s="916"/>
      <c r="I8" s="875"/>
      <c r="J8" s="875"/>
      <c r="K8" s="875"/>
      <c r="L8" s="875"/>
      <c r="M8" s="875"/>
      <c r="N8" s="875"/>
      <c r="O8" s="875"/>
      <c r="P8" s="875"/>
      <c r="Q8" s="917"/>
    </row>
    <row r="9" spans="1:39" s="148" customFormat="1" ht="33.75">
      <c r="A9" s="26" t="s">
        <v>4467</v>
      </c>
      <c r="B9" s="39" t="s">
        <v>4468</v>
      </c>
      <c r="C9" s="39" t="s">
        <v>4469</v>
      </c>
      <c r="D9" s="40" t="s">
        <v>4470</v>
      </c>
      <c r="E9" s="26" t="s">
        <v>4467</v>
      </c>
      <c r="F9" s="26"/>
      <c r="G9" s="26"/>
      <c r="H9" s="26"/>
      <c r="I9" s="114"/>
      <c r="J9" s="26"/>
      <c r="K9" s="26"/>
      <c r="L9" s="26"/>
      <c r="M9" s="26"/>
      <c r="N9" s="26"/>
      <c r="O9" s="26" t="s">
        <v>15</v>
      </c>
      <c r="P9" s="26" t="s">
        <v>15</v>
      </c>
      <c r="Q9" s="115" t="s">
        <v>4471</v>
      </c>
    </row>
    <row r="10" spans="1:39" ht="67.5">
      <c r="A10" s="27"/>
      <c r="B10" s="28"/>
      <c r="C10" s="28"/>
      <c r="D10" s="30"/>
      <c r="E10" s="27"/>
      <c r="F10" s="285">
        <v>0</v>
      </c>
      <c r="G10" s="285">
        <v>7</v>
      </c>
      <c r="H10" s="285">
        <v>0</v>
      </c>
      <c r="I10" s="395" t="s">
        <v>4472</v>
      </c>
      <c r="J10" s="396" t="s">
        <v>30</v>
      </c>
      <c r="K10" s="396" t="s">
        <v>42</v>
      </c>
      <c r="L10" s="27"/>
      <c r="M10" s="27" t="s">
        <v>4444</v>
      </c>
      <c r="N10" s="395" t="s">
        <v>4473</v>
      </c>
      <c r="O10" s="396" t="s">
        <v>33</v>
      </c>
      <c r="P10" s="396" t="s">
        <v>30</v>
      </c>
      <c r="Q10" s="283"/>
    </row>
    <row r="11" spans="1:39" s="18" customFormat="1" ht="33.75">
      <c r="A11" s="26" t="s">
        <v>4474</v>
      </c>
      <c r="B11" s="39" t="s">
        <v>4468</v>
      </c>
      <c r="C11" s="39" t="s">
        <v>4475</v>
      </c>
      <c r="D11" s="40" t="s">
        <v>4476</v>
      </c>
      <c r="E11" s="26" t="s">
        <v>4474</v>
      </c>
      <c r="F11" s="26"/>
      <c r="G11" s="26"/>
      <c r="H11" s="26"/>
      <c r="I11" s="114"/>
      <c r="J11" s="26"/>
      <c r="K11" s="26"/>
      <c r="L11" s="26"/>
      <c r="M11" s="26"/>
      <c r="N11" s="26"/>
      <c r="O11" s="26"/>
      <c r="P11" s="26"/>
      <c r="Q11" s="115" t="s">
        <v>4471</v>
      </c>
    </row>
    <row r="12" spans="1:39" ht="15">
      <c r="A12" s="252"/>
      <c r="B12" s="253"/>
      <c r="C12" s="253"/>
      <c r="D12" s="254"/>
      <c r="E12" s="252"/>
      <c r="F12" s="252" t="s">
        <v>94</v>
      </c>
      <c r="G12" s="252" t="s">
        <v>4477</v>
      </c>
      <c r="H12" s="252" t="s">
        <v>4478</v>
      </c>
      <c r="I12" s="395" t="s">
        <v>4476</v>
      </c>
      <c r="J12" s="396" t="s">
        <v>30</v>
      </c>
      <c r="K12" s="396" t="s">
        <v>4479</v>
      </c>
      <c r="L12" s="396" t="s">
        <v>4480</v>
      </c>
      <c r="M12" s="252" t="s">
        <v>4444</v>
      </c>
      <c r="N12" s="395" t="s">
        <v>15</v>
      </c>
      <c r="O12" s="396" t="s">
        <v>4481</v>
      </c>
      <c r="P12" s="396" t="s">
        <v>30</v>
      </c>
      <c r="Q12" s="284"/>
    </row>
    <row r="13" spans="1:39" s="18" customFormat="1" ht="33.75">
      <c r="A13" s="26" t="s">
        <v>141</v>
      </c>
      <c r="B13" s="39" t="s">
        <v>4468</v>
      </c>
      <c r="C13" s="39" t="s">
        <v>4482</v>
      </c>
      <c r="D13" s="40" t="s">
        <v>4483</v>
      </c>
      <c r="E13" s="26" t="s">
        <v>4484</v>
      </c>
      <c r="F13" s="26"/>
      <c r="G13" s="26"/>
      <c r="H13" s="26"/>
      <c r="I13" s="114"/>
      <c r="J13" s="26"/>
      <c r="K13" s="26"/>
      <c r="L13" s="26"/>
      <c r="M13" s="26"/>
      <c r="N13" s="26"/>
      <c r="O13" s="26" t="s">
        <v>15</v>
      </c>
      <c r="P13" s="26" t="s">
        <v>15</v>
      </c>
      <c r="Q13" s="115" t="s">
        <v>4471</v>
      </c>
    </row>
    <row r="14" spans="1:39" s="18" customFormat="1" ht="12.95" customHeight="1">
      <c r="A14" s="149"/>
      <c r="B14" s="27"/>
      <c r="C14" s="27"/>
      <c r="D14" s="30"/>
      <c r="E14" s="27"/>
      <c r="F14" s="27" t="s">
        <v>30</v>
      </c>
      <c r="G14" s="27" t="s">
        <v>4477</v>
      </c>
      <c r="H14" s="27" t="s">
        <v>94</v>
      </c>
      <c r="I14" s="116" t="s">
        <v>4485</v>
      </c>
      <c r="J14" s="27" t="s">
        <v>30</v>
      </c>
      <c r="K14" s="27" t="s">
        <v>2253</v>
      </c>
      <c r="L14" s="27" t="s">
        <v>4486</v>
      </c>
      <c r="M14" s="27" t="s">
        <v>4444</v>
      </c>
      <c r="N14" s="27"/>
      <c r="O14" s="27" t="s">
        <v>4467</v>
      </c>
      <c r="P14" s="27" t="s">
        <v>94</v>
      </c>
      <c r="Q14" s="27"/>
    </row>
    <row r="15" spans="1:39" s="18" customFormat="1" ht="12.95" customHeight="1">
      <c r="A15" s="27"/>
      <c r="B15" s="27"/>
      <c r="C15" s="27"/>
      <c r="D15" s="30"/>
      <c r="E15" s="27"/>
      <c r="F15" s="27" t="s">
        <v>33</v>
      </c>
      <c r="G15" s="27" t="s">
        <v>4487</v>
      </c>
      <c r="H15" s="27" t="s">
        <v>4478</v>
      </c>
      <c r="I15" s="116" t="s">
        <v>4488</v>
      </c>
      <c r="J15" s="27" t="s">
        <v>30</v>
      </c>
      <c r="K15" s="27" t="s">
        <v>2253</v>
      </c>
      <c r="L15" s="27" t="s">
        <v>4489</v>
      </c>
      <c r="M15" s="27" t="s">
        <v>4444</v>
      </c>
      <c r="N15" s="27"/>
      <c r="O15" s="27" t="s">
        <v>4467</v>
      </c>
      <c r="P15" s="27" t="s">
        <v>94</v>
      </c>
      <c r="Q15" s="27"/>
    </row>
    <row r="16" spans="1:39" s="18" customFormat="1" ht="12.95" customHeight="1">
      <c r="A16" s="27"/>
      <c r="B16" s="27"/>
      <c r="C16" s="27"/>
      <c r="D16" s="30"/>
      <c r="E16" s="27"/>
      <c r="F16" s="27" t="s">
        <v>36</v>
      </c>
      <c r="G16" s="27" t="s">
        <v>4490</v>
      </c>
      <c r="H16" s="27" t="s">
        <v>566</v>
      </c>
      <c r="I16" s="116" t="s">
        <v>4491</v>
      </c>
      <c r="J16" s="27" t="s">
        <v>94</v>
      </c>
      <c r="K16" s="27" t="s">
        <v>4490</v>
      </c>
      <c r="L16" s="27" t="s">
        <v>4492</v>
      </c>
      <c r="M16" s="27" t="s">
        <v>4444</v>
      </c>
      <c r="N16" s="27"/>
      <c r="O16" s="27" t="s">
        <v>4467</v>
      </c>
      <c r="P16" s="27" t="s">
        <v>94</v>
      </c>
      <c r="Q16" s="27"/>
    </row>
    <row r="17" spans="1:17" s="18" customFormat="1" ht="12.95" customHeight="1">
      <c r="A17" s="27"/>
      <c r="B17" s="27"/>
      <c r="C17" s="27"/>
      <c r="D17" s="30"/>
      <c r="E17" s="27"/>
      <c r="F17" s="27" t="s">
        <v>38</v>
      </c>
      <c r="G17" s="27" t="s">
        <v>4493</v>
      </c>
      <c r="H17" s="27" t="s">
        <v>4494</v>
      </c>
      <c r="I17" s="116" t="s">
        <v>4495</v>
      </c>
      <c r="J17" s="27" t="s">
        <v>33</v>
      </c>
      <c r="K17" s="27" t="s">
        <v>2021</v>
      </c>
      <c r="L17" s="27" t="s">
        <v>4496</v>
      </c>
      <c r="M17" s="27" t="s">
        <v>4444</v>
      </c>
      <c r="N17" s="27"/>
      <c r="O17" s="27" t="s">
        <v>4467</v>
      </c>
      <c r="P17" s="27" t="s">
        <v>94</v>
      </c>
      <c r="Q17" s="27"/>
    </row>
    <row r="18" spans="1:17" s="18" customFormat="1" ht="12.95" customHeight="1">
      <c r="A18" s="27"/>
      <c r="B18" s="27"/>
      <c r="C18" s="27"/>
      <c r="D18" s="30"/>
      <c r="E18" s="27"/>
      <c r="F18" s="27" t="s">
        <v>40</v>
      </c>
      <c r="G18" s="27" t="s">
        <v>4497</v>
      </c>
      <c r="H18" s="27" t="s">
        <v>4498</v>
      </c>
      <c r="I18" s="116" t="s">
        <v>4499</v>
      </c>
      <c r="J18" s="27" t="s">
        <v>33</v>
      </c>
      <c r="K18" s="27" t="s">
        <v>1881</v>
      </c>
      <c r="L18" s="27" t="s">
        <v>4500</v>
      </c>
      <c r="M18" s="27" t="s">
        <v>4444</v>
      </c>
      <c r="N18" s="27"/>
      <c r="O18" s="27" t="s">
        <v>4467</v>
      </c>
      <c r="P18" s="27" t="s">
        <v>94</v>
      </c>
      <c r="Q18" s="27"/>
    </row>
    <row r="19" spans="1:17" ht="12.95" customHeight="1">
      <c r="A19" s="252" t="s">
        <v>4501</v>
      </c>
      <c r="B19" s="253" t="s">
        <v>4502</v>
      </c>
      <c r="C19" s="253" t="s">
        <v>4503</v>
      </c>
      <c r="D19" s="254" t="s">
        <v>4504</v>
      </c>
      <c r="E19" s="252" t="s">
        <v>566</v>
      </c>
      <c r="F19" s="252"/>
      <c r="G19" s="252"/>
      <c r="H19" s="252"/>
      <c r="I19" s="247"/>
      <c r="J19" s="254"/>
      <c r="K19" s="254"/>
      <c r="L19" s="254"/>
      <c r="M19" s="252"/>
      <c r="N19" s="252"/>
      <c r="O19" s="252"/>
      <c r="P19" s="252"/>
      <c r="Q19" s="252"/>
    </row>
    <row r="20" spans="1:17" ht="12.95" customHeight="1">
      <c r="A20" s="252"/>
      <c r="B20" s="253"/>
      <c r="C20" s="253"/>
      <c r="D20" s="254"/>
      <c r="E20" s="252"/>
      <c r="F20" s="252" t="s">
        <v>94</v>
      </c>
      <c r="G20" s="252" t="s">
        <v>4477</v>
      </c>
      <c r="H20" s="252" t="s">
        <v>4505</v>
      </c>
      <c r="I20" s="247" t="s">
        <v>4504</v>
      </c>
      <c r="J20" s="254"/>
      <c r="K20" s="254"/>
      <c r="L20" s="254"/>
      <c r="M20" s="252" t="s">
        <v>161</v>
      </c>
      <c r="N20" s="252"/>
      <c r="O20" s="328" t="s">
        <v>4467</v>
      </c>
      <c r="P20" s="328" t="s">
        <v>94</v>
      </c>
      <c r="Q20" s="252"/>
    </row>
    <row r="21" spans="1:17" ht="12.95" customHeight="1">
      <c r="A21" s="252" t="s">
        <v>4484</v>
      </c>
      <c r="B21" s="253" t="s">
        <v>4468</v>
      </c>
      <c r="C21" s="253" t="s">
        <v>4506</v>
      </c>
      <c r="D21" s="254" t="s">
        <v>4507</v>
      </c>
      <c r="E21" s="252" t="s">
        <v>40</v>
      </c>
      <c r="F21" s="252"/>
      <c r="G21" s="252"/>
      <c r="H21" s="252"/>
      <c r="I21" s="247"/>
      <c r="J21" s="254"/>
      <c r="K21" s="254"/>
      <c r="L21" s="254"/>
      <c r="M21" s="252"/>
      <c r="N21" s="252"/>
      <c r="O21" s="252"/>
      <c r="P21" s="252"/>
      <c r="Q21" s="252"/>
    </row>
    <row r="22" spans="1:17" ht="12.95" customHeight="1">
      <c r="A22" s="252"/>
      <c r="B22" s="253"/>
      <c r="C22" s="253"/>
      <c r="D22" s="254"/>
      <c r="E22" s="252"/>
      <c r="F22" s="252" t="s">
        <v>30</v>
      </c>
      <c r="G22" s="252" t="s">
        <v>46</v>
      </c>
      <c r="H22" s="252" t="s">
        <v>30</v>
      </c>
      <c r="I22" s="247" t="s">
        <v>4508</v>
      </c>
      <c r="J22" s="254" t="s">
        <v>30</v>
      </c>
      <c r="K22" s="254" t="s">
        <v>44</v>
      </c>
      <c r="L22" s="254"/>
      <c r="M22" s="252" t="s">
        <v>4444</v>
      </c>
      <c r="N22" s="357" t="s">
        <v>4509</v>
      </c>
      <c r="O22" s="252" t="s">
        <v>33</v>
      </c>
      <c r="P22" s="252" t="s">
        <v>30</v>
      </c>
      <c r="Q22" s="252"/>
    </row>
    <row r="23" spans="1:17" ht="12.95" customHeight="1">
      <c r="A23" s="252"/>
      <c r="B23" s="253"/>
      <c r="C23" s="253"/>
      <c r="D23" s="254"/>
      <c r="E23" s="252"/>
      <c r="F23" s="252" t="s">
        <v>33</v>
      </c>
      <c r="G23" s="252" t="s">
        <v>103</v>
      </c>
      <c r="H23" s="252" t="s">
        <v>1847</v>
      </c>
      <c r="I23" s="247" t="s">
        <v>4510</v>
      </c>
      <c r="J23" s="254" t="s">
        <v>30</v>
      </c>
      <c r="K23" s="254" t="s">
        <v>3686</v>
      </c>
      <c r="L23" s="254" t="s">
        <v>4511</v>
      </c>
      <c r="M23" s="252" t="s">
        <v>4444</v>
      </c>
      <c r="N23" s="252"/>
      <c r="O23" s="252" t="s">
        <v>4512</v>
      </c>
      <c r="P23" s="252" t="s">
        <v>30</v>
      </c>
      <c r="Q23" s="252"/>
    </row>
    <row r="24" spans="1:17" ht="12.95" customHeight="1">
      <c r="A24" s="252"/>
      <c r="B24" s="253"/>
      <c r="C24" s="253"/>
      <c r="D24" s="254"/>
      <c r="E24" s="252"/>
      <c r="F24" s="252" t="s">
        <v>36</v>
      </c>
      <c r="G24" s="252" t="s">
        <v>1989</v>
      </c>
      <c r="H24" s="252" t="s">
        <v>1923</v>
      </c>
      <c r="I24" s="247" t="s">
        <v>4513</v>
      </c>
      <c r="J24" s="252" t="s">
        <v>30</v>
      </c>
      <c r="K24" s="252" t="s">
        <v>2394</v>
      </c>
      <c r="L24" s="252" t="s">
        <v>4514</v>
      </c>
      <c r="M24" s="252" t="s">
        <v>4444</v>
      </c>
      <c r="N24" s="252"/>
      <c r="O24" s="252" t="s">
        <v>33</v>
      </c>
      <c r="P24" s="252" t="s">
        <v>30</v>
      </c>
      <c r="Q24" s="252"/>
    </row>
    <row r="25" spans="1:17" ht="12.95" customHeight="1">
      <c r="A25" s="252"/>
      <c r="B25" s="253"/>
      <c r="C25" s="253"/>
      <c r="D25" s="254"/>
      <c r="E25" s="252"/>
      <c r="F25" s="252" t="s">
        <v>38</v>
      </c>
      <c r="G25" s="252" t="s">
        <v>1993</v>
      </c>
      <c r="H25" s="252" t="s">
        <v>1993</v>
      </c>
      <c r="I25" s="247" t="s">
        <v>4515</v>
      </c>
      <c r="J25" s="252" t="s">
        <v>30</v>
      </c>
      <c r="K25" s="252" t="s">
        <v>33</v>
      </c>
      <c r="L25" s="254"/>
      <c r="M25" s="252" t="s">
        <v>4444</v>
      </c>
      <c r="N25" s="252" t="s">
        <v>4516</v>
      </c>
      <c r="O25" s="252" t="s">
        <v>33</v>
      </c>
      <c r="P25" s="252" t="s">
        <v>30</v>
      </c>
      <c r="Q25" s="252"/>
    </row>
    <row r="26" spans="1:17" s="18" customFormat="1" ht="12.95" customHeight="1">
      <c r="A26" s="252" t="s">
        <v>4517</v>
      </c>
      <c r="B26" s="253" t="s">
        <v>4468</v>
      </c>
      <c r="C26" s="262" t="s">
        <v>4518</v>
      </c>
      <c r="D26" s="254" t="s">
        <v>4519</v>
      </c>
      <c r="E26" s="252" t="s">
        <v>1923</v>
      </c>
      <c r="F26" s="252"/>
      <c r="G26" s="252"/>
      <c r="H26" s="252"/>
      <c r="I26" s="149"/>
      <c r="J26" s="252"/>
      <c r="K26" s="252"/>
      <c r="L26" s="252"/>
      <c r="M26" s="252"/>
      <c r="N26" s="252"/>
      <c r="O26" s="252"/>
      <c r="P26" s="252"/>
      <c r="Q26" s="252"/>
    </row>
    <row r="27" spans="1:17" s="18" customFormat="1" ht="12.95" customHeight="1">
      <c r="A27" s="252"/>
      <c r="B27" s="253"/>
      <c r="C27" s="262"/>
      <c r="D27" s="254"/>
      <c r="E27" s="252"/>
      <c r="F27" s="252" t="s">
        <v>30</v>
      </c>
      <c r="G27" s="252" t="s">
        <v>46</v>
      </c>
      <c r="H27" s="252" t="s">
        <v>30</v>
      </c>
      <c r="I27" s="149" t="s">
        <v>4520</v>
      </c>
      <c r="J27" s="252" t="s">
        <v>30</v>
      </c>
      <c r="K27" s="252" t="s">
        <v>2253</v>
      </c>
      <c r="L27" s="252" t="s">
        <v>4486</v>
      </c>
      <c r="M27" s="252" t="s">
        <v>4444</v>
      </c>
      <c r="N27" s="252"/>
      <c r="O27" s="252" t="s">
        <v>33</v>
      </c>
      <c r="P27" s="252" t="s">
        <v>30</v>
      </c>
      <c r="Q27" s="252"/>
    </row>
    <row r="28" spans="1:17" ht="12.95" customHeight="1">
      <c r="A28" s="252"/>
      <c r="B28" s="253"/>
      <c r="C28" s="262"/>
      <c r="D28" s="254"/>
      <c r="E28" s="252"/>
      <c r="F28" s="252" t="s">
        <v>33</v>
      </c>
      <c r="G28" s="252" t="s">
        <v>103</v>
      </c>
      <c r="H28" s="252" t="s">
        <v>1847</v>
      </c>
      <c r="I28" s="149" t="s">
        <v>4521</v>
      </c>
      <c r="J28" s="252" t="s">
        <v>30</v>
      </c>
      <c r="K28" s="252" t="s">
        <v>2253</v>
      </c>
      <c r="L28" s="252" t="s">
        <v>4489</v>
      </c>
      <c r="M28" s="252" t="s">
        <v>4444</v>
      </c>
      <c r="N28" s="252"/>
      <c r="O28" s="252" t="s">
        <v>33</v>
      </c>
      <c r="P28" s="252" t="s">
        <v>30</v>
      </c>
      <c r="Q28" s="252"/>
    </row>
    <row r="29" spans="1:17" ht="12.95" customHeight="1">
      <c r="A29" s="252"/>
      <c r="B29" s="253"/>
      <c r="C29" s="262"/>
      <c r="D29" s="254"/>
      <c r="E29" s="252"/>
      <c r="F29" s="252" t="s">
        <v>36</v>
      </c>
      <c r="G29" s="252" t="s">
        <v>1989</v>
      </c>
      <c r="H29" s="252" t="s">
        <v>1923</v>
      </c>
      <c r="I29" s="149" t="s">
        <v>4522</v>
      </c>
      <c r="J29" s="252" t="s">
        <v>30</v>
      </c>
      <c r="K29" s="252" t="s">
        <v>1989</v>
      </c>
      <c r="L29" s="252" t="s">
        <v>4492</v>
      </c>
      <c r="M29" s="252" t="s">
        <v>4444</v>
      </c>
      <c r="N29" s="252"/>
      <c r="O29" s="252" t="s">
        <v>33</v>
      </c>
      <c r="P29" s="252" t="s">
        <v>30</v>
      </c>
      <c r="Q29" s="252"/>
    </row>
    <row r="30" spans="1:17" ht="12.95" customHeight="1">
      <c r="A30" s="252"/>
      <c r="B30" s="253"/>
      <c r="C30" s="262"/>
      <c r="D30" s="254"/>
      <c r="E30" s="252"/>
      <c r="F30" s="252" t="s">
        <v>38</v>
      </c>
      <c r="G30" s="252" t="s">
        <v>2021</v>
      </c>
      <c r="H30" s="252" t="s">
        <v>1993</v>
      </c>
      <c r="I30" s="149" t="s">
        <v>4523</v>
      </c>
      <c r="J30" s="252" t="s">
        <v>33</v>
      </c>
      <c r="K30" s="252" t="s">
        <v>2021</v>
      </c>
      <c r="L30" s="252" t="s">
        <v>4496</v>
      </c>
      <c r="M30" s="252" t="s">
        <v>4444</v>
      </c>
      <c r="N30" s="252"/>
      <c r="O30" s="252" t="s">
        <v>33</v>
      </c>
      <c r="P30" s="252" t="s">
        <v>30</v>
      </c>
      <c r="Q30" s="252"/>
    </row>
    <row r="31" spans="1:17" ht="12.95" customHeight="1">
      <c r="A31" s="252"/>
      <c r="B31" s="253"/>
      <c r="C31" s="262"/>
      <c r="D31" s="254"/>
      <c r="E31" s="252"/>
      <c r="F31" s="252" t="s">
        <v>40</v>
      </c>
      <c r="G31" s="252" t="s">
        <v>2102</v>
      </c>
      <c r="H31" s="252" t="s">
        <v>2025</v>
      </c>
      <c r="I31" s="149" t="s">
        <v>4524</v>
      </c>
      <c r="J31" s="252" t="s">
        <v>33</v>
      </c>
      <c r="K31" s="252" t="s">
        <v>1881</v>
      </c>
      <c r="L31" s="252" t="s">
        <v>4500</v>
      </c>
      <c r="M31" s="252" t="s">
        <v>4444</v>
      </c>
      <c r="N31" s="252"/>
      <c r="O31" s="252" t="s">
        <v>33</v>
      </c>
      <c r="P31" s="252" t="s">
        <v>30</v>
      </c>
      <c r="Q31" s="252"/>
    </row>
    <row r="32" spans="1:17" ht="12.95" customHeight="1">
      <c r="A32" s="252"/>
      <c r="B32" s="253"/>
      <c r="C32" s="262"/>
      <c r="D32" s="254"/>
      <c r="E32" s="252"/>
      <c r="F32" s="252" t="s">
        <v>42</v>
      </c>
      <c r="G32" s="252" t="s">
        <v>2177</v>
      </c>
      <c r="H32" s="252" t="s">
        <v>1806</v>
      </c>
      <c r="I32" s="149" t="s">
        <v>4525</v>
      </c>
      <c r="J32" s="252" t="s">
        <v>30</v>
      </c>
      <c r="K32" s="252" t="s">
        <v>3686</v>
      </c>
      <c r="L32" s="252"/>
      <c r="M32" s="252" t="s">
        <v>4444</v>
      </c>
      <c r="N32" s="252"/>
      <c r="O32" s="252" t="s">
        <v>33</v>
      </c>
      <c r="P32" s="252" t="s">
        <v>30</v>
      </c>
      <c r="Q32" s="252"/>
    </row>
    <row r="33" spans="1:17" ht="12.95" customHeight="1">
      <c r="A33" s="252"/>
      <c r="B33" s="253"/>
      <c r="C33" s="262"/>
      <c r="D33" s="254"/>
      <c r="E33" s="252"/>
      <c r="F33" s="252" t="s">
        <v>44</v>
      </c>
      <c r="G33" s="252" t="s">
        <v>2229</v>
      </c>
      <c r="H33" s="252" t="s">
        <v>2187</v>
      </c>
      <c r="I33" s="149" t="s">
        <v>4526</v>
      </c>
      <c r="J33" s="252" t="s">
        <v>30</v>
      </c>
      <c r="K33" s="252" t="s">
        <v>3686</v>
      </c>
      <c r="L33" s="252"/>
      <c r="M33" s="252" t="s">
        <v>4444</v>
      </c>
      <c r="N33" s="252"/>
      <c r="O33" s="252" t="s">
        <v>33</v>
      </c>
      <c r="P33" s="252" t="s">
        <v>30</v>
      </c>
      <c r="Q33" s="252"/>
    </row>
    <row r="34" spans="1:17" ht="12.95" customHeight="1">
      <c r="A34" s="252"/>
      <c r="B34" s="253"/>
      <c r="C34" s="262"/>
      <c r="D34" s="254"/>
      <c r="E34" s="252"/>
      <c r="F34" s="252" t="s">
        <v>46</v>
      </c>
      <c r="G34" s="252" t="s">
        <v>2262</v>
      </c>
      <c r="H34" s="252" t="s">
        <v>2236</v>
      </c>
      <c r="I34" s="149" t="s">
        <v>4527</v>
      </c>
      <c r="J34" s="252" t="s">
        <v>30</v>
      </c>
      <c r="K34" s="252" t="s">
        <v>3686</v>
      </c>
      <c r="L34" s="252"/>
      <c r="M34" s="252" t="s">
        <v>4444</v>
      </c>
      <c r="N34" s="252"/>
      <c r="O34" s="252" t="s">
        <v>33</v>
      </c>
      <c r="P34" s="252" t="s">
        <v>30</v>
      </c>
      <c r="Q34" s="252"/>
    </row>
    <row r="35" spans="1:17" ht="12.95" customHeight="1">
      <c r="A35" s="252"/>
      <c r="B35" s="253"/>
      <c r="C35" s="262"/>
      <c r="D35" s="254"/>
      <c r="E35" s="252"/>
      <c r="F35" s="252" t="s">
        <v>1847</v>
      </c>
      <c r="G35" s="252" t="s">
        <v>2292</v>
      </c>
      <c r="H35" s="252" t="s">
        <v>113</v>
      </c>
      <c r="I35" s="149" t="s">
        <v>4528</v>
      </c>
      <c r="J35" s="252" t="s">
        <v>30</v>
      </c>
      <c r="K35" s="252" t="s">
        <v>3686</v>
      </c>
      <c r="L35" s="252"/>
      <c r="M35" s="252" t="s">
        <v>4444</v>
      </c>
      <c r="N35" s="252"/>
      <c r="O35" s="252" t="s">
        <v>33</v>
      </c>
      <c r="P35" s="252" t="s">
        <v>30</v>
      </c>
      <c r="Q35" s="252"/>
    </row>
    <row r="36" spans="1:17" ht="12.95" customHeight="1">
      <c r="A36" s="252"/>
      <c r="B36" s="253"/>
      <c r="C36" s="262"/>
      <c r="D36" s="254"/>
      <c r="E36" s="252"/>
      <c r="F36" s="252" t="s">
        <v>1850</v>
      </c>
      <c r="G36" s="252" t="s">
        <v>2324</v>
      </c>
      <c r="H36" s="252" t="s">
        <v>2296</v>
      </c>
      <c r="I36" s="149" t="s">
        <v>4529</v>
      </c>
      <c r="J36" s="252" t="s">
        <v>30</v>
      </c>
      <c r="K36" s="252" t="s">
        <v>3686</v>
      </c>
      <c r="L36" s="252"/>
      <c r="M36" s="252" t="s">
        <v>4444</v>
      </c>
      <c r="N36" s="252"/>
      <c r="O36" s="252" t="s">
        <v>33</v>
      </c>
      <c r="P36" s="252" t="s">
        <v>30</v>
      </c>
      <c r="Q36" s="252"/>
    </row>
    <row r="37" spans="1:17" ht="12.95" customHeight="1">
      <c r="A37" s="252"/>
      <c r="B37" s="253"/>
      <c r="C37" s="262"/>
      <c r="D37" s="254"/>
      <c r="E37" s="252"/>
      <c r="F37" s="252" t="s">
        <v>1861</v>
      </c>
      <c r="G37" s="252" t="s">
        <v>2352</v>
      </c>
      <c r="H37" s="252" t="s">
        <v>2328</v>
      </c>
      <c r="I37" s="149" t="s">
        <v>4530</v>
      </c>
      <c r="J37" s="252" t="s">
        <v>30</v>
      </c>
      <c r="K37" s="252" t="s">
        <v>3686</v>
      </c>
      <c r="L37" s="252"/>
      <c r="M37" s="252" t="s">
        <v>4444</v>
      </c>
      <c r="N37" s="252"/>
      <c r="O37" s="252" t="s">
        <v>33</v>
      </c>
      <c r="P37" s="252" t="s">
        <v>30</v>
      </c>
      <c r="Q37" s="252"/>
    </row>
    <row r="38" spans="1:17" ht="12.95" customHeight="1">
      <c r="A38" s="252"/>
      <c r="B38" s="253"/>
      <c r="C38" s="262"/>
      <c r="D38" s="254"/>
      <c r="E38" s="252"/>
      <c r="F38" s="252" t="s">
        <v>1871</v>
      </c>
      <c r="G38" s="252" t="s">
        <v>2378</v>
      </c>
      <c r="H38" s="252" t="s">
        <v>2355</v>
      </c>
      <c r="I38" s="149" t="s">
        <v>4531</v>
      </c>
      <c r="J38" s="252" t="s">
        <v>30</v>
      </c>
      <c r="K38" s="252" t="s">
        <v>3686</v>
      </c>
      <c r="L38" s="252"/>
      <c r="M38" s="252" t="s">
        <v>4444</v>
      </c>
      <c r="N38" s="252"/>
      <c r="O38" s="252" t="s">
        <v>33</v>
      </c>
      <c r="P38" s="252" t="s">
        <v>30</v>
      </c>
      <c r="Q38" s="252"/>
    </row>
    <row r="39" spans="1:17" s="18" customFormat="1" ht="12.95" customHeight="1">
      <c r="A39" s="252"/>
      <c r="B39" s="253"/>
      <c r="C39" s="262"/>
      <c r="D39" s="254"/>
      <c r="E39" s="252"/>
      <c r="F39" s="252" t="s">
        <v>1881</v>
      </c>
      <c r="G39" s="252" t="s">
        <v>2407</v>
      </c>
      <c r="H39" s="252" t="s">
        <v>2382</v>
      </c>
      <c r="I39" s="18" t="s">
        <v>4532</v>
      </c>
      <c r="J39" s="252" t="s">
        <v>30</v>
      </c>
      <c r="K39" s="252" t="s">
        <v>3686</v>
      </c>
      <c r="L39" s="252"/>
      <c r="M39" s="252" t="s">
        <v>4444</v>
      </c>
      <c r="N39" s="252"/>
      <c r="O39" s="252" t="s">
        <v>33</v>
      </c>
      <c r="P39" s="252" t="s">
        <v>30</v>
      </c>
      <c r="Q39" s="252"/>
    </row>
    <row r="40" spans="1:17" s="18" customFormat="1" ht="12.95" customHeight="1">
      <c r="A40" s="252"/>
      <c r="B40" s="253"/>
      <c r="C40" s="262"/>
      <c r="D40" s="254"/>
      <c r="E40" s="252"/>
      <c r="F40" s="252" t="s">
        <v>1891</v>
      </c>
      <c r="G40" s="252" t="s">
        <v>2450</v>
      </c>
      <c r="H40" s="252" t="s">
        <v>2418</v>
      </c>
      <c r="I40" s="149" t="s">
        <v>4533</v>
      </c>
      <c r="J40" s="252" t="s">
        <v>30</v>
      </c>
      <c r="K40" s="252" t="s">
        <v>3686</v>
      </c>
      <c r="L40" s="252"/>
      <c r="M40" s="252" t="s">
        <v>4444</v>
      </c>
      <c r="N40" s="252"/>
      <c r="O40" s="252" t="s">
        <v>33</v>
      </c>
      <c r="P40" s="252" t="s">
        <v>30</v>
      </c>
      <c r="Q40" s="252"/>
    </row>
    <row r="41" spans="1:17" ht="12.95" customHeight="1">
      <c r="A41" s="252"/>
      <c r="B41" s="253"/>
      <c r="C41" s="262"/>
      <c r="D41" s="254"/>
      <c r="E41" s="252"/>
      <c r="F41" s="252" t="s">
        <v>1902</v>
      </c>
      <c r="G41" s="252" t="s">
        <v>2521</v>
      </c>
      <c r="H41" s="252" t="s">
        <v>2453</v>
      </c>
      <c r="I41" s="149" t="s">
        <v>4534</v>
      </c>
      <c r="J41" s="252" t="s">
        <v>30</v>
      </c>
      <c r="K41" s="252" t="s">
        <v>3686</v>
      </c>
      <c r="L41" s="252"/>
      <c r="M41" s="252" t="s">
        <v>4444</v>
      </c>
      <c r="N41" s="252"/>
      <c r="O41" s="252" t="s">
        <v>33</v>
      </c>
      <c r="P41" s="252" t="s">
        <v>30</v>
      </c>
      <c r="Q41" s="252"/>
    </row>
    <row r="42" spans="1:17" ht="12.95" customHeight="1">
      <c r="A42" s="252"/>
      <c r="B42" s="253"/>
      <c r="C42" s="262"/>
      <c r="D42" s="254"/>
      <c r="E42" s="252"/>
      <c r="F42" s="252" t="s">
        <v>103</v>
      </c>
      <c r="G42" s="252" t="s">
        <v>2567</v>
      </c>
      <c r="H42" s="252" t="s">
        <v>2527</v>
      </c>
      <c r="I42" s="149" t="s">
        <v>4535</v>
      </c>
      <c r="J42" s="252" t="s">
        <v>30</v>
      </c>
      <c r="K42" s="252" t="s">
        <v>3686</v>
      </c>
      <c r="L42" s="252"/>
      <c r="M42" s="252" t="s">
        <v>4444</v>
      </c>
      <c r="N42" s="252"/>
      <c r="O42" s="252" t="s">
        <v>33</v>
      </c>
      <c r="P42" s="252" t="s">
        <v>30</v>
      </c>
      <c r="Q42" s="252"/>
    </row>
    <row r="43" spans="1:17" ht="12.95" customHeight="1">
      <c r="A43" s="27"/>
      <c r="B43" s="28"/>
      <c r="C43" s="28"/>
      <c r="D43" s="30"/>
      <c r="E43" s="27"/>
      <c r="F43" s="27"/>
      <c r="G43" s="27"/>
      <c r="H43" s="27"/>
      <c r="I43" s="116"/>
      <c r="J43" s="27"/>
      <c r="K43" s="27"/>
      <c r="L43" s="27"/>
      <c r="M43" s="27"/>
      <c r="N43" s="27"/>
      <c r="O43" s="27"/>
      <c r="P43" s="27"/>
      <c r="Q43" s="27"/>
    </row>
    <row r="44" spans="1:17" ht="12.95" customHeight="1">
      <c r="A44" s="27"/>
      <c r="B44" s="28"/>
      <c r="C44" s="28"/>
      <c r="D44" s="30"/>
      <c r="E44" s="27"/>
      <c r="F44" s="27"/>
      <c r="G44" s="27"/>
      <c r="H44" s="27"/>
      <c r="I44" s="116"/>
      <c r="J44" s="27"/>
      <c r="K44" s="27"/>
      <c r="L44" s="27"/>
      <c r="M44" s="27"/>
      <c r="N44" s="27"/>
      <c r="O44" s="27"/>
      <c r="P44" s="27"/>
      <c r="Q44" s="27"/>
    </row>
    <row r="45" spans="1:17" ht="12.95" customHeight="1">
      <c r="A45" s="27"/>
      <c r="B45" s="28"/>
      <c r="C45" s="28"/>
      <c r="D45" s="30"/>
      <c r="E45" s="27"/>
      <c r="F45" s="27"/>
      <c r="G45" s="27"/>
      <c r="H45" s="27"/>
      <c r="I45" s="116"/>
      <c r="J45" s="27"/>
      <c r="K45" s="27"/>
      <c r="L45" s="27"/>
      <c r="M45" s="27"/>
      <c r="N45" s="27"/>
      <c r="O45" s="27"/>
      <c r="P45" s="27"/>
      <c r="Q45" s="27"/>
    </row>
    <row r="46" spans="1:17" ht="12.95" customHeight="1">
      <c r="A46" s="27"/>
      <c r="B46" s="28"/>
      <c r="C46" s="28"/>
      <c r="D46" s="30"/>
      <c r="E46" s="27"/>
      <c r="F46" s="27"/>
      <c r="G46" s="27"/>
      <c r="H46" s="27"/>
      <c r="I46" s="116"/>
      <c r="J46" s="30"/>
      <c r="K46" s="30"/>
      <c r="L46" s="30"/>
      <c r="M46" s="27"/>
      <c r="N46" s="27"/>
      <c r="O46" s="27"/>
      <c r="P46" s="27"/>
      <c r="Q46" s="27"/>
    </row>
    <row r="47" spans="1:17" ht="12.95" customHeight="1">
      <c r="A47" s="27"/>
      <c r="B47" s="28"/>
      <c r="C47" s="28"/>
      <c r="D47" s="30"/>
      <c r="E47" s="27"/>
      <c r="F47" s="27"/>
      <c r="G47" s="27"/>
      <c r="H47" s="27"/>
      <c r="I47" s="116"/>
      <c r="J47" s="30"/>
      <c r="K47" s="30"/>
      <c r="L47" s="30"/>
      <c r="M47" s="27"/>
      <c r="N47" s="27"/>
      <c r="O47" s="27"/>
      <c r="P47" s="27"/>
      <c r="Q47" s="27"/>
    </row>
    <row r="48" spans="1:17" ht="12.95" customHeight="1">
      <c r="A48" s="27"/>
      <c r="B48" s="28"/>
      <c r="C48" s="28"/>
      <c r="D48" s="30"/>
      <c r="E48" s="27"/>
      <c r="F48" s="27"/>
      <c r="G48" s="27"/>
      <c r="H48" s="27"/>
      <c r="I48" s="116"/>
      <c r="J48" s="30"/>
      <c r="K48" s="30"/>
      <c r="L48" s="30"/>
      <c r="M48" s="27"/>
      <c r="N48" s="27"/>
      <c r="O48" s="27"/>
      <c r="P48" s="27"/>
      <c r="Q48" s="27"/>
    </row>
    <row r="49" spans="1:17" ht="12.95" customHeight="1">
      <c r="A49" s="27"/>
      <c r="B49" s="28"/>
      <c r="C49" s="28"/>
      <c r="D49" s="30"/>
      <c r="E49" s="27"/>
      <c r="F49" s="27"/>
      <c r="G49" s="27"/>
      <c r="H49" s="27"/>
      <c r="I49" s="116"/>
      <c r="J49" s="30"/>
      <c r="K49" s="30"/>
      <c r="L49" s="30"/>
      <c r="M49" s="27"/>
      <c r="N49" s="27"/>
      <c r="O49" s="27"/>
      <c r="P49" s="27"/>
      <c r="Q49" s="27"/>
    </row>
    <row r="50" spans="1:17" ht="12.95" customHeight="1">
      <c r="A50" s="27"/>
      <c r="B50" s="28"/>
      <c r="C50" s="28"/>
      <c r="D50" s="30"/>
      <c r="E50" s="27"/>
      <c r="F50" s="27"/>
      <c r="G50" s="27"/>
      <c r="H50" s="27"/>
      <c r="I50" s="116"/>
      <c r="J50" s="30"/>
      <c r="K50" s="30"/>
      <c r="L50" s="30"/>
      <c r="M50" s="27"/>
      <c r="N50" s="27"/>
      <c r="O50" s="27"/>
      <c r="P50" s="27"/>
      <c r="Q50" s="27"/>
    </row>
    <row r="51" spans="1:17" ht="12.95" customHeight="1">
      <c r="A51" s="27"/>
      <c r="B51" s="28"/>
      <c r="C51" s="28"/>
      <c r="D51" s="30"/>
      <c r="E51" s="27"/>
      <c r="F51" s="27"/>
      <c r="G51" s="27"/>
      <c r="H51" s="27"/>
      <c r="I51" s="116"/>
      <c r="J51" s="30"/>
      <c r="K51" s="30"/>
      <c r="L51" s="30"/>
      <c r="M51" s="27"/>
      <c r="N51" s="27"/>
      <c r="O51" s="27"/>
      <c r="P51" s="27"/>
      <c r="Q51" s="27"/>
    </row>
    <row r="52" spans="1:17" s="18" customFormat="1" ht="12.95" customHeight="1">
      <c r="A52" s="27"/>
      <c r="B52" s="28"/>
      <c r="C52" s="28"/>
      <c r="D52" s="30"/>
      <c r="E52" s="27"/>
      <c r="F52" s="27"/>
      <c r="G52" s="27"/>
      <c r="H52" s="27"/>
      <c r="I52" s="116"/>
      <c r="J52" s="27"/>
      <c r="K52" s="27"/>
      <c r="L52" s="27"/>
      <c r="M52" s="27"/>
      <c r="N52" s="27"/>
      <c r="O52" s="27"/>
      <c r="P52" s="27"/>
      <c r="Q52" s="27"/>
    </row>
    <row r="53" spans="1:17" s="18" customFormat="1" ht="12.95" customHeight="1">
      <c r="A53" s="27"/>
      <c r="B53" s="28"/>
      <c r="C53" s="28"/>
      <c r="D53" s="30"/>
      <c r="E53" s="27"/>
      <c r="F53" s="27"/>
      <c r="G53" s="27"/>
      <c r="H53" s="27"/>
      <c r="I53" s="116"/>
      <c r="J53" s="27"/>
      <c r="K53" s="27"/>
      <c r="L53" s="30"/>
      <c r="M53" s="27"/>
      <c r="N53" s="27"/>
      <c r="O53" s="27"/>
      <c r="P53" s="27"/>
      <c r="Q53" s="27"/>
    </row>
    <row r="54" spans="1:17" ht="12.95" customHeight="1">
      <c r="A54" s="27"/>
      <c r="B54" s="28"/>
      <c r="C54" s="28"/>
      <c r="D54" s="30"/>
      <c r="E54" s="27"/>
      <c r="F54" s="27"/>
      <c r="G54" s="27"/>
      <c r="H54" s="27"/>
      <c r="I54" s="116"/>
      <c r="J54" s="27"/>
      <c r="K54" s="27"/>
      <c r="L54" s="27"/>
      <c r="M54" s="27"/>
      <c r="N54" s="27"/>
      <c r="O54" s="27"/>
      <c r="P54" s="27"/>
      <c r="Q54" s="27"/>
    </row>
    <row r="55" spans="1:17" ht="12.95" customHeight="1">
      <c r="A55" s="27"/>
      <c r="B55" s="28"/>
      <c r="C55" s="28"/>
      <c r="D55" s="30"/>
      <c r="E55" s="27"/>
      <c r="F55" s="27"/>
      <c r="G55" s="27"/>
      <c r="H55" s="27"/>
      <c r="I55" s="116"/>
      <c r="J55" s="27"/>
      <c r="K55" s="27"/>
      <c r="L55" s="27"/>
      <c r="M55" s="27"/>
      <c r="N55" s="27"/>
      <c r="O55" s="27"/>
      <c r="P55" s="27"/>
      <c r="Q55" s="27"/>
    </row>
    <row r="56" spans="1:17" ht="12.95" customHeight="1">
      <c r="A56" s="27"/>
      <c r="B56" s="28"/>
      <c r="C56" s="28"/>
      <c r="D56" s="30"/>
      <c r="E56" s="27"/>
      <c r="F56" s="27"/>
      <c r="G56" s="27"/>
      <c r="H56" s="27"/>
      <c r="I56" s="116"/>
      <c r="J56" s="27"/>
      <c r="K56" s="27"/>
      <c r="L56" s="27"/>
      <c r="M56" s="27"/>
      <c r="N56" s="27"/>
      <c r="O56" s="27"/>
      <c r="P56" s="27"/>
      <c r="Q56" s="27"/>
    </row>
    <row r="57" spans="1:17" ht="12.95" customHeight="1">
      <c r="A57" s="27"/>
      <c r="B57" s="28"/>
      <c r="C57" s="28"/>
      <c r="D57" s="30"/>
      <c r="E57" s="27"/>
      <c r="F57" s="27"/>
      <c r="G57" s="27"/>
      <c r="H57" s="27"/>
      <c r="I57" s="116"/>
      <c r="J57" s="27"/>
      <c r="K57" s="27"/>
      <c r="L57" s="27"/>
      <c r="M57" s="27"/>
      <c r="N57" s="27"/>
      <c r="O57" s="27"/>
      <c r="P57" s="27"/>
      <c r="Q57" s="27"/>
    </row>
    <row r="58" spans="1:17" ht="12.95" customHeight="1">
      <c r="A58" s="27"/>
      <c r="B58" s="28"/>
      <c r="C58" s="28"/>
      <c r="D58" s="30"/>
      <c r="E58" s="27"/>
      <c r="F58" s="27"/>
      <c r="G58" s="27"/>
      <c r="H58" s="27"/>
      <c r="I58" s="116"/>
      <c r="J58" s="27"/>
      <c r="K58" s="27"/>
      <c r="L58" s="27"/>
      <c r="M58" s="27"/>
      <c r="N58" s="27"/>
      <c r="O58" s="27"/>
      <c r="P58" s="27"/>
      <c r="Q58" s="27"/>
    </row>
    <row r="59" spans="1:17" ht="12.95" customHeight="1">
      <c r="A59" s="27"/>
      <c r="B59" s="28"/>
      <c r="C59" s="28"/>
      <c r="D59" s="30"/>
      <c r="E59" s="27"/>
      <c r="F59" s="27"/>
      <c r="G59" s="27"/>
      <c r="H59" s="27"/>
      <c r="I59" s="116"/>
      <c r="J59" s="30"/>
      <c r="K59" s="30"/>
      <c r="L59" s="30"/>
      <c r="M59" s="27"/>
      <c r="N59" s="27"/>
      <c r="O59" s="27"/>
      <c r="P59" s="27"/>
      <c r="Q59" s="27"/>
    </row>
    <row r="60" spans="1:17" ht="12.95" customHeight="1">
      <c r="A60" s="27"/>
      <c r="B60" s="28"/>
      <c r="C60" s="28"/>
      <c r="D60" s="30"/>
      <c r="E60" s="27"/>
      <c r="F60" s="27"/>
      <c r="G60" s="27"/>
      <c r="H60" s="27"/>
      <c r="I60" s="116"/>
      <c r="J60" s="30"/>
      <c r="K60" s="30"/>
      <c r="L60" s="30"/>
      <c r="M60" s="27"/>
      <c r="N60" s="27"/>
      <c r="O60" s="27"/>
      <c r="P60" s="27"/>
      <c r="Q60" s="27"/>
    </row>
    <row r="61" spans="1:17" ht="12.95" customHeight="1">
      <c r="A61" s="27"/>
      <c r="B61" s="28"/>
      <c r="C61" s="28"/>
      <c r="D61" s="30"/>
      <c r="E61" s="27"/>
      <c r="F61" s="27"/>
      <c r="G61" s="27"/>
      <c r="H61" s="27"/>
      <c r="I61" s="116"/>
      <c r="J61" s="30"/>
      <c r="K61" s="30"/>
      <c r="L61" s="30"/>
      <c r="M61" s="27"/>
      <c r="N61" s="27"/>
      <c r="O61" s="27"/>
      <c r="P61" s="27"/>
      <c r="Q61" s="27"/>
    </row>
    <row r="62" spans="1:17" ht="12.95" customHeight="1">
      <c r="A62" s="27"/>
      <c r="B62" s="28"/>
      <c r="C62" s="28"/>
      <c r="D62" s="30"/>
      <c r="E62" s="27"/>
      <c r="F62" s="27"/>
      <c r="G62" s="27"/>
      <c r="H62" s="27"/>
      <c r="I62" s="116"/>
      <c r="J62" s="30"/>
      <c r="K62" s="30"/>
      <c r="L62" s="30"/>
      <c r="M62" s="27"/>
      <c r="N62" s="27"/>
      <c r="O62" s="27"/>
      <c r="P62" s="27"/>
      <c r="Q62" s="27"/>
    </row>
    <row r="63" spans="1:17" ht="12.95" customHeight="1">
      <c r="A63" s="27"/>
      <c r="B63" s="28"/>
      <c r="C63" s="28"/>
      <c r="D63" s="30"/>
      <c r="E63" s="27"/>
      <c r="F63" s="27"/>
      <c r="G63" s="27"/>
      <c r="H63" s="27"/>
      <c r="I63" s="116"/>
      <c r="J63" s="30"/>
      <c r="K63" s="30"/>
      <c r="L63" s="30"/>
      <c r="M63" s="27"/>
      <c r="N63" s="27"/>
      <c r="O63" s="27"/>
      <c r="P63" s="27"/>
      <c r="Q63" s="27"/>
    </row>
    <row r="64" spans="1:17" ht="12.95" customHeight="1">
      <c r="A64" s="27"/>
      <c r="B64" s="28"/>
      <c r="C64" s="28"/>
      <c r="D64" s="30"/>
      <c r="E64" s="27"/>
      <c r="F64" s="27"/>
      <c r="G64" s="27"/>
      <c r="H64" s="27"/>
      <c r="I64" s="116"/>
      <c r="J64" s="30"/>
      <c r="K64" s="30"/>
      <c r="L64" s="30"/>
      <c r="M64" s="27"/>
      <c r="N64" s="27"/>
      <c r="O64" s="27"/>
      <c r="P64" s="27"/>
      <c r="Q64" s="27"/>
    </row>
    <row r="65" spans="1:17" s="18" customFormat="1" ht="12.95" customHeight="1">
      <c r="A65" s="27"/>
      <c r="B65" s="28"/>
      <c r="C65" s="28"/>
      <c r="D65" s="30"/>
      <c r="E65" s="27"/>
      <c r="F65" s="27"/>
      <c r="G65" s="27"/>
      <c r="H65" s="27"/>
      <c r="I65" s="116"/>
      <c r="J65" s="27"/>
      <c r="K65" s="27"/>
      <c r="L65" s="27"/>
      <c r="M65" s="27"/>
      <c r="N65" s="27"/>
      <c r="O65" s="27"/>
      <c r="P65" s="27"/>
      <c r="Q65" s="27"/>
    </row>
    <row r="66" spans="1:17" s="18" customFormat="1" ht="12.95" customHeight="1">
      <c r="A66" s="27"/>
      <c r="B66" s="28"/>
      <c r="C66" s="28"/>
      <c r="D66" s="30"/>
      <c r="E66" s="27"/>
      <c r="F66" s="27"/>
      <c r="G66" s="27"/>
      <c r="H66" s="27"/>
      <c r="I66" s="116"/>
      <c r="J66" s="27"/>
      <c r="K66" s="27"/>
      <c r="L66" s="30"/>
      <c r="M66" s="27"/>
      <c r="N66" s="27"/>
      <c r="O66" s="27"/>
      <c r="P66" s="27"/>
      <c r="Q66" s="27"/>
    </row>
    <row r="67" spans="1:17" ht="12.95" customHeight="1">
      <c r="A67" s="27"/>
      <c r="B67" s="28"/>
      <c r="C67" s="28"/>
      <c r="D67" s="30"/>
      <c r="E67" s="27"/>
      <c r="F67" s="27"/>
      <c r="G67" s="27"/>
      <c r="H67" s="27"/>
      <c r="I67" s="116"/>
      <c r="J67" s="27"/>
      <c r="K67" s="27"/>
      <c r="L67" s="27"/>
      <c r="M67" s="27"/>
      <c r="N67" s="27"/>
      <c r="O67" s="27"/>
      <c r="P67" s="27"/>
      <c r="Q67" s="27"/>
    </row>
    <row r="68" spans="1:17" ht="12.95" customHeight="1">
      <c r="A68" s="27"/>
      <c r="B68" s="28"/>
      <c r="C68" s="28"/>
      <c r="D68" s="30"/>
      <c r="E68" s="27"/>
      <c r="F68" s="27"/>
      <c r="G68" s="27"/>
      <c r="H68" s="27"/>
      <c r="I68" s="116"/>
      <c r="J68" s="27"/>
      <c r="K68" s="27"/>
      <c r="L68" s="27"/>
      <c r="M68" s="27"/>
      <c r="N68" s="27"/>
      <c r="O68" s="27"/>
      <c r="P68" s="27"/>
      <c r="Q68" s="27"/>
    </row>
    <row r="69" spans="1:17" ht="12.95" customHeight="1">
      <c r="A69" s="27"/>
      <c r="B69" s="28"/>
      <c r="C69" s="28"/>
      <c r="D69" s="30"/>
      <c r="E69" s="27"/>
      <c r="F69" s="27"/>
      <c r="G69" s="27"/>
      <c r="H69" s="27"/>
      <c r="I69" s="116"/>
      <c r="J69" s="27"/>
      <c r="K69" s="27"/>
      <c r="L69" s="27"/>
      <c r="M69" s="27"/>
      <c r="N69" s="27"/>
      <c r="O69" s="27"/>
      <c r="P69" s="27"/>
      <c r="Q69" s="27"/>
    </row>
    <row r="70" spans="1:17" ht="12.95" customHeight="1">
      <c r="A70" s="27"/>
      <c r="B70" s="28"/>
      <c r="C70" s="28"/>
      <c r="D70" s="30"/>
      <c r="E70" s="27"/>
      <c r="F70" s="27"/>
      <c r="G70" s="27"/>
      <c r="H70" s="27"/>
      <c r="I70" s="116"/>
      <c r="J70" s="27"/>
      <c r="K70" s="27"/>
      <c r="L70" s="27"/>
      <c r="M70" s="27"/>
      <c r="N70" s="27"/>
      <c r="O70" s="27"/>
      <c r="P70" s="27"/>
      <c r="Q70" s="27"/>
    </row>
    <row r="71" spans="1:17" ht="12.95" customHeight="1">
      <c r="A71" s="27"/>
      <c r="B71" s="28"/>
      <c r="C71" s="28"/>
      <c r="D71" s="30"/>
      <c r="E71" s="27"/>
      <c r="F71" s="27"/>
      <c r="G71" s="27"/>
      <c r="H71" s="27"/>
      <c r="I71" s="116"/>
      <c r="J71" s="27"/>
      <c r="K71" s="27"/>
      <c r="L71" s="27"/>
      <c r="M71" s="27"/>
      <c r="N71" s="27"/>
      <c r="O71" s="27"/>
      <c r="P71" s="27"/>
      <c r="Q71" s="27"/>
    </row>
    <row r="72" spans="1:17" ht="12.95" customHeight="1">
      <c r="A72" s="27"/>
      <c r="B72" s="28"/>
      <c r="C72" s="28"/>
      <c r="D72" s="30"/>
      <c r="E72" s="27"/>
      <c r="F72" s="27"/>
      <c r="G72" s="27"/>
      <c r="H72" s="27"/>
      <c r="I72" s="116"/>
      <c r="J72" s="30"/>
      <c r="K72" s="30"/>
      <c r="L72" s="30"/>
      <c r="M72" s="27"/>
      <c r="N72" s="27"/>
      <c r="O72" s="27"/>
      <c r="P72" s="27"/>
      <c r="Q72" s="27"/>
    </row>
    <row r="73" spans="1:17" ht="12.95" customHeight="1">
      <c r="A73" s="27"/>
      <c r="B73" s="28"/>
      <c r="C73" s="28"/>
      <c r="D73" s="30"/>
      <c r="E73" s="27"/>
      <c r="F73" s="27"/>
      <c r="G73" s="27"/>
      <c r="H73" s="27"/>
      <c r="I73" s="116"/>
      <c r="J73" s="30"/>
      <c r="K73" s="30"/>
      <c r="L73" s="30"/>
      <c r="M73" s="27"/>
      <c r="N73" s="27"/>
      <c r="O73" s="27"/>
      <c r="P73" s="27"/>
      <c r="Q73" s="27"/>
    </row>
    <row r="74" spans="1:17" ht="12.95" customHeight="1">
      <c r="A74" s="27"/>
      <c r="B74" s="28"/>
      <c r="C74" s="28"/>
      <c r="D74" s="30"/>
      <c r="E74" s="27"/>
      <c r="F74" s="27"/>
      <c r="G74" s="27"/>
      <c r="H74" s="27"/>
      <c r="I74" s="116"/>
      <c r="J74" s="30"/>
      <c r="K74" s="30"/>
      <c r="L74" s="30"/>
      <c r="M74" s="27"/>
      <c r="N74" s="27"/>
      <c r="O74" s="27"/>
      <c r="P74" s="27"/>
      <c r="Q74" s="27"/>
    </row>
    <row r="75" spans="1:17" ht="12.95" customHeight="1">
      <c r="A75" s="27"/>
      <c r="B75" s="28"/>
      <c r="C75" s="28"/>
      <c r="D75" s="30"/>
      <c r="E75" s="27"/>
      <c r="F75" s="27"/>
      <c r="G75" s="27"/>
      <c r="H75" s="27"/>
      <c r="I75" s="116"/>
      <c r="J75" s="30"/>
      <c r="K75" s="30"/>
      <c r="L75" s="30"/>
      <c r="M75" s="27"/>
      <c r="N75" s="27"/>
      <c r="O75" s="27"/>
      <c r="P75" s="27"/>
      <c r="Q75" s="27"/>
    </row>
    <row r="76" spans="1:17" ht="12.95" customHeight="1">
      <c r="A76" s="27"/>
      <c r="B76" s="28"/>
      <c r="C76" s="28"/>
      <c r="D76" s="30"/>
      <c r="E76" s="27"/>
      <c r="F76" s="27"/>
      <c r="G76" s="27"/>
      <c r="H76" s="27"/>
      <c r="I76" s="116"/>
      <c r="J76" s="30"/>
      <c r="K76" s="30"/>
      <c r="L76" s="30"/>
      <c r="M76" s="27"/>
      <c r="N76" s="27"/>
      <c r="O76" s="27"/>
      <c r="P76" s="27"/>
      <c r="Q76" s="27"/>
    </row>
    <row r="77" spans="1:17" ht="12.95" customHeight="1">
      <c r="A77" s="27"/>
      <c r="B77" s="28"/>
      <c r="C77" s="28"/>
      <c r="D77" s="30"/>
      <c r="E77" s="27"/>
      <c r="F77" s="27"/>
      <c r="G77" s="27"/>
      <c r="H77" s="27"/>
      <c r="I77" s="116"/>
      <c r="J77" s="30"/>
      <c r="K77" s="30"/>
      <c r="L77" s="30"/>
      <c r="M77" s="27"/>
      <c r="N77" s="27"/>
      <c r="O77" s="27"/>
      <c r="P77" s="27"/>
      <c r="Q77" s="27"/>
    </row>
    <row r="78" spans="1:17" ht="12.95" customHeight="1">
      <c r="A78" s="27"/>
      <c r="B78" s="28"/>
      <c r="C78" s="28"/>
      <c r="D78" s="30"/>
      <c r="E78" s="27"/>
      <c r="F78" s="27"/>
      <c r="G78" s="27"/>
      <c r="H78" s="27"/>
      <c r="I78" s="116"/>
      <c r="J78" s="30"/>
      <c r="K78" s="30"/>
      <c r="L78" s="30"/>
      <c r="M78" s="27"/>
      <c r="N78" s="27"/>
      <c r="O78" s="27"/>
      <c r="P78" s="27"/>
      <c r="Q78" s="27"/>
    </row>
    <row r="79" spans="1:17" s="18" customFormat="1" ht="12.95" customHeight="1">
      <c r="A79" s="27"/>
      <c r="B79" s="28"/>
      <c r="C79" s="28"/>
      <c r="D79" s="30"/>
      <c r="E79" s="27"/>
      <c r="F79" s="27"/>
      <c r="G79" s="27"/>
      <c r="H79" s="27"/>
      <c r="I79" s="116"/>
      <c r="J79" s="27"/>
      <c r="K79" s="27"/>
      <c r="L79" s="27"/>
      <c r="M79" s="27"/>
      <c r="N79" s="27"/>
      <c r="O79" s="27"/>
      <c r="P79" s="27"/>
      <c r="Q79" s="27"/>
    </row>
    <row r="80" spans="1:17" s="18" customFormat="1" ht="12.95" customHeight="1">
      <c r="A80" s="27"/>
      <c r="B80" s="28"/>
      <c r="C80" s="28"/>
      <c r="D80" s="30"/>
      <c r="E80" s="27"/>
      <c r="F80" s="27"/>
      <c r="G80" s="27"/>
      <c r="H80" s="27"/>
      <c r="I80" s="116"/>
      <c r="J80" s="27"/>
      <c r="K80" s="27"/>
      <c r="L80" s="30"/>
      <c r="M80" s="27"/>
      <c r="N80" s="27"/>
      <c r="O80" s="27"/>
      <c r="P80" s="27"/>
      <c r="Q80" s="27"/>
    </row>
    <row r="81" spans="1:17" ht="12.95" customHeight="1">
      <c r="A81" s="27"/>
      <c r="B81" s="28"/>
      <c r="C81" s="28"/>
      <c r="D81" s="30"/>
      <c r="E81" s="27"/>
      <c r="F81" s="27"/>
      <c r="G81" s="27"/>
      <c r="H81" s="27"/>
      <c r="I81" s="116"/>
      <c r="J81" s="27"/>
      <c r="K81" s="27"/>
      <c r="L81" s="27"/>
      <c r="M81" s="27"/>
      <c r="N81" s="27"/>
      <c r="O81" s="27"/>
      <c r="P81" s="27"/>
      <c r="Q81" s="27"/>
    </row>
    <row r="82" spans="1:17" ht="12.95" customHeight="1">
      <c r="A82" s="27"/>
      <c r="B82" s="28"/>
      <c r="C82" s="28"/>
      <c r="D82" s="30"/>
      <c r="E82" s="27"/>
      <c r="F82" s="27"/>
      <c r="G82" s="27"/>
      <c r="H82" s="27"/>
      <c r="I82" s="116"/>
      <c r="J82" s="27"/>
      <c r="K82" s="27"/>
      <c r="L82" s="27"/>
      <c r="M82" s="27"/>
      <c r="N82" s="27"/>
      <c r="O82" s="27"/>
      <c r="P82" s="27"/>
      <c r="Q82" s="27"/>
    </row>
    <row r="83" spans="1:17" ht="12.95" customHeight="1">
      <c r="A83" s="27"/>
      <c r="B83" s="28"/>
      <c r="C83" s="28"/>
      <c r="D83" s="30"/>
      <c r="E83" s="27"/>
      <c r="F83" s="27"/>
      <c r="G83" s="27"/>
      <c r="H83" s="27"/>
      <c r="I83" s="116"/>
      <c r="J83" s="27"/>
      <c r="K83" s="27"/>
      <c r="L83" s="27"/>
      <c r="M83" s="27"/>
      <c r="N83" s="27"/>
      <c r="O83" s="27"/>
      <c r="P83" s="27"/>
      <c r="Q83" s="27"/>
    </row>
    <row r="84" spans="1:17" ht="12.95" customHeight="1">
      <c r="A84" s="27"/>
      <c r="B84" s="28"/>
      <c r="C84" s="28"/>
      <c r="D84" s="30"/>
      <c r="E84" s="27"/>
      <c r="F84" s="27"/>
      <c r="G84" s="27"/>
      <c r="H84" s="27"/>
      <c r="I84" s="116"/>
      <c r="J84" s="27"/>
      <c r="K84" s="27"/>
      <c r="L84" s="27"/>
      <c r="M84" s="27"/>
      <c r="N84" s="27"/>
      <c r="O84" s="27"/>
      <c r="P84" s="27"/>
      <c r="Q84" s="27"/>
    </row>
    <row r="85" spans="1:17" ht="12.95" customHeight="1">
      <c r="A85" s="27"/>
      <c r="B85" s="28"/>
      <c r="C85" s="28"/>
      <c r="D85" s="30"/>
      <c r="E85" s="27"/>
      <c r="F85" s="27"/>
      <c r="G85" s="27"/>
      <c r="H85" s="27"/>
      <c r="I85" s="116"/>
      <c r="J85" s="27"/>
      <c r="K85" s="27"/>
      <c r="L85" s="27"/>
      <c r="M85" s="27"/>
      <c r="N85" s="27"/>
      <c r="O85" s="27"/>
      <c r="P85" s="27"/>
      <c r="Q85" s="27"/>
    </row>
    <row r="86" spans="1:17" ht="12.95" customHeight="1">
      <c r="A86" s="27"/>
      <c r="B86" s="28"/>
      <c r="C86" s="28"/>
      <c r="D86" s="30"/>
      <c r="E86" s="27"/>
      <c r="F86" s="27"/>
      <c r="G86" s="27"/>
      <c r="H86" s="27"/>
      <c r="I86" s="116"/>
      <c r="J86" s="30"/>
      <c r="K86" s="30"/>
      <c r="L86" s="30"/>
      <c r="M86" s="27"/>
      <c r="N86" s="27"/>
      <c r="O86" s="27"/>
      <c r="P86" s="27"/>
      <c r="Q86" s="27"/>
    </row>
    <row r="87" spans="1:17" ht="12.95" customHeight="1">
      <c r="A87" s="27"/>
      <c r="B87" s="28"/>
      <c r="C87" s="28"/>
      <c r="D87" s="30"/>
      <c r="E87" s="27"/>
      <c r="F87" s="27"/>
      <c r="G87" s="27"/>
      <c r="H87" s="27"/>
      <c r="I87" s="116"/>
      <c r="J87" s="30"/>
      <c r="K87" s="30"/>
      <c r="L87" s="30"/>
      <c r="M87" s="27"/>
      <c r="N87" s="27"/>
      <c r="O87" s="27"/>
      <c r="P87" s="27"/>
      <c r="Q87" s="27"/>
    </row>
    <row r="88" spans="1:17" ht="12.95" customHeight="1">
      <c r="A88" s="27"/>
      <c r="B88" s="28"/>
      <c r="C88" s="28"/>
      <c r="D88" s="30"/>
      <c r="E88" s="27"/>
      <c r="F88" s="27"/>
      <c r="G88" s="27"/>
      <c r="H88" s="27"/>
      <c r="I88" s="116"/>
      <c r="J88" s="30"/>
      <c r="K88" s="30"/>
      <c r="L88" s="30"/>
      <c r="M88" s="27"/>
      <c r="N88" s="27"/>
      <c r="O88" s="27"/>
      <c r="P88" s="27"/>
      <c r="Q88" s="27"/>
    </row>
    <row r="89" spans="1:17" ht="12.95" customHeight="1">
      <c r="A89" s="27"/>
      <c r="B89" s="28"/>
      <c r="C89" s="28"/>
      <c r="D89" s="30"/>
      <c r="E89" s="27"/>
      <c r="F89" s="27"/>
      <c r="G89" s="27"/>
      <c r="H89" s="27"/>
      <c r="I89" s="116"/>
      <c r="J89" s="30"/>
      <c r="K89" s="30"/>
      <c r="L89" s="30"/>
      <c r="M89" s="27"/>
      <c r="N89" s="27"/>
      <c r="O89" s="27"/>
      <c r="P89" s="27"/>
      <c r="Q89" s="27"/>
    </row>
    <row r="90" spans="1:17" ht="12.95" customHeight="1">
      <c r="A90" s="27"/>
      <c r="B90" s="28"/>
      <c r="C90" s="28"/>
      <c r="D90" s="30"/>
      <c r="E90" s="27"/>
      <c r="F90" s="27"/>
      <c r="G90" s="27"/>
      <c r="H90" s="27"/>
      <c r="I90" s="116"/>
      <c r="J90" s="30"/>
      <c r="K90" s="30"/>
      <c r="L90" s="30"/>
      <c r="M90" s="27"/>
      <c r="N90" s="27"/>
      <c r="O90" s="27"/>
      <c r="P90" s="27"/>
      <c r="Q90" s="27"/>
    </row>
    <row r="91" spans="1:17" ht="12.95" customHeight="1">
      <c r="A91" s="27"/>
      <c r="B91" s="28"/>
      <c r="C91" s="28"/>
      <c r="D91" s="30"/>
      <c r="E91" s="27"/>
      <c r="F91" s="27"/>
      <c r="G91" s="27"/>
      <c r="H91" s="27"/>
      <c r="I91" s="116"/>
      <c r="J91" s="30"/>
      <c r="K91" s="30"/>
      <c r="L91" s="30"/>
      <c r="M91" s="27"/>
      <c r="N91" s="27"/>
      <c r="O91" s="27"/>
      <c r="P91" s="27"/>
      <c r="Q91" s="27"/>
    </row>
    <row r="92" spans="1:17" s="18" customFormat="1" ht="12.95" customHeight="1">
      <c r="A92" s="27"/>
      <c r="B92" s="28"/>
      <c r="C92" s="28"/>
      <c r="D92" s="30"/>
      <c r="E92" s="27"/>
      <c r="F92" s="27"/>
      <c r="G92" s="27"/>
      <c r="H92" s="27"/>
      <c r="I92" s="116"/>
      <c r="J92" s="27"/>
      <c r="K92" s="27"/>
      <c r="L92" s="27"/>
      <c r="M92" s="27"/>
      <c r="N92" s="27"/>
      <c r="O92" s="27"/>
      <c r="P92" s="27"/>
      <c r="Q92" s="27"/>
    </row>
    <row r="93" spans="1:17" s="18" customFormat="1" ht="12.95" customHeight="1">
      <c r="A93" s="27"/>
      <c r="B93" s="28"/>
      <c r="C93" s="28"/>
      <c r="D93" s="30"/>
      <c r="E93" s="27"/>
      <c r="F93" s="27"/>
      <c r="G93" s="27"/>
      <c r="H93" s="27"/>
      <c r="I93" s="116"/>
      <c r="J93" s="27"/>
      <c r="K93" s="27"/>
      <c r="L93" s="30"/>
      <c r="M93" s="27"/>
      <c r="N93" s="27"/>
      <c r="O93" s="27"/>
      <c r="P93" s="27"/>
      <c r="Q93" s="27"/>
    </row>
    <row r="94" spans="1:17" ht="12.95" customHeight="1">
      <c r="A94" s="27"/>
      <c r="B94" s="28"/>
      <c r="C94" s="28"/>
      <c r="D94" s="30"/>
      <c r="E94" s="27"/>
      <c r="F94" s="27"/>
      <c r="G94" s="27"/>
      <c r="H94" s="27"/>
      <c r="I94" s="116"/>
      <c r="J94" s="27"/>
      <c r="K94" s="27"/>
      <c r="L94" s="27"/>
      <c r="M94" s="27"/>
      <c r="N94" s="27"/>
      <c r="O94" s="27"/>
      <c r="P94" s="27"/>
      <c r="Q94" s="27"/>
    </row>
    <row r="95" spans="1:17" ht="12.95" customHeight="1">
      <c r="A95" s="27"/>
      <c r="B95" s="28"/>
      <c r="C95" s="28"/>
      <c r="D95" s="30"/>
      <c r="E95" s="27"/>
      <c r="F95" s="27"/>
      <c r="G95" s="27"/>
      <c r="H95" s="27"/>
      <c r="I95" s="116"/>
      <c r="J95" s="27"/>
      <c r="K95" s="27"/>
      <c r="L95" s="27"/>
      <c r="M95" s="27"/>
      <c r="N95" s="27"/>
      <c r="O95" s="27"/>
      <c r="P95" s="27"/>
      <c r="Q95" s="27"/>
    </row>
    <row r="96" spans="1:17" ht="12.95" customHeight="1">
      <c r="A96" s="27"/>
      <c r="B96" s="28"/>
      <c r="C96" s="28"/>
      <c r="D96" s="30"/>
      <c r="E96" s="27"/>
      <c r="F96" s="27"/>
      <c r="G96" s="27"/>
      <c r="H96" s="27"/>
      <c r="I96" s="116"/>
      <c r="J96" s="27"/>
      <c r="K96" s="27"/>
      <c r="L96" s="27"/>
      <c r="M96" s="27"/>
      <c r="N96" s="27"/>
      <c r="O96" s="27"/>
      <c r="P96" s="27"/>
      <c r="Q96" s="27"/>
    </row>
    <row r="97" spans="1:17" ht="12.95" customHeight="1">
      <c r="A97" s="27"/>
      <c r="B97" s="28"/>
      <c r="C97" s="28"/>
      <c r="D97" s="30"/>
      <c r="E97" s="27"/>
      <c r="F97" s="27"/>
      <c r="G97" s="27"/>
      <c r="H97" s="27"/>
      <c r="I97" s="116"/>
      <c r="J97" s="27"/>
      <c r="K97" s="27"/>
      <c r="L97" s="27"/>
      <c r="M97" s="27"/>
      <c r="N97" s="27"/>
      <c r="O97" s="27"/>
      <c r="P97" s="27"/>
      <c r="Q97" s="27"/>
    </row>
    <row r="98" spans="1:17" ht="12.95" customHeight="1">
      <c r="A98" s="27"/>
      <c r="B98" s="28"/>
      <c r="C98" s="28"/>
      <c r="D98" s="30"/>
      <c r="E98" s="27"/>
      <c r="F98" s="27"/>
      <c r="G98" s="27"/>
      <c r="H98" s="27"/>
      <c r="I98" s="116"/>
      <c r="J98" s="27"/>
      <c r="K98" s="27"/>
      <c r="L98" s="27"/>
      <c r="M98" s="27"/>
      <c r="N98" s="27"/>
      <c r="O98" s="27"/>
      <c r="P98" s="27"/>
      <c r="Q98" s="27"/>
    </row>
    <row r="99" spans="1:17" ht="12.95" customHeight="1">
      <c r="A99" s="27"/>
      <c r="B99" s="28"/>
      <c r="C99" s="28"/>
      <c r="D99" s="30"/>
      <c r="E99" s="27"/>
      <c r="F99" s="27"/>
      <c r="G99" s="27"/>
      <c r="H99" s="27"/>
      <c r="I99" s="116"/>
      <c r="J99" s="30"/>
      <c r="K99" s="30"/>
      <c r="L99" s="30"/>
      <c r="M99" s="27"/>
      <c r="N99" s="27"/>
      <c r="O99" s="27"/>
      <c r="P99" s="27"/>
      <c r="Q99" s="27"/>
    </row>
    <row r="100" spans="1:17" ht="12.95" customHeight="1">
      <c r="A100" s="27"/>
      <c r="B100" s="28"/>
      <c r="C100" s="28"/>
      <c r="D100" s="30"/>
      <c r="E100" s="27"/>
      <c r="F100" s="27"/>
      <c r="G100" s="27"/>
      <c r="H100" s="27"/>
      <c r="I100" s="116"/>
      <c r="J100" s="30"/>
      <c r="K100" s="30"/>
      <c r="L100" s="30"/>
      <c r="M100" s="27"/>
      <c r="N100" s="27"/>
      <c r="O100" s="27"/>
      <c r="P100" s="27"/>
      <c r="Q100" s="27"/>
    </row>
    <row r="101" spans="1:17" ht="12.95" customHeight="1">
      <c r="A101" s="27"/>
      <c r="B101" s="28"/>
      <c r="C101" s="28"/>
      <c r="D101" s="30"/>
      <c r="E101" s="27"/>
      <c r="F101" s="27"/>
      <c r="G101" s="27"/>
      <c r="H101" s="27"/>
      <c r="I101" s="116"/>
      <c r="J101" s="30"/>
      <c r="K101" s="30"/>
      <c r="L101" s="30"/>
      <c r="M101" s="27"/>
      <c r="N101" s="27"/>
      <c r="O101" s="27"/>
      <c r="P101" s="27"/>
      <c r="Q101" s="27"/>
    </row>
    <row r="102" spans="1:17" ht="12.95" customHeight="1">
      <c r="A102" s="27"/>
      <c r="B102" s="28"/>
      <c r="C102" s="28"/>
      <c r="D102" s="30"/>
      <c r="E102" s="27"/>
      <c r="F102" s="27"/>
      <c r="G102" s="27"/>
      <c r="H102" s="27"/>
      <c r="I102" s="116"/>
      <c r="J102" s="30"/>
      <c r="K102" s="30"/>
      <c r="L102" s="30"/>
      <c r="M102" s="27"/>
      <c r="N102" s="27"/>
      <c r="O102" s="27"/>
      <c r="P102" s="27"/>
      <c r="Q102" s="27"/>
    </row>
    <row r="103" spans="1:17" ht="12.95" customHeight="1">
      <c r="A103" s="27"/>
      <c r="B103" s="28"/>
      <c r="C103" s="28"/>
      <c r="D103" s="30"/>
      <c r="E103" s="27"/>
      <c r="F103" s="27"/>
      <c r="G103" s="27"/>
      <c r="H103" s="27"/>
      <c r="I103" s="116"/>
      <c r="J103" s="30"/>
      <c r="K103" s="30"/>
      <c r="L103" s="30"/>
      <c r="M103" s="27"/>
      <c r="N103" s="27"/>
      <c r="O103" s="27"/>
      <c r="P103" s="27"/>
      <c r="Q103" s="27"/>
    </row>
    <row r="104" spans="1:17" ht="12.95" customHeight="1">
      <c r="A104" s="27"/>
      <c r="B104" s="28"/>
      <c r="C104" s="28"/>
      <c r="D104" s="30"/>
      <c r="E104" s="27"/>
      <c r="F104" s="27"/>
      <c r="G104" s="27"/>
      <c r="H104" s="27"/>
      <c r="I104" s="116"/>
      <c r="J104" s="30"/>
      <c r="K104" s="30"/>
      <c r="L104" s="30"/>
      <c r="M104" s="27"/>
      <c r="N104" s="27"/>
      <c r="O104" s="27"/>
      <c r="P104" s="27"/>
      <c r="Q104" s="27"/>
    </row>
    <row r="105" spans="1:17" ht="12.95" customHeight="1">
      <c r="A105" s="27"/>
      <c r="B105" s="28"/>
      <c r="C105" s="28"/>
      <c r="D105" s="30"/>
      <c r="E105" s="27"/>
      <c r="F105" s="27"/>
      <c r="G105" s="27"/>
      <c r="H105" s="27"/>
      <c r="I105" s="116"/>
      <c r="J105" s="30"/>
      <c r="K105" s="30"/>
      <c r="L105" s="30"/>
      <c r="M105" s="27"/>
      <c r="N105" s="27"/>
      <c r="O105" s="27"/>
      <c r="P105" s="27"/>
      <c r="Q105" s="27"/>
    </row>
    <row r="106" spans="1:17" ht="12.95" customHeight="1">
      <c r="A106" s="27"/>
      <c r="B106" s="28"/>
      <c r="C106" s="28"/>
      <c r="D106" s="30"/>
      <c r="E106" s="27"/>
      <c r="F106" s="27"/>
      <c r="G106" s="27"/>
      <c r="H106" s="27"/>
      <c r="I106" s="116"/>
      <c r="J106" s="30"/>
      <c r="K106" s="30"/>
      <c r="L106" s="30"/>
      <c r="M106" s="27"/>
      <c r="N106" s="27"/>
      <c r="O106" s="27"/>
      <c r="P106" s="27"/>
      <c r="Q106" s="27"/>
    </row>
    <row r="107" spans="1:17" ht="12.95" customHeight="1">
      <c r="A107" s="27"/>
      <c r="B107" s="28"/>
      <c r="C107" s="28"/>
      <c r="D107" s="30"/>
      <c r="E107" s="27"/>
      <c r="F107" s="27"/>
      <c r="G107" s="27"/>
      <c r="H107" s="27"/>
      <c r="I107" s="116"/>
      <c r="J107" s="30"/>
      <c r="K107" s="30"/>
      <c r="L107" s="30"/>
      <c r="M107" s="27"/>
      <c r="N107" s="27"/>
      <c r="O107" s="27"/>
      <c r="P107" s="27"/>
      <c r="Q107" s="27"/>
    </row>
  </sheetData>
  <sheetProtection formatCells="0" formatColumns="0" formatRows="0"/>
  <mergeCells count="22">
    <mergeCell ref="P7:P8"/>
    <mergeCell ref="Q7:Q8"/>
    <mergeCell ref="L7:L8"/>
    <mergeCell ref="M7:M8"/>
    <mergeCell ref="N7:N8"/>
    <mergeCell ref="O7:O8"/>
    <mergeCell ref="H7:H8"/>
    <mergeCell ref="I7:I8"/>
    <mergeCell ref="J7:J8"/>
    <mergeCell ref="K7:K8"/>
    <mergeCell ref="F7:F8"/>
    <mergeCell ref="G7:G8"/>
    <mergeCell ref="A7:A8"/>
    <mergeCell ref="B7:B8"/>
    <mergeCell ref="C7:C8"/>
    <mergeCell ref="D7:D8"/>
    <mergeCell ref="E7:E8"/>
    <mergeCell ref="A2:Q2"/>
    <mergeCell ref="A3:Q3"/>
    <mergeCell ref="A5:I5"/>
    <mergeCell ref="J5:Q5"/>
    <mergeCell ref="A6:Q6"/>
  </mergeCells>
  <phoneticPr fontId="28" type="noConversion"/>
  <conditionalFormatting sqref="F7 J7:P7">
    <cfRule type="cellIs" dxfId="78" priority="2" stopIfTrue="1" operator="equal">
      <formula>"tbd"</formula>
    </cfRule>
  </conditionalFormatting>
  <dataValidations disablePrompts="1" count="1">
    <dataValidation type="list" allowBlank="1" showInputMessage="1" showErrorMessage="1" sqref="Q21:Q25" xr:uid="{B1F97005-A2E3-4DBE-912C-1D672B545B7F}">
      <formula1>"R,W,R/W"</formula1>
    </dataValidation>
  </dataValidations>
  <hyperlinks>
    <hyperlink ref="A1" location="_0x04_ReportDTCSnapshotRecordByDTCNumber_0x04_通过DTC报告Snapshot的记录" display="Return" xr:uid="{00000000-0004-0000-0800-000000000000}"/>
  </hyperlinks>
  <pageMargins left="0.69930555555555596" right="0.69930555555555596" top="0.75" bottom="0.75" header="0.3" footer="0.3"/>
  <pageSetup paperSize="9" orientation="portrait" horizontalDpi="300" verticalDpi="300" r:id="rId1"/>
  <headerFooter alignWithMargins="0"/>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800-000000000000}">
          <x14:formula1>
            <xm:f>Cover!$X$1:$X$5</xm:f>
          </x14:formula1>
          <xm:sqref>M1:M6 M43:M1048576 M9 M13:M18</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4E2AC-3090-43E1-80B8-ECFF5EA4A177}">
  <dimension ref="A2:S255"/>
  <sheetViews>
    <sheetView zoomScale="115" zoomScaleNormal="115" workbookViewId="0">
      <pane xSplit="6" ySplit="6" topLeftCell="G202" activePane="bottomRight" state="frozen"/>
      <selection pane="topRight" activeCell="O1" sqref="O1"/>
      <selection pane="bottomLeft" activeCell="A7" sqref="A7"/>
      <selection pane="bottomRight" activeCell="W12" sqref="W12"/>
    </sheetView>
  </sheetViews>
  <sheetFormatPr defaultColWidth="9" defaultRowHeight="11.25"/>
  <cols>
    <col min="1" max="2" width="11.75" style="264" customWidth="1"/>
    <col min="3" max="3" width="33.625" style="263" customWidth="1"/>
    <col min="4" max="4" width="9" style="263"/>
    <col min="5" max="6" width="11.75" style="263" customWidth="1"/>
    <col min="7" max="13" width="9" style="263" customWidth="1"/>
    <col min="14" max="18" width="9" style="263" hidden="1" customWidth="1"/>
    <col min="19" max="19" width="8.875" style="264" bestFit="1" customWidth="1"/>
    <col min="20" max="16384" width="9" style="263"/>
  </cols>
  <sheetData>
    <row r="2" spans="1:19" ht="15.75">
      <c r="A2" s="797" t="s">
        <v>4536</v>
      </c>
      <c r="B2" s="797"/>
      <c r="C2" s="797"/>
      <c r="D2" s="797"/>
      <c r="E2" s="797"/>
      <c r="F2" s="797"/>
    </row>
    <row r="3" spans="1:19" ht="15.75">
      <c r="A3" s="797"/>
      <c r="B3" s="797"/>
      <c r="C3" s="797"/>
      <c r="D3" s="797"/>
      <c r="E3" s="797"/>
      <c r="F3" s="797"/>
    </row>
    <row r="4" spans="1:19" ht="15.75">
      <c r="A4" s="797"/>
      <c r="B4" s="797"/>
      <c r="C4" s="797"/>
      <c r="D4" s="797"/>
      <c r="E4" s="797"/>
      <c r="F4" s="797"/>
    </row>
    <row r="5" spans="1:19" s="265" customFormat="1" ht="11.25" customHeight="1">
      <c r="A5" s="894" t="s">
        <v>607</v>
      </c>
      <c r="B5" s="894" t="s">
        <v>608</v>
      </c>
      <c r="C5" s="894" t="s">
        <v>609</v>
      </c>
      <c r="D5" s="918" t="s">
        <v>4537</v>
      </c>
      <c r="E5" s="918" t="s">
        <v>4538</v>
      </c>
      <c r="F5" s="918" t="s">
        <v>4539</v>
      </c>
      <c r="G5" s="918" t="s">
        <v>4540</v>
      </c>
      <c r="H5" s="918" t="s">
        <v>4541</v>
      </c>
      <c r="I5" s="918" t="s">
        <v>4542</v>
      </c>
      <c r="J5" s="918" t="s">
        <v>4543</v>
      </c>
      <c r="K5" s="918" t="s">
        <v>4544</v>
      </c>
      <c r="L5" s="918" t="s">
        <v>4545</v>
      </c>
      <c r="M5" s="918" t="s">
        <v>4546</v>
      </c>
    </row>
    <row r="6" spans="1:19" s="265" customFormat="1" ht="33">
      <c r="A6" s="895"/>
      <c r="B6" s="895"/>
      <c r="C6" s="895"/>
      <c r="D6" s="918"/>
      <c r="E6" s="918"/>
      <c r="F6" s="918"/>
      <c r="G6" s="918"/>
      <c r="H6" s="918"/>
      <c r="I6" s="918"/>
      <c r="J6" s="918"/>
      <c r="K6" s="918"/>
      <c r="L6" s="918"/>
      <c r="M6" s="918"/>
      <c r="S6" s="266" t="s">
        <v>612</v>
      </c>
    </row>
    <row r="7" spans="1:19" ht="12">
      <c r="A7" s="342" t="s">
        <v>921</v>
      </c>
      <c r="B7" s="342" t="s">
        <v>922</v>
      </c>
      <c r="C7" s="349" t="s">
        <v>923</v>
      </c>
      <c r="D7" s="346" t="s">
        <v>4547</v>
      </c>
      <c r="E7" s="346" t="s">
        <v>4548</v>
      </c>
      <c r="F7" s="346" t="s">
        <v>4549</v>
      </c>
      <c r="G7" s="352" t="s">
        <v>4550</v>
      </c>
      <c r="H7" s="358"/>
      <c r="I7" s="358"/>
      <c r="J7" s="358"/>
      <c r="K7" s="358"/>
      <c r="L7" s="358"/>
      <c r="M7" s="358"/>
      <c r="S7" s="522" t="s">
        <v>4551</v>
      </c>
    </row>
    <row r="8" spans="1:19" ht="12">
      <c r="A8" s="342" t="s">
        <v>926</v>
      </c>
      <c r="B8" s="342" t="s">
        <v>927</v>
      </c>
      <c r="C8" s="349" t="s">
        <v>928</v>
      </c>
      <c r="D8" s="346" t="s">
        <v>4547</v>
      </c>
      <c r="E8" s="346" t="s">
        <v>4548</v>
      </c>
      <c r="F8" s="346" t="s">
        <v>4549</v>
      </c>
      <c r="G8" s="352" t="s">
        <v>4550</v>
      </c>
      <c r="H8" s="358"/>
      <c r="I8" s="358"/>
      <c r="J8" s="358"/>
      <c r="K8" s="358"/>
      <c r="L8" s="358"/>
      <c r="M8" s="358"/>
      <c r="S8" s="522" t="s">
        <v>4551</v>
      </c>
    </row>
    <row r="9" spans="1:19" ht="12">
      <c r="A9" s="342" t="s">
        <v>929</v>
      </c>
      <c r="B9" s="342" t="s">
        <v>930</v>
      </c>
      <c r="C9" s="349" t="s">
        <v>931</v>
      </c>
      <c r="D9" s="346" t="s">
        <v>4547</v>
      </c>
      <c r="E9" s="346" t="s">
        <v>4548</v>
      </c>
      <c r="F9" s="346" t="s">
        <v>4549</v>
      </c>
      <c r="G9" s="352" t="s">
        <v>4550</v>
      </c>
      <c r="H9" s="358"/>
      <c r="I9" s="358"/>
      <c r="J9" s="358"/>
      <c r="K9" s="358"/>
      <c r="L9" s="358"/>
      <c r="M9" s="358"/>
      <c r="S9" s="522" t="s">
        <v>4551</v>
      </c>
    </row>
    <row r="10" spans="1:19" ht="12">
      <c r="A10" s="342" t="s">
        <v>932</v>
      </c>
      <c r="B10" s="342" t="s">
        <v>933</v>
      </c>
      <c r="C10" s="349" t="s">
        <v>934</v>
      </c>
      <c r="D10" s="346" t="s">
        <v>4547</v>
      </c>
      <c r="E10" s="346" t="s">
        <v>4548</v>
      </c>
      <c r="F10" s="346" t="s">
        <v>4549</v>
      </c>
      <c r="G10" s="352" t="s">
        <v>4550</v>
      </c>
      <c r="H10" s="358"/>
      <c r="I10" s="358"/>
      <c r="J10" s="358"/>
      <c r="K10" s="358"/>
      <c r="L10" s="358"/>
      <c r="M10" s="358"/>
      <c r="S10" s="522" t="s">
        <v>4551</v>
      </c>
    </row>
    <row r="11" spans="1:19" ht="12">
      <c r="A11" s="342" t="s">
        <v>935</v>
      </c>
      <c r="B11" s="342" t="s">
        <v>936</v>
      </c>
      <c r="C11" s="349" t="s">
        <v>937</v>
      </c>
      <c r="D11" s="346" t="s">
        <v>4547</v>
      </c>
      <c r="E11" s="346" t="s">
        <v>4548</v>
      </c>
      <c r="F11" s="346" t="s">
        <v>4549</v>
      </c>
      <c r="G11" s="352" t="s">
        <v>4550</v>
      </c>
      <c r="H11" s="358"/>
      <c r="I11" s="358"/>
      <c r="J11" s="358"/>
      <c r="K11" s="358"/>
      <c r="L11" s="358"/>
      <c r="M11" s="358"/>
      <c r="S11" s="522" t="s">
        <v>4551</v>
      </c>
    </row>
    <row r="12" spans="1:19" ht="12">
      <c r="A12" s="342" t="s">
        <v>938</v>
      </c>
      <c r="B12" s="342" t="s">
        <v>939</v>
      </c>
      <c r="C12" s="349" t="s">
        <v>940</v>
      </c>
      <c r="D12" s="346" t="s">
        <v>4547</v>
      </c>
      <c r="E12" s="346" t="s">
        <v>4548</v>
      </c>
      <c r="F12" s="346" t="s">
        <v>4549</v>
      </c>
      <c r="G12" s="352" t="s">
        <v>4550</v>
      </c>
      <c r="H12" s="358"/>
      <c r="I12" s="358"/>
      <c r="J12" s="358"/>
      <c r="K12" s="358"/>
      <c r="L12" s="358"/>
      <c r="M12" s="358"/>
      <c r="S12" s="522" t="s">
        <v>4551</v>
      </c>
    </row>
    <row r="13" spans="1:19" ht="12">
      <c r="A13" s="342" t="s">
        <v>941</v>
      </c>
      <c r="B13" s="342" t="s">
        <v>942</v>
      </c>
      <c r="C13" s="349" t="s">
        <v>943</v>
      </c>
      <c r="D13" s="346" t="s">
        <v>4547</v>
      </c>
      <c r="E13" s="346" t="s">
        <v>4548</v>
      </c>
      <c r="F13" s="346" t="s">
        <v>4549</v>
      </c>
      <c r="G13" s="352" t="s">
        <v>4550</v>
      </c>
      <c r="H13" s="358"/>
      <c r="I13" s="358"/>
      <c r="J13" s="358"/>
      <c r="K13" s="358"/>
      <c r="L13" s="358"/>
      <c r="M13" s="358"/>
      <c r="S13" s="522" t="s">
        <v>4551</v>
      </c>
    </row>
    <row r="14" spans="1:19" ht="12">
      <c r="A14" s="342" t="s">
        <v>944</v>
      </c>
      <c r="B14" s="342" t="s">
        <v>945</v>
      </c>
      <c r="C14" s="349" t="s">
        <v>622</v>
      </c>
      <c r="D14" s="346" t="s">
        <v>4547</v>
      </c>
      <c r="E14" s="346" t="s">
        <v>4548</v>
      </c>
      <c r="F14" s="346" t="s">
        <v>4549</v>
      </c>
      <c r="G14" s="352" t="s">
        <v>4550</v>
      </c>
      <c r="H14" s="358"/>
      <c r="I14" s="358"/>
      <c r="J14" s="358"/>
      <c r="K14" s="358"/>
      <c r="L14" s="358"/>
      <c r="M14" s="358"/>
      <c r="S14" s="522" t="s">
        <v>4551</v>
      </c>
    </row>
    <row r="15" spans="1:19" ht="12">
      <c r="A15" s="342" t="s">
        <v>946</v>
      </c>
      <c r="B15" s="342" t="s">
        <v>947</v>
      </c>
      <c r="C15" s="349" t="s">
        <v>625</v>
      </c>
      <c r="D15" s="346" t="s">
        <v>4547</v>
      </c>
      <c r="E15" s="346" t="s">
        <v>4548</v>
      </c>
      <c r="F15" s="346" t="s">
        <v>4549</v>
      </c>
      <c r="G15" s="352" t="s">
        <v>4550</v>
      </c>
      <c r="H15" s="358"/>
      <c r="I15" s="358"/>
      <c r="J15" s="358"/>
      <c r="K15" s="358"/>
      <c r="L15" s="358"/>
      <c r="M15" s="358"/>
      <c r="S15" s="522" t="s">
        <v>4551</v>
      </c>
    </row>
    <row r="16" spans="1:19">
      <c r="A16" s="342" t="s">
        <v>613</v>
      </c>
      <c r="B16" s="342" t="s">
        <v>614</v>
      </c>
      <c r="C16" s="349" t="s">
        <v>615</v>
      </c>
      <c r="D16" s="346" t="s">
        <v>4547</v>
      </c>
      <c r="E16" s="346" t="s">
        <v>4548</v>
      </c>
      <c r="F16" s="346" t="s">
        <v>4549</v>
      </c>
      <c r="G16" s="352" t="s">
        <v>4550</v>
      </c>
      <c r="H16" s="358"/>
      <c r="I16" s="358"/>
      <c r="J16" s="358"/>
      <c r="K16" s="358"/>
      <c r="L16" s="358"/>
      <c r="M16" s="358"/>
      <c r="S16" s="342" t="s">
        <v>616</v>
      </c>
    </row>
    <row r="17" spans="1:19">
      <c r="A17" s="342" t="s">
        <v>617</v>
      </c>
      <c r="B17" s="342" t="s">
        <v>618</v>
      </c>
      <c r="C17" s="349" t="s">
        <v>619</v>
      </c>
      <c r="D17" s="346" t="s">
        <v>4547</v>
      </c>
      <c r="E17" s="346" t="s">
        <v>4548</v>
      </c>
      <c r="F17" s="346" t="s">
        <v>4549</v>
      </c>
      <c r="G17" s="352" t="s">
        <v>4550</v>
      </c>
      <c r="H17" s="358"/>
      <c r="I17" s="358"/>
      <c r="J17" s="358"/>
      <c r="K17" s="358"/>
      <c r="L17" s="358"/>
      <c r="M17" s="358"/>
      <c r="S17" s="342" t="s">
        <v>616</v>
      </c>
    </row>
    <row r="18" spans="1:19">
      <c r="A18" s="342" t="s">
        <v>620</v>
      </c>
      <c r="B18" s="342" t="s">
        <v>621</v>
      </c>
      <c r="C18" s="349" t="s">
        <v>622</v>
      </c>
      <c r="D18" s="346" t="s">
        <v>4547</v>
      </c>
      <c r="E18" s="346" t="s">
        <v>4548</v>
      </c>
      <c r="F18" s="346" t="s">
        <v>4549</v>
      </c>
      <c r="G18" s="352" t="s">
        <v>4550</v>
      </c>
      <c r="H18" s="358"/>
      <c r="I18" s="358"/>
      <c r="J18" s="358"/>
      <c r="K18" s="358"/>
      <c r="L18" s="358"/>
      <c r="M18" s="358"/>
      <c r="S18" s="342" t="s">
        <v>616</v>
      </c>
    </row>
    <row r="19" spans="1:19">
      <c r="A19" s="342" t="s">
        <v>623</v>
      </c>
      <c r="B19" s="342" t="s">
        <v>624</v>
      </c>
      <c r="C19" s="349" t="s">
        <v>625</v>
      </c>
      <c r="D19" s="346" t="s">
        <v>4547</v>
      </c>
      <c r="E19" s="346" t="s">
        <v>4548</v>
      </c>
      <c r="F19" s="346" t="s">
        <v>4549</v>
      </c>
      <c r="G19" s="352" t="s">
        <v>4550</v>
      </c>
      <c r="H19" s="358"/>
      <c r="I19" s="358"/>
      <c r="J19" s="358"/>
      <c r="K19" s="358"/>
      <c r="L19" s="358"/>
      <c r="M19" s="358"/>
      <c r="S19" s="342" t="s">
        <v>616</v>
      </c>
    </row>
    <row r="20" spans="1:19">
      <c r="A20" s="342" t="s">
        <v>626</v>
      </c>
      <c r="B20" s="342" t="s">
        <v>627</v>
      </c>
      <c r="C20" s="349" t="s">
        <v>622</v>
      </c>
      <c r="D20" s="346" t="s">
        <v>4547</v>
      </c>
      <c r="E20" s="346" t="s">
        <v>4548</v>
      </c>
      <c r="F20" s="346" t="s">
        <v>4549</v>
      </c>
      <c r="G20" s="352" t="s">
        <v>4550</v>
      </c>
      <c r="H20" s="358"/>
      <c r="I20" s="358"/>
      <c r="J20" s="358"/>
      <c r="K20" s="358"/>
      <c r="L20" s="358"/>
      <c r="M20" s="358"/>
      <c r="S20" s="342" t="s">
        <v>616</v>
      </c>
    </row>
    <row r="21" spans="1:19">
      <c r="A21" s="342" t="s">
        <v>628</v>
      </c>
      <c r="B21" s="342" t="s">
        <v>629</v>
      </c>
      <c r="C21" s="349" t="s">
        <v>625</v>
      </c>
      <c r="D21" s="346" t="s">
        <v>4547</v>
      </c>
      <c r="E21" s="346" t="s">
        <v>4548</v>
      </c>
      <c r="F21" s="346" t="s">
        <v>4549</v>
      </c>
      <c r="G21" s="352" t="s">
        <v>4550</v>
      </c>
      <c r="H21" s="358"/>
      <c r="I21" s="358"/>
      <c r="J21" s="358"/>
      <c r="K21" s="358"/>
      <c r="L21" s="358"/>
      <c r="M21" s="358"/>
      <c r="S21" s="342" t="s">
        <v>616</v>
      </c>
    </row>
    <row r="22" spans="1:19">
      <c r="A22" s="342" t="s">
        <v>630</v>
      </c>
      <c r="B22" s="342" t="s">
        <v>631</v>
      </c>
      <c r="C22" s="349" t="s">
        <v>632</v>
      </c>
      <c r="D22" s="346" t="s">
        <v>4547</v>
      </c>
      <c r="E22" s="346" t="s">
        <v>4548</v>
      </c>
      <c r="F22" s="346" t="s">
        <v>4549</v>
      </c>
      <c r="G22" s="352" t="s">
        <v>4550</v>
      </c>
      <c r="H22" s="358"/>
      <c r="I22" s="358"/>
      <c r="J22" s="358"/>
      <c r="K22" s="358"/>
      <c r="L22" s="358"/>
      <c r="M22" s="358"/>
      <c r="S22" s="342" t="s">
        <v>616</v>
      </c>
    </row>
    <row r="23" spans="1:19">
      <c r="A23" s="342" t="s">
        <v>633</v>
      </c>
      <c r="B23" s="342" t="s">
        <v>634</v>
      </c>
      <c r="C23" s="349" t="s">
        <v>635</v>
      </c>
      <c r="D23" s="346" t="s">
        <v>4547</v>
      </c>
      <c r="E23" s="346" t="s">
        <v>4548</v>
      </c>
      <c r="F23" s="346" t="s">
        <v>4549</v>
      </c>
      <c r="G23" s="352" t="s">
        <v>4550</v>
      </c>
      <c r="H23" s="358"/>
      <c r="I23" s="358"/>
      <c r="J23" s="358"/>
      <c r="K23" s="358"/>
      <c r="L23" s="358"/>
      <c r="M23" s="358"/>
      <c r="S23" s="342" t="s">
        <v>616</v>
      </c>
    </row>
    <row r="24" spans="1:19">
      <c r="A24" s="342" t="s">
        <v>636</v>
      </c>
      <c r="B24" s="342" t="s">
        <v>637</v>
      </c>
      <c r="C24" s="349" t="s">
        <v>638</v>
      </c>
      <c r="D24" s="346" t="s">
        <v>4547</v>
      </c>
      <c r="E24" s="346" t="s">
        <v>4548</v>
      </c>
      <c r="F24" s="346" t="s">
        <v>4549</v>
      </c>
      <c r="G24" s="352" t="s">
        <v>4550</v>
      </c>
      <c r="H24" s="358"/>
      <c r="I24" s="358"/>
      <c r="J24" s="358"/>
      <c r="K24" s="358"/>
      <c r="L24" s="358"/>
      <c r="M24" s="358"/>
      <c r="S24" s="342" t="s">
        <v>616</v>
      </c>
    </row>
    <row r="25" spans="1:19">
      <c r="A25" s="342" t="s">
        <v>639</v>
      </c>
      <c r="B25" s="342" t="s">
        <v>640</v>
      </c>
      <c r="C25" s="349" t="s">
        <v>641</v>
      </c>
      <c r="D25" s="346" t="s">
        <v>4547</v>
      </c>
      <c r="E25" s="346" t="s">
        <v>4548</v>
      </c>
      <c r="F25" s="346" t="s">
        <v>4549</v>
      </c>
      <c r="G25" s="352" t="s">
        <v>4550</v>
      </c>
      <c r="H25" s="358"/>
      <c r="I25" s="358"/>
      <c r="J25" s="358"/>
      <c r="K25" s="358"/>
      <c r="L25" s="358"/>
      <c r="M25" s="358"/>
      <c r="S25" s="342" t="s">
        <v>616</v>
      </c>
    </row>
    <row r="26" spans="1:19">
      <c r="A26" s="342" t="s">
        <v>642</v>
      </c>
      <c r="B26" s="342" t="s">
        <v>643</v>
      </c>
      <c r="C26" s="349" t="s">
        <v>644</v>
      </c>
      <c r="D26" s="346" t="s">
        <v>4547</v>
      </c>
      <c r="E26" s="346" t="s">
        <v>4548</v>
      </c>
      <c r="F26" s="346" t="s">
        <v>4549</v>
      </c>
      <c r="G26" s="352" t="s">
        <v>4550</v>
      </c>
      <c r="H26" s="358"/>
      <c r="I26" s="358"/>
      <c r="J26" s="358"/>
      <c r="K26" s="358"/>
      <c r="L26" s="358"/>
      <c r="M26" s="358"/>
      <c r="S26" s="342" t="s">
        <v>616</v>
      </c>
    </row>
    <row r="27" spans="1:19">
      <c r="A27" s="342" t="s">
        <v>645</v>
      </c>
      <c r="B27" s="342" t="s">
        <v>646</v>
      </c>
      <c r="C27" s="349" t="s">
        <v>647</v>
      </c>
      <c r="D27" s="346" t="s">
        <v>4547</v>
      </c>
      <c r="E27" s="346" t="s">
        <v>4548</v>
      </c>
      <c r="F27" s="346" t="s">
        <v>4549</v>
      </c>
      <c r="G27" s="352" t="s">
        <v>4550</v>
      </c>
      <c r="H27" s="358"/>
      <c r="I27" s="358"/>
      <c r="J27" s="358"/>
      <c r="K27" s="358"/>
      <c r="L27" s="358"/>
      <c r="M27" s="358"/>
      <c r="S27" s="342" t="s">
        <v>616</v>
      </c>
    </row>
    <row r="28" spans="1:19">
      <c r="A28" s="342" t="s">
        <v>648</v>
      </c>
      <c r="B28" s="342" t="s">
        <v>649</v>
      </c>
      <c r="C28" s="349" t="s">
        <v>650</v>
      </c>
      <c r="D28" s="346" t="s">
        <v>4547</v>
      </c>
      <c r="E28" s="346" t="s">
        <v>4548</v>
      </c>
      <c r="F28" s="346" t="s">
        <v>4549</v>
      </c>
      <c r="G28" s="352" t="s">
        <v>4550</v>
      </c>
      <c r="H28" s="358"/>
      <c r="I28" s="358"/>
      <c r="J28" s="358"/>
      <c r="K28" s="358"/>
      <c r="L28" s="358"/>
      <c r="M28" s="358"/>
      <c r="S28" s="342" t="s">
        <v>616</v>
      </c>
    </row>
    <row r="29" spans="1:19">
      <c r="A29" s="342" t="s">
        <v>651</v>
      </c>
      <c r="B29" s="342" t="s">
        <v>652</v>
      </c>
      <c r="C29" s="349" t="s">
        <v>653</v>
      </c>
      <c r="D29" s="346" t="s">
        <v>4547</v>
      </c>
      <c r="E29" s="346" t="s">
        <v>4548</v>
      </c>
      <c r="F29" s="346" t="s">
        <v>4549</v>
      </c>
      <c r="G29" s="352" t="s">
        <v>4550</v>
      </c>
      <c r="H29" s="358"/>
      <c r="I29" s="358"/>
      <c r="J29" s="358"/>
      <c r="K29" s="358"/>
      <c r="L29" s="358"/>
      <c r="M29" s="358"/>
      <c r="S29" s="342" t="s">
        <v>616</v>
      </c>
    </row>
    <row r="30" spans="1:19">
      <c r="A30" s="342" t="s">
        <v>654</v>
      </c>
      <c r="B30" s="342" t="s">
        <v>655</v>
      </c>
      <c r="C30" s="349" t="s">
        <v>656</v>
      </c>
      <c r="D30" s="346" t="s">
        <v>4547</v>
      </c>
      <c r="E30" s="346" t="s">
        <v>4548</v>
      </c>
      <c r="F30" s="346" t="s">
        <v>4549</v>
      </c>
      <c r="G30" s="352" t="s">
        <v>4550</v>
      </c>
      <c r="H30" s="358"/>
      <c r="I30" s="358"/>
      <c r="J30" s="358"/>
      <c r="K30" s="358"/>
      <c r="L30" s="358"/>
      <c r="M30" s="358"/>
      <c r="S30" s="342" t="s">
        <v>616</v>
      </c>
    </row>
    <row r="31" spans="1:19">
      <c r="A31" s="342" t="s">
        <v>657</v>
      </c>
      <c r="B31" s="342" t="s">
        <v>658</v>
      </c>
      <c r="C31" s="349" t="s">
        <v>659</v>
      </c>
      <c r="D31" s="346" t="s">
        <v>4547</v>
      </c>
      <c r="E31" s="346" t="s">
        <v>4548</v>
      </c>
      <c r="F31" s="346" t="s">
        <v>4549</v>
      </c>
      <c r="G31" s="352" t="s">
        <v>4550</v>
      </c>
      <c r="H31" s="358"/>
      <c r="I31" s="358"/>
      <c r="J31" s="358"/>
      <c r="K31" s="358"/>
      <c r="L31" s="358"/>
      <c r="M31" s="358"/>
      <c r="S31" s="342" t="s">
        <v>616</v>
      </c>
    </row>
    <row r="32" spans="1:19">
      <c r="A32" s="342" t="s">
        <v>660</v>
      </c>
      <c r="B32" s="342" t="s">
        <v>661</v>
      </c>
      <c r="C32" s="349" t="s">
        <v>662</v>
      </c>
      <c r="D32" s="346" t="s">
        <v>4547</v>
      </c>
      <c r="E32" s="346" t="s">
        <v>4548</v>
      </c>
      <c r="F32" s="346" t="s">
        <v>4549</v>
      </c>
      <c r="G32" s="352" t="s">
        <v>4550</v>
      </c>
      <c r="H32" s="358"/>
      <c r="I32" s="358"/>
      <c r="J32" s="358"/>
      <c r="K32" s="358"/>
      <c r="L32" s="358"/>
      <c r="M32" s="358"/>
      <c r="S32" s="342" t="s">
        <v>616</v>
      </c>
    </row>
    <row r="33" spans="1:19">
      <c r="A33" s="342" t="s">
        <v>663</v>
      </c>
      <c r="B33" s="342" t="s">
        <v>664</v>
      </c>
      <c r="C33" s="349" t="s">
        <v>665</v>
      </c>
      <c r="D33" s="346" t="s">
        <v>4547</v>
      </c>
      <c r="E33" s="346" t="s">
        <v>4548</v>
      </c>
      <c r="F33" s="346" t="s">
        <v>4549</v>
      </c>
      <c r="G33" s="352" t="s">
        <v>4550</v>
      </c>
      <c r="H33" s="358"/>
      <c r="I33" s="358"/>
      <c r="J33" s="358"/>
      <c r="K33" s="358"/>
      <c r="L33" s="358"/>
      <c r="M33" s="358"/>
      <c r="S33" s="342" t="s">
        <v>616</v>
      </c>
    </row>
    <row r="34" spans="1:19">
      <c r="A34" s="342" t="s">
        <v>666</v>
      </c>
      <c r="B34" s="342" t="s">
        <v>667</v>
      </c>
      <c r="C34" s="349" t="s">
        <v>668</v>
      </c>
      <c r="D34" s="346" t="s">
        <v>4547</v>
      </c>
      <c r="E34" s="346" t="s">
        <v>4548</v>
      </c>
      <c r="F34" s="346" t="s">
        <v>4549</v>
      </c>
      <c r="G34" s="352" t="s">
        <v>4550</v>
      </c>
      <c r="H34" s="358"/>
      <c r="I34" s="358"/>
      <c r="J34" s="358"/>
      <c r="K34" s="358"/>
      <c r="L34" s="358"/>
      <c r="M34" s="358"/>
      <c r="S34" s="342" t="s">
        <v>616</v>
      </c>
    </row>
    <row r="35" spans="1:19">
      <c r="A35" s="342" t="s">
        <v>669</v>
      </c>
      <c r="B35" s="342" t="s">
        <v>670</v>
      </c>
      <c r="C35" s="349" t="s">
        <v>671</v>
      </c>
      <c r="D35" s="346" t="s">
        <v>4547</v>
      </c>
      <c r="E35" s="346" t="s">
        <v>4548</v>
      </c>
      <c r="F35" s="346" t="s">
        <v>4549</v>
      </c>
      <c r="G35" s="352" t="s">
        <v>4550</v>
      </c>
      <c r="H35" s="358"/>
      <c r="I35" s="358"/>
      <c r="J35" s="358"/>
      <c r="K35" s="358"/>
      <c r="L35" s="358"/>
      <c r="M35" s="358"/>
      <c r="S35" s="342" t="s">
        <v>616</v>
      </c>
    </row>
    <row r="36" spans="1:19">
      <c r="A36" s="342" t="s">
        <v>672</v>
      </c>
      <c r="B36" s="342" t="s">
        <v>673</v>
      </c>
      <c r="C36" s="349" t="s">
        <v>674</v>
      </c>
      <c r="D36" s="346" t="s">
        <v>4547</v>
      </c>
      <c r="E36" s="346" t="s">
        <v>4548</v>
      </c>
      <c r="F36" s="346" t="s">
        <v>4549</v>
      </c>
      <c r="G36" s="352" t="s">
        <v>4550</v>
      </c>
      <c r="H36" s="358"/>
      <c r="I36" s="358"/>
      <c r="J36" s="358"/>
      <c r="K36" s="358"/>
      <c r="L36" s="358"/>
      <c r="M36" s="358"/>
      <c r="S36" s="342" t="s">
        <v>616</v>
      </c>
    </row>
    <row r="37" spans="1:19">
      <c r="A37" s="342" t="s">
        <v>675</v>
      </c>
      <c r="B37" s="342" t="s">
        <v>676</v>
      </c>
      <c r="C37" s="349" t="s">
        <v>677</v>
      </c>
      <c r="D37" s="346" t="s">
        <v>4547</v>
      </c>
      <c r="E37" s="346" t="s">
        <v>4548</v>
      </c>
      <c r="F37" s="346" t="s">
        <v>4549</v>
      </c>
      <c r="G37" s="352" t="s">
        <v>4550</v>
      </c>
      <c r="H37" s="358"/>
      <c r="I37" s="358"/>
      <c r="J37" s="358"/>
      <c r="K37" s="358"/>
      <c r="L37" s="358"/>
      <c r="M37" s="358"/>
      <c r="S37" s="342" t="s">
        <v>616</v>
      </c>
    </row>
    <row r="38" spans="1:19">
      <c r="A38" s="342" t="s">
        <v>678</v>
      </c>
      <c r="B38" s="342" t="s">
        <v>679</v>
      </c>
      <c r="C38" s="349" t="s">
        <v>680</v>
      </c>
      <c r="D38" s="346" t="s">
        <v>4547</v>
      </c>
      <c r="E38" s="346" t="s">
        <v>4548</v>
      </c>
      <c r="F38" s="346" t="s">
        <v>4549</v>
      </c>
      <c r="G38" s="352" t="s">
        <v>4550</v>
      </c>
      <c r="H38" s="358"/>
      <c r="I38" s="358"/>
      <c r="J38" s="358"/>
      <c r="K38" s="358"/>
      <c r="L38" s="358"/>
      <c r="M38" s="358"/>
      <c r="S38" s="342" t="s">
        <v>616</v>
      </c>
    </row>
    <row r="39" spans="1:19">
      <c r="A39" s="342" t="s">
        <v>681</v>
      </c>
      <c r="B39" s="342" t="s">
        <v>682</v>
      </c>
      <c r="C39" s="349" t="s">
        <v>683</v>
      </c>
      <c r="D39" s="346" t="s">
        <v>4547</v>
      </c>
      <c r="E39" s="346" t="s">
        <v>4548</v>
      </c>
      <c r="F39" s="346" t="s">
        <v>4549</v>
      </c>
      <c r="G39" s="352" t="s">
        <v>4550</v>
      </c>
      <c r="H39" s="358"/>
      <c r="I39" s="358"/>
      <c r="J39" s="358"/>
      <c r="K39" s="358"/>
      <c r="L39" s="358"/>
      <c r="M39" s="358"/>
      <c r="S39" s="342" t="s">
        <v>616</v>
      </c>
    </row>
    <row r="40" spans="1:19">
      <c r="A40" s="342" t="s">
        <v>684</v>
      </c>
      <c r="B40" s="342" t="s">
        <v>685</v>
      </c>
      <c r="C40" s="349" t="s">
        <v>686</v>
      </c>
      <c r="D40" s="346" t="s">
        <v>4547</v>
      </c>
      <c r="E40" s="346" t="s">
        <v>4548</v>
      </c>
      <c r="F40" s="346" t="s">
        <v>4549</v>
      </c>
      <c r="G40" s="352" t="s">
        <v>4550</v>
      </c>
      <c r="H40" s="358"/>
      <c r="I40" s="358"/>
      <c r="J40" s="358"/>
      <c r="K40" s="358"/>
      <c r="L40" s="358"/>
      <c r="M40" s="358"/>
      <c r="S40" s="342" t="s">
        <v>616</v>
      </c>
    </row>
    <row r="41" spans="1:19">
      <c r="A41" s="342" t="s">
        <v>687</v>
      </c>
      <c r="B41" s="342" t="s">
        <v>688</v>
      </c>
      <c r="C41" s="349" t="s">
        <v>689</v>
      </c>
      <c r="D41" s="346" t="s">
        <v>4547</v>
      </c>
      <c r="E41" s="346" t="s">
        <v>4548</v>
      </c>
      <c r="F41" s="346" t="s">
        <v>4549</v>
      </c>
      <c r="G41" s="352" t="s">
        <v>4550</v>
      </c>
      <c r="H41" s="358"/>
      <c r="I41" s="358"/>
      <c r="J41" s="358"/>
      <c r="K41" s="358"/>
      <c r="L41" s="358"/>
      <c r="M41" s="358"/>
      <c r="S41" s="342" t="s">
        <v>616</v>
      </c>
    </row>
    <row r="42" spans="1:19">
      <c r="A42" s="342" t="s">
        <v>690</v>
      </c>
      <c r="B42" s="342" t="s">
        <v>691</v>
      </c>
      <c r="C42" s="349" t="s">
        <v>692</v>
      </c>
      <c r="D42" s="346" t="s">
        <v>4547</v>
      </c>
      <c r="E42" s="346" t="s">
        <v>4548</v>
      </c>
      <c r="F42" s="346" t="s">
        <v>4549</v>
      </c>
      <c r="G42" s="352" t="s">
        <v>4550</v>
      </c>
      <c r="H42" s="358"/>
      <c r="I42" s="358"/>
      <c r="J42" s="358"/>
      <c r="K42" s="358"/>
      <c r="L42" s="358"/>
      <c r="M42" s="358"/>
      <c r="S42" s="342" t="s">
        <v>616</v>
      </c>
    </row>
    <row r="43" spans="1:19">
      <c r="A43" s="342" t="s">
        <v>693</v>
      </c>
      <c r="B43" s="342" t="s">
        <v>694</v>
      </c>
      <c r="C43" s="349" t="s">
        <v>695</v>
      </c>
      <c r="D43" s="346" t="s">
        <v>4547</v>
      </c>
      <c r="E43" s="346" t="s">
        <v>4548</v>
      </c>
      <c r="F43" s="346" t="s">
        <v>4549</v>
      </c>
      <c r="G43" s="352" t="s">
        <v>4550</v>
      </c>
      <c r="H43" s="358"/>
      <c r="I43" s="358"/>
      <c r="J43" s="358"/>
      <c r="K43" s="358"/>
      <c r="L43" s="358"/>
      <c r="M43" s="358"/>
      <c r="S43" s="342" t="s">
        <v>616</v>
      </c>
    </row>
    <row r="44" spans="1:19">
      <c r="A44" s="342" t="s">
        <v>696</v>
      </c>
      <c r="B44" s="342" t="s">
        <v>697</v>
      </c>
      <c r="C44" s="349" t="s">
        <v>698</v>
      </c>
      <c r="D44" s="346" t="s">
        <v>4547</v>
      </c>
      <c r="E44" s="346" t="s">
        <v>4548</v>
      </c>
      <c r="F44" s="346" t="s">
        <v>4549</v>
      </c>
      <c r="G44" s="352" t="s">
        <v>4550</v>
      </c>
      <c r="H44" s="358"/>
      <c r="I44" s="358"/>
      <c r="J44" s="358"/>
      <c r="K44" s="358"/>
      <c r="L44" s="358"/>
      <c r="M44" s="358"/>
      <c r="S44" s="342" t="s">
        <v>616</v>
      </c>
    </row>
    <row r="45" spans="1:19">
      <c r="A45" s="342" t="s">
        <v>699</v>
      </c>
      <c r="B45" s="342" t="s">
        <v>700</v>
      </c>
      <c r="C45" s="349" t="s">
        <v>701</v>
      </c>
      <c r="D45" s="346" t="s">
        <v>4547</v>
      </c>
      <c r="E45" s="346" t="s">
        <v>4548</v>
      </c>
      <c r="F45" s="346" t="s">
        <v>4549</v>
      </c>
      <c r="G45" s="352" t="s">
        <v>4550</v>
      </c>
      <c r="H45" s="358"/>
      <c r="I45" s="358"/>
      <c r="J45" s="358"/>
      <c r="K45" s="358"/>
      <c r="L45" s="358"/>
      <c r="M45" s="358"/>
      <c r="S45" s="342" t="s">
        <v>616</v>
      </c>
    </row>
    <row r="46" spans="1:19">
      <c r="A46" s="342" t="s">
        <v>702</v>
      </c>
      <c r="B46" s="342" t="s">
        <v>703</v>
      </c>
      <c r="C46" s="349" t="s">
        <v>704</v>
      </c>
      <c r="D46" s="346" t="s">
        <v>4547</v>
      </c>
      <c r="E46" s="346" t="s">
        <v>4548</v>
      </c>
      <c r="F46" s="346" t="s">
        <v>4549</v>
      </c>
      <c r="G46" s="352" t="s">
        <v>4550</v>
      </c>
      <c r="H46" s="358"/>
      <c r="I46" s="358"/>
      <c r="J46" s="358"/>
      <c r="K46" s="358"/>
      <c r="L46" s="358"/>
      <c r="M46" s="358"/>
      <c r="S46" s="342" t="s">
        <v>616</v>
      </c>
    </row>
    <row r="47" spans="1:19">
      <c r="A47" s="342" t="s">
        <v>705</v>
      </c>
      <c r="B47" s="342" t="s">
        <v>706</v>
      </c>
      <c r="C47" s="349" t="s">
        <v>707</v>
      </c>
      <c r="D47" s="346" t="s">
        <v>4547</v>
      </c>
      <c r="E47" s="346" t="s">
        <v>4548</v>
      </c>
      <c r="F47" s="346" t="s">
        <v>4549</v>
      </c>
      <c r="G47" s="352" t="s">
        <v>4550</v>
      </c>
      <c r="H47" s="358"/>
      <c r="I47" s="358"/>
      <c r="J47" s="358"/>
      <c r="K47" s="358"/>
      <c r="L47" s="358"/>
      <c r="M47" s="358"/>
      <c r="S47" s="342" t="s">
        <v>616</v>
      </c>
    </row>
    <row r="48" spans="1:19">
      <c r="A48" s="342" t="s">
        <v>1055</v>
      </c>
      <c r="B48" s="342" t="s">
        <v>1056</v>
      </c>
      <c r="C48" s="349" t="s">
        <v>1057</v>
      </c>
      <c r="D48" s="346" t="s">
        <v>4547</v>
      </c>
      <c r="E48" s="346" t="s">
        <v>4548</v>
      </c>
      <c r="F48" s="346" t="s">
        <v>4549</v>
      </c>
      <c r="G48" s="352" t="s">
        <v>4550</v>
      </c>
      <c r="H48" s="358"/>
      <c r="I48" s="358"/>
      <c r="J48" s="358"/>
      <c r="K48" s="358"/>
      <c r="L48" s="358"/>
      <c r="M48" s="358"/>
      <c r="S48" s="342" t="s">
        <v>1058</v>
      </c>
    </row>
    <row r="49" spans="1:19">
      <c r="A49" s="342" t="s">
        <v>1059</v>
      </c>
      <c r="B49" s="342" t="s">
        <v>1060</v>
      </c>
      <c r="C49" s="349" t="s">
        <v>1061</v>
      </c>
      <c r="D49" s="346" t="s">
        <v>4547</v>
      </c>
      <c r="E49" s="346" t="s">
        <v>4548</v>
      </c>
      <c r="F49" s="346" t="s">
        <v>4549</v>
      </c>
      <c r="G49" s="352" t="s">
        <v>4550</v>
      </c>
      <c r="H49" s="358"/>
      <c r="I49" s="358"/>
      <c r="J49" s="358"/>
      <c r="K49" s="358"/>
      <c r="L49" s="358"/>
      <c r="M49" s="358"/>
      <c r="S49" s="342" t="s">
        <v>1058</v>
      </c>
    </row>
    <row r="50" spans="1:19">
      <c r="A50" s="342" t="s">
        <v>1062</v>
      </c>
      <c r="B50" s="342" t="s">
        <v>1063</v>
      </c>
      <c r="C50" s="349" t="s">
        <v>1064</v>
      </c>
      <c r="D50" s="346" t="s">
        <v>4547</v>
      </c>
      <c r="E50" s="346" t="s">
        <v>4548</v>
      </c>
      <c r="F50" s="346" t="s">
        <v>4549</v>
      </c>
      <c r="G50" s="352" t="s">
        <v>4550</v>
      </c>
      <c r="H50" s="358"/>
      <c r="I50" s="358"/>
      <c r="J50" s="358"/>
      <c r="K50" s="358"/>
      <c r="L50" s="358"/>
      <c r="M50" s="358"/>
      <c r="S50" s="342" t="s">
        <v>1058</v>
      </c>
    </row>
    <row r="51" spans="1:19">
      <c r="A51" s="342" t="s">
        <v>1065</v>
      </c>
      <c r="B51" s="342" t="s">
        <v>1066</v>
      </c>
      <c r="C51" s="349" t="s">
        <v>1067</v>
      </c>
      <c r="D51" s="346" t="s">
        <v>4547</v>
      </c>
      <c r="E51" s="346" t="s">
        <v>4548</v>
      </c>
      <c r="F51" s="346" t="s">
        <v>4549</v>
      </c>
      <c r="G51" s="352" t="s">
        <v>4550</v>
      </c>
      <c r="H51" s="358"/>
      <c r="I51" s="358"/>
      <c r="J51" s="358"/>
      <c r="K51" s="358"/>
      <c r="L51" s="358"/>
      <c r="M51" s="358"/>
      <c r="S51" s="342" t="s">
        <v>1058</v>
      </c>
    </row>
    <row r="52" spans="1:19">
      <c r="A52" s="342" t="s">
        <v>1068</v>
      </c>
      <c r="B52" s="342" t="s">
        <v>1069</v>
      </c>
      <c r="C52" s="349" t="s">
        <v>1070</v>
      </c>
      <c r="D52" s="346" t="s">
        <v>4547</v>
      </c>
      <c r="E52" s="346" t="s">
        <v>4548</v>
      </c>
      <c r="F52" s="346" t="s">
        <v>4549</v>
      </c>
      <c r="G52" s="352" t="s">
        <v>4550</v>
      </c>
      <c r="H52" s="358"/>
      <c r="I52" s="358"/>
      <c r="J52" s="358"/>
      <c r="K52" s="358"/>
      <c r="L52" s="358"/>
      <c r="M52" s="358"/>
      <c r="S52" s="342" t="s">
        <v>1058</v>
      </c>
    </row>
    <row r="53" spans="1:19">
      <c r="A53" s="342" t="s">
        <v>1071</v>
      </c>
      <c r="B53" s="342" t="s">
        <v>1072</v>
      </c>
      <c r="C53" s="349" t="s">
        <v>1073</v>
      </c>
      <c r="D53" s="346" t="s">
        <v>4547</v>
      </c>
      <c r="E53" s="346" t="s">
        <v>4548</v>
      </c>
      <c r="F53" s="346" t="s">
        <v>4549</v>
      </c>
      <c r="G53" s="352" t="s">
        <v>4550</v>
      </c>
      <c r="H53" s="358"/>
      <c r="I53" s="358"/>
      <c r="J53" s="358"/>
      <c r="K53" s="358"/>
      <c r="L53" s="358"/>
      <c r="M53" s="358"/>
      <c r="S53" s="342" t="s">
        <v>1058</v>
      </c>
    </row>
    <row r="54" spans="1:19">
      <c r="A54" s="342" t="s">
        <v>1074</v>
      </c>
      <c r="B54" s="342" t="s">
        <v>1075</v>
      </c>
      <c r="C54" s="349" t="s">
        <v>1076</v>
      </c>
      <c r="D54" s="346" t="s">
        <v>4547</v>
      </c>
      <c r="E54" s="346" t="s">
        <v>4548</v>
      </c>
      <c r="F54" s="346" t="s">
        <v>4549</v>
      </c>
      <c r="G54" s="352" t="s">
        <v>4550</v>
      </c>
      <c r="H54" s="358"/>
      <c r="I54" s="358"/>
      <c r="J54" s="358"/>
      <c r="K54" s="358"/>
      <c r="L54" s="358"/>
      <c r="M54" s="358"/>
      <c r="S54" s="342" t="s">
        <v>1058</v>
      </c>
    </row>
    <row r="55" spans="1:19">
      <c r="A55" s="342" t="s">
        <v>1077</v>
      </c>
      <c r="B55" s="342" t="s">
        <v>1078</v>
      </c>
      <c r="C55" s="349" t="s">
        <v>1079</v>
      </c>
      <c r="D55" s="346" t="s">
        <v>4547</v>
      </c>
      <c r="E55" s="346" t="s">
        <v>4548</v>
      </c>
      <c r="F55" s="346" t="s">
        <v>4549</v>
      </c>
      <c r="G55" s="352" t="s">
        <v>4550</v>
      </c>
      <c r="H55" s="358"/>
      <c r="I55" s="358"/>
      <c r="J55" s="358"/>
      <c r="K55" s="358"/>
      <c r="L55" s="358"/>
      <c r="M55" s="358"/>
      <c r="S55" s="342" t="s">
        <v>1058</v>
      </c>
    </row>
    <row r="56" spans="1:19">
      <c r="A56" s="342" t="s">
        <v>1080</v>
      </c>
      <c r="B56" s="342" t="s">
        <v>1081</v>
      </c>
      <c r="C56" s="349" t="s">
        <v>1082</v>
      </c>
      <c r="D56" s="346" t="s">
        <v>4547</v>
      </c>
      <c r="E56" s="346" t="s">
        <v>4548</v>
      </c>
      <c r="F56" s="346" t="s">
        <v>4549</v>
      </c>
      <c r="G56" s="352" t="s">
        <v>4550</v>
      </c>
      <c r="H56" s="358"/>
      <c r="I56" s="358"/>
      <c r="J56" s="358"/>
      <c r="K56" s="358"/>
      <c r="L56" s="358"/>
      <c r="M56" s="358"/>
      <c r="S56" s="342" t="s">
        <v>1058</v>
      </c>
    </row>
    <row r="57" spans="1:19">
      <c r="A57" s="342" t="s">
        <v>1083</v>
      </c>
      <c r="B57" s="342" t="s">
        <v>1084</v>
      </c>
      <c r="C57" s="349" t="s">
        <v>1085</v>
      </c>
      <c r="D57" s="346" t="s">
        <v>4547</v>
      </c>
      <c r="E57" s="346" t="s">
        <v>4548</v>
      </c>
      <c r="F57" s="346" t="s">
        <v>4549</v>
      </c>
      <c r="G57" s="352" t="s">
        <v>4550</v>
      </c>
      <c r="H57" s="358"/>
      <c r="I57" s="358"/>
      <c r="J57" s="358"/>
      <c r="K57" s="358"/>
      <c r="L57" s="358"/>
      <c r="M57" s="358"/>
      <c r="S57" s="342" t="s">
        <v>1058</v>
      </c>
    </row>
    <row r="58" spans="1:19">
      <c r="A58" s="342" t="s">
        <v>1086</v>
      </c>
      <c r="B58" s="342" t="s">
        <v>1087</v>
      </c>
      <c r="C58" s="349" t="s">
        <v>1088</v>
      </c>
      <c r="D58" s="346" t="s">
        <v>4547</v>
      </c>
      <c r="E58" s="346" t="s">
        <v>4548</v>
      </c>
      <c r="F58" s="346" t="s">
        <v>4549</v>
      </c>
      <c r="G58" s="352" t="s">
        <v>4550</v>
      </c>
      <c r="H58" s="358"/>
      <c r="I58" s="358"/>
      <c r="J58" s="358"/>
      <c r="K58" s="358"/>
      <c r="L58" s="358"/>
      <c r="M58" s="358"/>
      <c r="S58" s="342" t="s">
        <v>1058</v>
      </c>
    </row>
    <row r="59" spans="1:19">
      <c r="A59" s="342" t="s">
        <v>1089</v>
      </c>
      <c r="B59" s="342" t="s">
        <v>1090</v>
      </c>
      <c r="C59" s="349" t="s">
        <v>1091</v>
      </c>
      <c r="D59" s="346" t="s">
        <v>4547</v>
      </c>
      <c r="E59" s="346" t="s">
        <v>4548</v>
      </c>
      <c r="F59" s="346" t="s">
        <v>4549</v>
      </c>
      <c r="G59" s="352" t="s">
        <v>4550</v>
      </c>
      <c r="H59" s="358"/>
      <c r="I59" s="358"/>
      <c r="J59" s="358"/>
      <c r="K59" s="358"/>
      <c r="L59" s="358"/>
      <c r="M59" s="358"/>
      <c r="S59" s="342" t="s">
        <v>1058</v>
      </c>
    </row>
    <row r="60" spans="1:19">
      <c r="A60" s="342" t="s">
        <v>1092</v>
      </c>
      <c r="B60" s="342" t="s">
        <v>1093</v>
      </c>
      <c r="C60" s="349" t="s">
        <v>1094</v>
      </c>
      <c r="D60" s="346" t="s">
        <v>4547</v>
      </c>
      <c r="E60" s="346" t="s">
        <v>4548</v>
      </c>
      <c r="F60" s="346" t="s">
        <v>4549</v>
      </c>
      <c r="G60" s="352" t="s">
        <v>4550</v>
      </c>
      <c r="H60" s="358"/>
      <c r="I60" s="358"/>
      <c r="J60" s="358"/>
      <c r="K60" s="358"/>
      <c r="L60" s="358"/>
      <c r="M60" s="358"/>
      <c r="S60" s="342" t="s">
        <v>1058</v>
      </c>
    </row>
    <row r="61" spans="1:19">
      <c r="A61" s="342" t="s">
        <v>1095</v>
      </c>
      <c r="B61" s="342" t="s">
        <v>1096</v>
      </c>
      <c r="C61" s="349" t="s">
        <v>1097</v>
      </c>
      <c r="D61" s="346" t="s">
        <v>4547</v>
      </c>
      <c r="E61" s="346" t="s">
        <v>4548</v>
      </c>
      <c r="F61" s="346" t="s">
        <v>4549</v>
      </c>
      <c r="G61" s="352" t="s">
        <v>4550</v>
      </c>
      <c r="H61" s="358"/>
      <c r="I61" s="358"/>
      <c r="J61" s="358"/>
      <c r="K61" s="358"/>
      <c r="L61" s="358"/>
      <c r="M61" s="358"/>
      <c r="S61" s="342" t="s">
        <v>1058</v>
      </c>
    </row>
    <row r="62" spans="1:19">
      <c r="A62" s="342" t="s">
        <v>1098</v>
      </c>
      <c r="B62" s="342" t="s">
        <v>1099</v>
      </c>
      <c r="C62" s="349" t="s">
        <v>1100</v>
      </c>
      <c r="D62" s="346" t="s">
        <v>4547</v>
      </c>
      <c r="E62" s="346" t="s">
        <v>4548</v>
      </c>
      <c r="F62" s="346" t="s">
        <v>4549</v>
      </c>
      <c r="G62" s="352" t="s">
        <v>4550</v>
      </c>
      <c r="H62" s="358"/>
      <c r="I62" s="358"/>
      <c r="J62" s="358"/>
      <c r="K62" s="358"/>
      <c r="L62" s="358"/>
      <c r="M62" s="358"/>
      <c r="S62" s="342" t="s">
        <v>1058</v>
      </c>
    </row>
    <row r="63" spans="1:19">
      <c r="A63" s="342" t="s">
        <v>1101</v>
      </c>
      <c r="B63" s="342" t="s">
        <v>1102</v>
      </c>
      <c r="C63" s="349" t="s">
        <v>1103</v>
      </c>
      <c r="D63" s="346" t="s">
        <v>4547</v>
      </c>
      <c r="E63" s="346" t="s">
        <v>4548</v>
      </c>
      <c r="F63" s="346" t="s">
        <v>4549</v>
      </c>
      <c r="G63" s="352" t="s">
        <v>4550</v>
      </c>
      <c r="H63" s="358"/>
      <c r="I63" s="358"/>
      <c r="J63" s="358"/>
      <c r="K63" s="358"/>
      <c r="L63" s="358"/>
      <c r="M63" s="358"/>
      <c r="S63" s="342" t="s">
        <v>1058</v>
      </c>
    </row>
    <row r="64" spans="1:19">
      <c r="A64" s="342" t="s">
        <v>708</v>
      </c>
      <c r="B64" s="342" t="s">
        <v>709</v>
      </c>
      <c r="C64" s="349" t="s">
        <v>710</v>
      </c>
      <c r="D64" s="346" t="s">
        <v>4547</v>
      </c>
      <c r="E64" s="346" t="s">
        <v>4548</v>
      </c>
      <c r="F64" s="346" t="s">
        <v>4549</v>
      </c>
      <c r="G64" s="352" t="s">
        <v>4550</v>
      </c>
      <c r="H64" s="358"/>
      <c r="I64" s="358"/>
      <c r="J64" s="358"/>
      <c r="K64" s="358"/>
      <c r="L64" s="358"/>
      <c r="M64" s="358"/>
      <c r="S64" s="342" t="s">
        <v>711</v>
      </c>
    </row>
    <row r="65" spans="1:19">
      <c r="A65" s="342" t="s">
        <v>712</v>
      </c>
      <c r="B65" s="342" t="s">
        <v>713</v>
      </c>
      <c r="C65" s="349" t="s">
        <v>714</v>
      </c>
      <c r="D65" s="346" t="s">
        <v>4547</v>
      </c>
      <c r="E65" s="346" t="s">
        <v>4548</v>
      </c>
      <c r="F65" s="346" t="s">
        <v>4549</v>
      </c>
      <c r="G65" s="352" t="s">
        <v>4550</v>
      </c>
      <c r="H65" s="358"/>
      <c r="I65" s="358"/>
      <c r="J65" s="358"/>
      <c r="K65" s="358"/>
      <c r="L65" s="358"/>
      <c r="M65" s="358"/>
      <c r="S65" s="342" t="s">
        <v>711</v>
      </c>
    </row>
    <row r="66" spans="1:19">
      <c r="A66" s="342" t="s">
        <v>715</v>
      </c>
      <c r="B66" s="342" t="s">
        <v>716</v>
      </c>
      <c r="C66" s="349" t="s">
        <v>717</v>
      </c>
      <c r="D66" s="346" t="s">
        <v>4547</v>
      </c>
      <c r="E66" s="346" t="s">
        <v>4548</v>
      </c>
      <c r="F66" s="346" t="s">
        <v>4549</v>
      </c>
      <c r="G66" s="352" t="s">
        <v>4550</v>
      </c>
      <c r="H66" s="358"/>
      <c r="I66" s="358"/>
      <c r="J66" s="358"/>
      <c r="K66" s="358"/>
      <c r="L66" s="358"/>
      <c r="M66" s="358"/>
      <c r="S66" s="342" t="s">
        <v>711</v>
      </c>
    </row>
    <row r="67" spans="1:19">
      <c r="A67" s="342" t="s">
        <v>718</v>
      </c>
      <c r="B67" s="342" t="s">
        <v>719</v>
      </c>
      <c r="C67" s="349" t="s">
        <v>720</v>
      </c>
      <c r="D67" s="346" t="s">
        <v>4547</v>
      </c>
      <c r="E67" s="346" t="s">
        <v>4548</v>
      </c>
      <c r="F67" s="346" t="s">
        <v>4549</v>
      </c>
      <c r="G67" s="352" t="s">
        <v>4550</v>
      </c>
      <c r="H67" s="358"/>
      <c r="I67" s="358"/>
      <c r="J67" s="358"/>
      <c r="K67" s="358"/>
      <c r="L67" s="358"/>
      <c r="M67" s="358"/>
      <c r="S67" s="342" t="s">
        <v>711</v>
      </c>
    </row>
    <row r="68" spans="1:19">
      <c r="A68" s="342" t="s">
        <v>721</v>
      </c>
      <c r="B68" s="342" t="s">
        <v>722</v>
      </c>
      <c r="C68" s="349" t="s">
        <v>723</v>
      </c>
      <c r="D68" s="346" t="s">
        <v>4547</v>
      </c>
      <c r="E68" s="346" t="s">
        <v>4548</v>
      </c>
      <c r="F68" s="346" t="s">
        <v>4549</v>
      </c>
      <c r="G68" s="352" t="s">
        <v>4550</v>
      </c>
      <c r="H68" s="358"/>
      <c r="I68" s="358"/>
      <c r="J68" s="358"/>
      <c r="K68" s="358"/>
      <c r="L68" s="358"/>
      <c r="M68" s="358"/>
      <c r="S68" s="342" t="s">
        <v>711</v>
      </c>
    </row>
    <row r="69" spans="1:19">
      <c r="A69" s="342" t="s">
        <v>2132</v>
      </c>
      <c r="B69" s="342" t="s">
        <v>738</v>
      </c>
      <c r="C69" s="349" t="s">
        <v>739</v>
      </c>
      <c r="D69" s="346" t="s">
        <v>4547</v>
      </c>
      <c r="E69" s="346" t="s">
        <v>4548</v>
      </c>
      <c r="F69" s="346" t="s">
        <v>4549</v>
      </c>
      <c r="G69" s="352" t="s">
        <v>4550</v>
      </c>
      <c r="H69" s="88" t="s">
        <v>4552</v>
      </c>
      <c r="I69" s="88" t="s">
        <v>4518</v>
      </c>
      <c r="J69" s="358"/>
      <c r="K69" s="358"/>
      <c r="L69" s="358"/>
      <c r="M69" s="358"/>
      <c r="S69" s="342" t="s">
        <v>740</v>
      </c>
    </row>
    <row r="70" spans="1:19" ht="22.5">
      <c r="A70" s="342" t="s">
        <v>741</v>
      </c>
      <c r="B70" s="342" t="s">
        <v>742</v>
      </c>
      <c r="C70" s="349" t="s">
        <v>743</v>
      </c>
      <c r="D70" s="346" t="s">
        <v>4547</v>
      </c>
      <c r="E70" s="346" t="s">
        <v>4548</v>
      </c>
      <c r="F70" s="346" t="s">
        <v>4549</v>
      </c>
      <c r="G70" s="352" t="s">
        <v>4550</v>
      </c>
      <c r="H70" s="88" t="s">
        <v>4552</v>
      </c>
      <c r="I70" s="88" t="s">
        <v>4518</v>
      </c>
      <c r="J70" s="358"/>
      <c r="K70" s="358"/>
      <c r="L70" s="358"/>
      <c r="M70" s="358"/>
      <c r="S70" s="342" t="s">
        <v>740</v>
      </c>
    </row>
    <row r="71" spans="1:19" ht="22.5">
      <c r="A71" s="342" t="s">
        <v>744</v>
      </c>
      <c r="B71" s="342" t="s">
        <v>745</v>
      </c>
      <c r="C71" s="349" t="s">
        <v>746</v>
      </c>
      <c r="D71" s="346" t="s">
        <v>4547</v>
      </c>
      <c r="E71" s="346" t="s">
        <v>4548</v>
      </c>
      <c r="F71" s="346" t="s">
        <v>4549</v>
      </c>
      <c r="G71" s="352" t="s">
        <v>4550</v>
      </c>
      <c r="H71" s="88" t="s">
        <v>4552</v>
      </c>
      <c r="I71" s="88" t="s">
        <v>4518</v>
      </c>
      <c r="J71" s="358"/>
      <c r="K71" s="358"/>
      <c r="L71" s="358"/>
      <c r="M71" s="358"/>
      <c r="S71" s="342" t="s">
        <v>740</v>
      </c>
    </row>
    <row r="72" spans="1:19">
      <c r="A72" s="342" t="s">
        <v>747</v>
      </c>
      <c r="B72" s="342" t="s">
        <v>748</v>
      </c>
      <c r="C72" s="349" t="s">
        <v>749</v>
      </c>
      <c r="D72" s="346" t="s">
        <v>4547</v>
      </c>
      <c r="E72" s="346" t="s">
        <v>4548</v>
      </c>
      <c r="F72" s="346" t="s">
        <v>4549</v>
      </c>
      <c r="G72" s="352" t="s">
        <v>4550</v>
      </c>
      <c r="H72" s="88" t="s">
        <v>4552</v>
      </c>
      <c r="I72" s="88" t="s">
        <v>4518</v>
      </c>
      <c r="J72" s="358"/>
      <c r="K72" s="358"/>
      <c r="L72" s="358"/>
      <c r="M72" s="358"/>
      <c r="S72" s="342" t="s">
        <v>740</v>
      </c>
    </row>
    <row r="73" spans="1:19">
      <c r="A73" s="342" t="s">
        <v>753</v>
      </c>
      <c r="B73" s="342" t="s">
        <v>754</v>
      </c>
      <c r="C73" s="349" t="s">
        <v>752</v>
      </c>
      <c r="D73" s="346" t="s">
        <v>4547</v>
      </c>
      <c r="E73" s="346" t="s">
        <v>4548</v>
      </c>
      <c r="F73" s="346" t="s">
        <v>4549</v>
      </c>
      <c r="G73" s="352" t="s">
        <v>4550</v>
      </c>
      <c r="H73" s="88" t="s">
        <v>4552</v>
      </c>
      <c r="I73" s="88" t="s">
        <v>4518</v>
      </c>
      <c r="J73" s="358"/>
      <c r="K73" s="358"/>
      <c r="L73" s="358"/>
      <c r="M73" s="358"/>
      <c r="S73" s="342" t="s">
        <v>740</v>
      </c>
    </row>
    <row r="74" spans="1:19">
      <c r="A74" s="342" t="s">
        <v>2170</v>
      </c>
      <c r="B74" s="342" t="s">
        <v>751</v>
      </c>
      <c r="C74" s="349" t="s">
        <v>755</v>
      </c>
      <c r="D74" s="346" t="s">
        <v>4547</v>
      </c>
      <c r="E74" s="346" t="s">
        <v>4548</v>
      </c>
      <c r="F74" s="346" t="s">
        <v>4549</v>
      </c>
      <c r="G74" s="352" t="s">
        <v>4550</v>
      </c>
      <c r="H74" s="88" t="s">
        <v>4552</v>
      </c>
      <c r="I74" s="88" t="s">
        <v>4518</v>
      </c>
      <c r="J74" s="358"/>
      <c r="K74" s="358"/>
      <c r="L74" s="358"/>
      <c r="M74" s="358"/>
      <c r="S74" s="342" t="s">
        <v>740</v>
      </c>
    </row>
    <row r="75" spans="1:19">
      <c r="A75" s="342" t="s">
        <v>756</v>
      </c>
      <c r="B75" s="342" t="s">
        <v>757</v>
      </c>
      <c r="C75" s="349" t="s">
        <v>758</v>
      </c>
      <c r="D75" s="346" t="s">
        <v>4547</v>
      </c>
      <c r="E75" s="346" t="s">
        <v>4548</v>
      </c>
      <c r="F75" s="346" t="s">
        <v>4549</v>
      </c>
      <c r="G75" s="352" t="s">
        <v>4550</v>
      </c>
      <c r="H75" s="88" t="s">
        <v>4552</v>
      </c>
      <c r="I75" s="88" t="s">
        <v>4518</v>
      </c>
      <c r="J75" s="358"/>
      <c r="K75" s="358"/>
      <c r="L75" s="358"/>
      <c r="M75" s="358"/>
      <c r="S75" s="342" t="s">
        <v>740</v>
      </c>
    </row>
    <row r="76" spans="1:19">
      <c r="A76" s="342" t="s">
        <v>759</v>
      </c>
      <c r="B76" s="342" t="s">
        <v>760</v>
      </c>
      <c r="C76" s="349" t="s">
        <v>761</v>
      </c>
      <c r="D76" s="346" t="s">
        <v>4547</v>
      </c>
      <c r="E76" s="346" t="s">
        <v>4548</v>
      </c>
      <c r="F76" s="346" t="s">
        <v>4549</v>
      </c>
      <c r="G76" s="352" t="s">
        <v>4550</v>
      </c>
      <c r="H76" s="88" t="s">
        <v>4552</v>
      </c>
      <c r="I76" s="88" t="s">
        <v>4518</v>
      </c>
      <c r="J76" s="358"/>
      <c r="K76" s="358"/>
      <c r="L76" s="358"/>
      <c r="M76" s="358"/>
      <c r="S76" s="342" t="s">
        <v>740</v>
      </c>
    </row>
    <row r="77" spans="1:19">
      <c r="A77" s="342" t="s">
        <v>762</v>
      </c>
      <c r="B77" s="342" t="s">
        <v>763</v>
      </c>
      <c r="C77" s="349" t="s">
        <v>764</v>
      </c>
      <c r="D77" s="346" t="s">
        <v>4547</v>
      </c>
      <c r="E77" s="346" t="s">
        <v>4548</v>
      </c>
      <c r="F77" s="346" t="s">
        <v>4549</v>
      </c>
      <c r="G77" s="352" t="s">
        <v>4550</v>
      </c>
      <c r="H77" s="88" t="s">
        <v>4552</v>
      </c>
      <c r="I77" s="88" t="s">
        <v>4518</v>
      </c>
      <c r="J77" s="358"/>
      <c r="K77" s="358"/>
      <c r="L77" s="358"/>
      <c r="M77" s="358"/>
      <c r="S77" s="342" t="s">
        <v>740</v>
      </c>
    </row>
    <row r="78" spans="1:19">
      <c r="A78" s="342" t="s">
        <v>765</v>
      </c>
      <c r="B78" s="342" t="s">
        <v>766</v>
      </c>
      <c r="C78" s="349" t="s">
        <v>767</v>
      </c>
      <c r="D78" s="346" t="s">
        <v>4547</v>
      </c>
      <c r="E78" s="346" t="s">
        <v>4548</v>
      </c>
      <c r="F78" s="346" t="s">
        <v>4549</v>
      </c>
      <c r="G78" s="352" t="s">
        <v>4550</v>
      </c>
      <c r="H78" s="88" t="s">
        <v>4552</v>
      </c>
      <c r="I78" s="88" t="s">
        <v>4518</v>
      </c>
      <c r="J78" s="358"/>
      <c r="K78" s="358"/>
      <c r="L78" s="358"/>
      <c r="M78" s="358"/>
      <c r="S78" s="342" t="s">
        <v>740</v>
      </c>
    </row>
    <row r="79" spans="1:19">
      <c r="A79" s="342" t="s">
        <v>768</v>
      </c>
      <c r="B79" s="342" t="s">
        <v>769</v>
      </c>
      <c r="C79" s="523" t="s">
        <v>770</v>
      </c>
      <c r="D79" s="346" t="s">
        <v>4547</v>
      </c>
      <c r="E79" s="346" t="s">
        <v>4548</v>
      </c>
      <c r="F79" s="346" t="s">
        <v>4549</v>
      </c>
      <c r="G79" s="352" t="s">
        <v>4550</v>
      </c>
      <c r="H79" s="88" t="s">
        <v>4552</v>
      </c>
      <c r="I79" s="88" t="s">
        <v>4518</v>
      </c>
      <c r="J79" s="358"/>
      <c r="K79" s="358"/>
      <c r="L79" s="358"/>
      <c r="M79" s="358"/>
      <c r="S79" s="342" t="s">
        <v>740</v>
      </c>
    </row>
    <row r="80" spans="1:19">
      <c r="A80" s="342" t="s">
        <v>771</v>
      </c>
      <c r="B80" s="342" t="s">
        <v>772</v>
      </c>
      <c r="C80" s="349" t="s">
        <v>773</v>
      </c>
      <c r="D80" s="346" t="s">
        <v>4547</v>
      </c>
      <c r="E80" s="346" t="s">
        <v>4548</v>
      </c>
      <c r="F80" s="346" t="s">
        <v>4549</v>
      </c>
      <c r="G80" s="352" t="s">
        <v>4550</v>
      </c>
      <c r="H80" s="88" t="s">
        <v>4552</v>
      </c>
      <c r="I80" s="88" t="s">
        <v>4518</v>
      </c>
      <c r="J80" s="358"/>
      <c r="K80" s="358"/>
      <c r="L80" s="358"/>
      <c r="M80" s="358"/>
      <c r="S80" s="342" t="s">
        <v>740</v>
      </c>
    </row>
    <row r="81" spans="1:19" ht="22.5">
      <c r="A81" s="342" t="s">
        <v>774</v>
      </c>
      <c r="B81" s="342" t="s">
        <v>775</v>
      </c>
      <c r="C81" s="349" t="s">
        <v>776</v>
      </c>
      <c r="D81" s="346" t="s">
        <v>4547</v>
      </c>
      <c r="E81" s="346" t="s">
        <v>4548</v>
      </c>
      <c r="F81" s="346" t="s">
        <v>4549</v>
      </c>
      <c r="G81" s="352" t="s">
        <v>4550</v>
      </c>
      <c r="H81" s="88" t="s">
        <v>4552</v>
      </c>
      <c r="I81" s="88" t="s">
        <v>4518</v>
      </c>
      <c r="J81" s="358"/>
      <c r="K81" s="358"/>
      <c r="L81" s="358"/>
      <c r="M81" s="358"/>
      <c r="S81" s="342" t="s">
        <v>740</v>
      </c>
    </row>
    <row r="82" spans="1:19" ht="22.5">
      <c r="A82" s="342" t="s">
        <v>777</v>
      </c>
      <c r="B82" s="342" t="s">
        <v>778</v>
      </c>
      <c r="C82" s="349" t="s">
        <v>779</v>
      </c>
      <c r="D82" s="346" t="s">
        <v>4547</v>
      </c>
      <c r="E82" s="346" t="s">
        <v>4548</v>
      </c>
      <c r="F82" s="346" t="s">
        <v>4549</v>
      </c>
      <c r="G82" s="352" t="s">
        <v>4550</v>
      </c>
      <c r="H82" s="88" t="s">
        <v>4552</v>
      </c>
      <c r="I82" s="88" t="s">
        <v>4518</v>
      </c>
      <c r="J82" s="358"/>
      <c r="K82" s="358"/>
      <c r="L82" s="358"/>
      <c r="M82" s="358"/>
      <c r="S82" s="342" t="s">
        <v>740</v>
      </c>
    </row>
    <row r="83" spans="1:19" ht="22.5">
      <c r="A83" s="342" t="s">
        <v>780</v>
      </c>
      <c r="B83" s="342" t="s">
        <v>781</v>
      </c>
      <c r="C83" s="349" t="s">
        <v>782</v>
      </c>
      <c r="D83" s="346" t="s">
        <v>4547</v>
      </c>
      <c r="E83" s="346" t="s">
        <v>4548</v>
      </c>
      <c r="F83" s="346" t="s">
        <v>4549</v>
      </c>
      <c r="G83" s="352" t="s">
        <v>4550</v>
      </c>
      <c r="H83" s="88" t="s">
        <v>4552</v>
      </c>
      <c r="I83" s="88" t="s">
        <v>4518</v>
      </c>
      <c r="J83" s="358"/>
      <c r="K83" s="358"/>
      <c r="L83" s="358"/>
      <c r="M83" s="358"/>
      <c r="S83" s="342" t="s">
        <v>740</v>
      </c>
    </row>
    <row r="84" spans="1:19" ht="22.5">
      <c r="A84" s="342" t="s">
        <v>783</v>
      </c>
      <c r="B84" s="342" t="s">
        <v>784</v>
      </c>
      <c r="C84" s="349" t="s">
        <v>785</v>
      </c>
      <c r="D84" s="346" t="s">
        <v>4547</v>
      </c>
      <c r="E84" s="346" t="s">
        <v>4548</v>
      </c>
      <c r="F84" s="346" t="s">
        <v>4549</v>
      </c>
      <c r="G84" s="352" t="s">
        <v>4550</v>
      </c>
      <c r="H84" s="88" t="s">
        <v>4552</v>
      </c>
      <c r="I84" s="88" t="s">
        <v>4518</v>
      </c>
      <c r="J84" s="358"/>
      <c r="K84" s="358"/>
      <c r="L84" s="358"/>
      <c r="M84" s="358"/>
      <c r="S84" s="342" t="s">
        <v>740</v>
      </c>
    </row>
    <row r="85" spans="1:19" ht="33.75">
      <c r="A85" s="342" t="s">
        <v>786</v>
      </c>
      <c r="B85" s="342" t="s">
        <v>787</v>
      </c>
      <c r="C85" s="349" t="s">
        <v>788</v>
      </c>
      <c r="D85" s="346" t="s">
        <v>4547</v>
      </c>
      <c r="E85" s="346" t="s">
        <v>4548</v>
      </c>
      <c r="F85" s="346" t="s">
        <v>4549</v>
      </c>
      <c r="G85" s="352" t="s">
        <v>4550</v>
      </c>
      <c r="H85" s="88" t="s">
        <v>4552</v>
      </c>
      <c r="I85" s="88" t="s">
        <v>4518</v>
      </c>
      <c r="J85" s="358"/>
      <c r="K85" s="358"/>
      <c r="L85" s="358"/>
      <c r="M85" s="358"/>
      <c r="S85" s="342" t="s">
        <v>740</v>
      </c>
    </row>
    <row r="86" spans="1:19" ht="33.75">
      <c r="A86" s="342" t="s">
        <v>789</v>
      </c>
      <c r="B86" s="342" t="s">
        <v>790</v>
      </c>
      <c r="C86" s="349" t="s">
        <v>791</v>
      </c>
      <c r="D86" s="346" t="s">
        <v>4547</v>
      </c>
      <c r="E86" s="346" t="s">
        <v>4548</v>
      </c>
      <c r="F86" s="346" t="s">
        <v>4549</v>
      </c>
      <c r="G86" s="352" t="s">
        <v>4550</v>
      </c>
      <c r="H86" s="88" t="s">
        <v>4552</v>
      </c>
      <c r="I86" s="88" t="s">
        <v>4518</v>
      </c>
      <c r="J86" s="358"/>
      <c r="K86" s="358"/>
      <c r="L86" s="358"/>
      <c r="M86" s="358"/>
      <c r="S86" s="342" t="s">
        <v>740</v>
      </c>
    </row>
    <row r="87" spans="1:19" ht="22.5">
      <c r="A87" s="342" t="s">
        <v>792</v>
      </c>
      <c r="B87" s="342" t="s">
        <v>793</v>
      </c>
      <c r="C87" s="349" t="s">
        <v>794</v>
      </c>
      <c r="D87" s="346" t="s">
        <v>4547</v>
      </c>
      <c r="E87" s="346" t="s">
        <v>4548</v>
      </c>
      <c r="F87" s="346" t="s">
        <v>4549</v>
      </c>
      <c r="G87" s="352" t="s">
        <v>4550</v>
      </c>
      <c r="H87" s="88" t="s">
        <v>4552</v>
      </c>
      <c r="I87" s="88" t="s">
        <v>4518</v>
      </c>
      <c r="J87" s="358"/>
      <c r="K87" s="358"/>
      <c r="L87" s="358"/>
      <c r="M87" s="358"/>
      <c r="S87" s="342" t="s">
        <v>740</v>
      </c>
    </row>
    <row r="88" spans="1:19" ht="22.5">
      <c r="A88" s="342" t="s">
        <v>795</v>
      </c>
      <c r="B88" s="342" t="s">
        <v>796</v>
      </c>
      <c r="C88" s="349" t="s">
        <v>797</v>
      </c>
      <c r="D88" s="346" t="s">
        <v>4547</v>
      </c>
      <c r="E88" s="346" t="s">
        <v>4548</v>
      </c>
      <c r="F88" s="346" t="s">
        <v>4549</v>
      </c>
      <c r="G88" s="352" t="s">
        <v>4550</v>
      </c>
      <c r="H88" s="88" t="s">
        <v>4552</v>
      </c>
      <c r="I88" s="88" t="s">
        <v>4518</v>
      </c>
      <c r="J88" s="358"/>
      <c r="K88" s="358"/>
      <c r="L88" s="358"/>
      <c r="M88" s="358"/>
      <c r="S88" s="342" t="s">
        <v>740</v>
      </c>
    </row>
    <row r="89" spans="1:19" ht="33.75">
      <c r="A89" s="342" t="s">
        <v>798</v>
      </c>
      <c r="B89" s="342" t="s">
        <v>799</v>
      </c>
      <c r="C89" s="349" t="s">
        <v>800</v>
      </c>
      <c r="D89" s="346" t="s">
        <v>4547</v>
      </c>
      <c r="E89" s="346" t="s">
        <v>4548</v>
      </c>
      <c r="F89" s="346" t="s">
        <v>4549</v>
      </c>
      <c r="G89" s="352" t="s">
        <v>4550</v>
      </c>
      <c r="H89" s="88" t="s">
        <v>4552</v>
      </c>
      <c r="I89" s="88" t="s">
        <v>4518</v>
      </c>
      <c r="J89" s="358"/>
      <c r="K89" s="358"/>
      <c r="L89" s="358"/>
      <c r="M89" s="358"/>
      <c r="S89" s="342" t="s">
        <v>740</v>
      </c>
    </row>
    <row r="90" spans="1:19" ht="22.5">
      <c r="A90" s="342" t="s">
        <v>801</v>
      </c>
      <c r="B90" s="342" t="s">
        <v>802</v>
      </c>
      <c r="C90" s="349" t="s">
        <v>803</v>
      </c>
      <c r="D90" s="346" t="s">
        <v>4547</v>
      </c>
      <c r="E90" s="346" t="s">
        <v>4548</v>
      </c>
      <c r="F90" s="346" t="s">
        <v>4549</v>
      </c>
      <c r="G90" s="352" t="s">
        <v>4550</v>
      </c>
      <c r="H90" s="88" t="s">
        <v>4552</v>
      </c>
      <c r="I90" s="88" t="s">
        <v>4518</v>
      </c>
      <c r="J90" s="358"/>
      <c r="K90" s="358"/>
      <c r="L90" s="358"/>
      <c r="M90" s="358"/>
      <c r="S90" s="342" t="s">
        <v>740</v>
      </c>
    </row>
    <row r="91" spans="1:19" ht="22.5">
      <c r="A91" s="342" t="s">
        <v>804</v>
      </c>
      <c r="B91" s="342" t="s">
        <v>805</v>
      </c>
      <c r="C91" s="349" t="s">
        <v>806</v>
      </c>
      <c r="D91" s="346" t="s">
        <v>4547</v>
      </c>
      <c r="E91" s="346" t="s">
        <v>4548</v>
      </c>
      <c r="F91" s="346" t="s">
        <v>4549</v>
      </c>
      <c r="G91" s="352" t="s">
        <v>4550</v>
      </c>
      <c r="H91" s="88" t="s">
        <v>4552</v>
      </c>
      <c r="I91" s="88" t="s">
        <v>4518</v>
      </c>
      <c r="J91" s="358"/>
      <c r="K91" s="358"/>
      <c r="L91" s="358"/>
      <c r="M91" s="358"/>
      <c r="S91" s="342" t="s">
        <v>740</v>
      </c>
    </row>
    <row r="92" spans="1:19" ht="33.75">
      <c r="A92" s="342" t="s">
        <v>807</v>
      </c>
      <c r="B92" s="342" t="s">
        <v>808</v>
      </c>
      <c r="C92" s="523" t="s">
        <v>809</v>
      </c>
      <c r="D92" s="346" t="s">
        <v>4547</v>
      </c>
      <c r="E92" s="346" t="s">
        <v>4548</v>
      </c>
      <c r="F92" s="346" t="s">
        <v>4549</v>
      </c>
      <c r="G92" s="352" t="s">
        <v>4550</v>
      </c>
      <c r="H92" s="88" t="s">
        <v>4552</v>
      </c>
      <c r="I92" s="88" t="s">
        <v>4518</v>
      </c>
      <c r="J92" s="358"/>
      <c r="K92" s="358"/>
      <c r="L92" s="358"/>
      <c r="M92" s="358"/>
      <c r="S92" s="342" t="s">
        <v>740</v>
      </c>
    </row>
    <row r="93" spans="1:19" ht="33.75">
      <c r="A93" s="342" t="s">
        <v>810</v>
      </c>
      <c r="B93" s="342" t="s">
        <v>811</v>
      </c>
      <c r="C93" s="349" t="s">
        <v>812</v>
      </c>
      <c r="D93" s="346" t="s">
        <v>4547</v>
      </c>
      <c r="E93" s="346" t="s">
        <v>4548</v>
      </c>
      <c r="F93" s="346" t="s">
        <v>4549</v>
      </c>
      <c r="G93" s="352" t="s">
        <v>4550</v>
      </c>
      <c r="H93" s="88" t="s">
        <v>4552</v>
      </c>
      <c r="I93" s="88" t="s">
        <v>4518</v>
      </c>
      <c r="J93" s="358"/>
      <c r="K93" s="358"/>
      <c r="L93" s="358"/>
      <c r="M93" s="358"/>
      <c r="S93" s="342" t="s">
        <v>740</v>
      </c>
    </row>
    <row r="94" spans="1:19" ht="33.75">
      <c r="A94" s="342" t="s">
        <v>813</v>
      </c>
      <c r="B94" s="342" t="s">
        <v>814</v>
      </c>
      <c r="C94" s="349" t="s">
        <v>815</v>
      </c>
      <c r="D94" s="346" t="s">
        <v>4547</v>
      </c>
      <c r="E94" s="346" t="s">
        <v>4548</v>
      </c>
      <c r="F94" s="346" t="s">
        <v>4549</v>
      </c>
      <c r="G94" s="352" t="s">
        <v>4550</v>
      </c>
      <c r="H94" s="88" t="s">
        <v>4552</v>
      </c>
      <c r="I94" s="88" t="s">
        <v>4518</v>
      </c>
      <c r="J94" s="358"/>
      <c r="K94" s="358"/>
      <c r="L94" s="358"/>
      <c r="M94" s="358"/>
      <c r="S94" s="342" t="s">
        <v>740</v>
      </c>
    </row>
    <row r="95" spans="1:19" ht="33.75">
      <c r="A95" s="342" t="s">
        <v>816</v>
      </c>
      <c r="B95" s="342" t="s">
        <v>817</v>
      </c>
      <c r="C95" s="349" t="s">
        <v>818</v>
      </c>
      <c r="D95" s="346" t="s">
        <v>4547</v>
      </c>
      <c r="E95" s="346" t="s">
        <v>4548</v>
      </c>
      <c r="F95" s="346" t="s">
        <v>4549</v>
      </c>
      <c r="G95" s="352" t="s">
        <v>4550</v>
      </c>
      <c r="H95" s="88" t="s">
        <v>4552</v>
      </c>
      <c r="I95" s="88" t="s">
        <v>4518</v>
      </c>
      <c r="J95" s="358"/>
      <c r="K95" s="358"/>
      <c r="L95" s="358"/>
      <c r="M95" s="358"/>
      <c r="S95" s="342" t="s">
        <v>740</v>
      </c>
    </row>
    <row r="96" spans="1:19" ht="22.5">
      <c r="A96" s="342" t="s">
        <v>819</v>
      </c>
      <c r="B96" s="342" t="s">
        <v>820</v>
      </c>
      <c r="C96" s="349" t="s">
        <v>821</v>
      </c>
      <c r="D96" s="346" t="s">
        <v>4547</v>
      </c>
      <c r="E96" s="346" t="s">
        <v>4548</v>
      </c>
      <c r="F96" s="346" t="s">
        <v>4549</v>
      </c>
      <c r="G96" s="352" t="s">
        <v>4550</v>
      </c>
      <c r="H96" s="88" t="s">
        <v>4552</v>
      </c>
      <c r="I96" s="88" t="s">
        <v>4518</v>
      </c>
      <c r="J96" s="358"/>
      <c r="K96" s="358"/>
      <c r="L96" s="358"/>
      <c r="M96" s="358"/>
      <c r="S96" s="342" t="s">
        <v>740</v>
      </c>
    </row>
    <row r="97" spans="1:19" ht="22.5">
      <c r="A97" s="342" t="s">
        <v>822</v>
      </c>
      <c r="B97" s="342" t="s">
        <v>823</v>
      </c>
      <c r="C97" s="349" t="s">
        <v>824</v>
      </c>
      <c r="D97" s="346" t="s">
        <v>4547</v>
      </c>
      <c r="E97" s="346" t="s">
        <v>4548</v>
      </c>
      <c r="F97" s="346" t="s">
        <v>4549</v>
      </c>
      <c r="G97" s="352" t="s">
        <v>4550</v>
      </c>
      <c r="H97" s="88" t="s">
        <v>4552</v>
      </c>
      <c r="I97" s="88" t="s">
        <v>4518</v>
      </c>
      <c r="J97" s="358"/>
      <c r="K97" s="358"/>
      <c r="L97" s="358"/>
      <c r="M97" s="358"/>
      <c r="S97" s="342" t="s">
        <v>740</v>
      </c>
    </row>
    <row r="98" spans="1:19" ht="22.5">
      <c r="A98" s="342" t="s">
        <v>825</v>
      </c>
      <c r="B98" s="342" t="s">
        <v>826</v>
      </c>
      <c r="C98" s="349" t="s">
        <v>827</v>
      </c>
      <c r="D98" s="346" t="s">
        <v>4547</v>
      </c>
      <c r="E98" s="346" t="s">
        <v>4548</v>
      </c>
      <c r="F98" s="346" t="s">
        <v>4549</v>
      </c>
      <c r="G98" s="352" t="s">
        <v>4550</v>
      </c>
      <c r="H98" s="88" t="s">
        <v>4552</v>
      </c>
      <c r="I98" s="88" t="s">
        <v>4518</v>
      </c>
      <c r="J98" s="358"/>
      <c r="K98" s="358"/>
      <c r="L98" s="358"/>
      <c r="M98" s="358"/>
      <c r="S98" s="342" t="s">
        <v>740</v>
      </c>
    </row>
    <row r="99" spans="1:19" ht="22.5">
      <c r="A99" s="342" t="s">
        <v>828</v>
      </c>
      <c r="B99" s="342" t="s">
        <v>829</v>
      </c>
      <c r="C99" s="349" t="s">
        <v>830</v>
      </c>
      <c r="D99" s="346" t="s">
        <v>4547</v>
      </c>
      <c r="E99" s="346" t="s">
        <v>4548</v>
      </c>
      <c r="F99" s="346" t="s">
        <v>4549</v>
      </c>
      <c r="G99" s="352" t="s">
        <v>4550</v>
      </c>
      <c r="H99" s="88" t="s">
        <v>4552</v>
      </c>
      <c r="I99" s="88" t="s">
        <v>4518</v>
      </c>
      <c r="J99" s="358"/>
      <c r="K99" s="358"/>
      <c r="L99" s="358"/>
      <c r="M99" s="358"/>
      <c r="S99" s="342" t="s">
        <v>740</v>
      </c>
    </row>
    <row r="100" spans="1:19" ht="22.5">
      <c r="A100" s="342" t="s">
        <v>831</v>
      </c>
      <c r="B100" s="342" t="s">
        <v>832</v>
      </c>
      <c r="C100" s="349" t="s">
        <v>833</v>
      </c>
      <c r="D100" s="346" t="s">
        <v>4547</v>
      </c>
      <c r="E100" s="346" t="s">
        <v>4548</v>
      </c>
      <c r="F100" s="346" t="s">
        <v>4549</v>
      </c>
      <c r="G100" s="352" t="s">
        <v>4550</v>
      </c>
      <c r="H100" s="88" t="s">
        <v>4552</v>
      </c>
      <c r="I100" s="88" t="s">
        <v>4518</v>
      </c>
      <c r="J100" s="358"/>
      <c r="K100" s="358"/>
      <c r="L100" s="358"/>
      <c r="M100" s="358"/>
      <c r="S100" s="342" t="s">
        <v>740</v>
      </c>
    </row>
    <row r="101" spans="1:19" ht="22.5">
      <c r="A101" s="342" t="s">
        <v>834</v>
      </c>
      <c r="B101" s="342" t="s">
        <v>835</v>
      </c>
      <c r="C101" s="349" t="s">
        <v>836</v>
      </c>
      <c r="D101" s="346" t="s">
        <v>4547</v>
      </c>
      <c r="E101" s="346" t="s">
        <v>4548</v>
      </c>
      <c r="F101" s="346" t="s">
        <v>4549</v>
      </c>
      <c r="G101" s="352" t="s">
        <v>4550</v>
      </c>
      <c r="H101" s="88" t="s">
        <v>4552</v>
      </c>
      <c r="I101" s="88" t="s">
        <v>4518</v>
      </c>
      <c r="J101" s="358"/>
      <c r="K101" s="358"/>
      <c r="L101" s="358"/>
      <c r="M101" s="358"/>
      <c r="S101" s="342" t="s">
        <v>740</v>
      </c>
    </row>
    <row r="102" spans="1:19" ht="22.5">
      <c r="A102" s="342" t="s">
        <v>837</v>
      </c>
      <c r="B102" s="342" t="s">
        <v>838</v>
      </c>
      <c r="C102" s="349" t="s">
        <v>839</v>
      </c>
      <c r="D102" s="346" t="s">
        <v>4547</v>
      </c>
      <c r="E102" s="346" t="s">
        <v>4548</v>
      </c>
      <c r="F102" s="346" t="s">
        <v>4549</v>
      </c>
      <c r="G102" s="352" t="s">
        <v>4550</v>
      </c>
      <c r="H102" s="88" t="s">
        <v>4552</v>
      </c>
      <c r="I102" s="88" t="s">
        <v>4518</v>
      </c>
      <c r="J102" s="358"/>
      <c r="K102" s="358"/>
      <c r="L102" s="358"/>
      <c r="M102" s="358"/>
      <c r="S102" s="342" t="s">
        <v>740</v>
      </c>
    </row>
    <row r="103" spans="1:19" ht="22.5">
      <c r="A103" s="342" t="s">
        <v>840</v>
      </c>
      <c r="B103" s="342" t="s">
        <v>841</v>
      </c>
      <c r="C103" s="349" t="s">
        <v>842</v>
      </c>
      <c r="D103" s="346" t="s">
        <v>4547</v>
      </c>
      <c r="E103" s="346" t="s">
        <v>4548</v>
      </c>
      <c r="F103" s="346" t="s">
        <v>4549</v>
      </c>
      <c r="G103" s="352" t="s">
        <v>4550</v>
      </c>
      <c r="H103" s="88" t="s">
        <v>4552</v>
      </c>
      <c r="I103" s="88" t="s">
        <v>4518</v>
      </c>
      <c r="J103" s="358"/>
      <c r="K103" s="358"/>
      <c r="L103" s="358"/>
      <c r="M103" s="358"/>
      <c r="S103" s="342" t="s">
        <v>740</v>
      </c>
    </row>
    <row r="104" spans="1:19" ht="22.5">
      <c r="A104" s="342" t="s">
        <v>843</v>
      </c>
      <c r="B104" s="342" t="s">
        <v>844</v>
      </c>
      <c r="C104" s="349" t="s">
        <v>845</v>
      </c>
      <c r="D104" s="346" t="s">
        <v>4547</v>
      </c>
      <c r="E104" s="346" t="s">
        <v>4548</v>
      </c>
      <c r="F104" s="346" t="s">
        <v>4549</v>
      </c>
      <c r="G104" s="352" t="s">
        <v>4550</v>
      </c>
      <c r="H104" s="88" t="s">
        <v>4552</v>
      </c>
      <c r="I104" s="88" t="s">
        <v>4518</v>
      </c>
      <c r="J104" s="358"/>
      <c r="K104" s="358"/>
      <c r="L104" s="358"/>
      <c r="M104" s="358"/>
      <c r="S104" s="342" t="s">
        <v>740</v>
      </c>
    </row>
    <row r="105" spans="1:19" ht="22.5">
      <c r="A105" s="342" t="s">
        <v>846</v>
      </c>
      <c r="B105" s="342" t="s">
        <v>847</v>
      </c>
      <c r="C105" s="349" t="s">
        <v>848</v>
      </c>
      <c r="D105" s="346" t="s">
        <v>4547</v>
      </c>
      <c r="E105" s="346" t="s">
        <v>4548</v>
      </c>
      <c r="F105" s="346" t="s">
        <v>4549</v>
      </c>
      <c r="G105" s="352" t="s">
        <v>4550</v>
      </c>
      <c r="H105" s="88" t="s">
        <v>4552</v>
      </c>
      <c r="I105" s="88" t="s">
        <v>4518</v>
      </c>
      <c r="J105" s="358"/>
      <c r="K105" s="358"/>
      <c r="L105" s="358"/>
      <c r="M105" s="358"/>
      <c r="S105" s="342" t="s">
        <v>740</v>
      </c>
    </row>
    <row r="106" spans="1:19" ht="22.5">
      <c r="A106" s="342" t="s">
        <v>849</v>
      </c>
      <c r="B106" s="342" t="s">
        <v>850</v>
      </c>
      <c r="C106" s="349" t="s">
        <v>851</v>
      </c>
      <c r="D106" s="346" t="s">
        <v>4547</v>
      </c>
      <c r="E106" s="346" t="s">
        <v>4548</v>
      </c>
      <c r="F106" s="346" t="s">
        <v>4549</v>
      </c>
      <c r="G106" s="352" t="s">
        <v>4550</v>
      </c>
      <c r="H106" s="88" t="s">
        <v>4552</v>
      </c>
      <c r="I106" s="88" t="s">
        <v>4518</v>
      </c>
      <c r="J106" s="358"/>
      <c r="K106" s="358"/>
      <c r="L106" s="358"/>
      <c r="M106" s="358"/>
      <c r="S106" s="342" t="s">
        <v>740</v>
      </c>
    </row>
    <row r="107" spans="1:19" ht="22.5">
      <c r="A107" s="342" t="s">
        <v>852</v>
      </c>
      <c r="B107" s="342" t="s">
        <v>853</v>
      </c>
      <c r="C107" s="349" t="s">
        <v>854</v>
      </c>
      <c r="D107" s="346" t="s">
        <v>4547</v>
      </c>
      <c r="E107" s="346" t="s">
        <v>4548</v>
      </c>
      <c r="F107" s="346" t="s">
        <v>4549</v>
      </c>
      <c r="G107" s="352" t="s">
        <v>4550</v>
      </c>
      <c r="H107" s="88" t="s">
        <v>4552</v>
      </c>
      <c r="I107" s="88" t="s">
        <v>4518</v>
      </c>
      <c r="J107" s="358"/>
      <c r="K107" s="358"/>
      <c r="L107" s="358"/>
      <c r="M107" s="358"/>
      <c r="S107" s="342" t="s">
        <v>740</v>
      </c>
    </row>
    <row r="108" spans="1:19" ht="22.5">
      <c r="A108" s="342" t="s">
        <v>855</v>
      </c>
      <c r="B108" s="342" t="s">
        <v>856</v>
      </c>
      <c r="C108" s="349" t="s">
        <v>857</v>
      </c>
      <c r="D108" s="346" t="s">
        <v>4547</v>
      </c>
      <c r="E108" s="346" t="s">
        <v>4548</v>
      </c>
      <c r="F108" s="346" t="s">
        <v>4549</v>
      </c>
      <c r="G108" s="352" t="s">
        <v>4550</v>
      </c>
      <c r="H108" s="88" t="s">
        <v>4552</v>
      </c>
      <c r="I108" s="88" t="s">
        <v>4518</v>
      </c>
      <c r="J108" s="358"/>
      <c r="K108" s="358"/>
      <c r="L108" s="358"/>
      <c r="M108" s="358"/>
      <c r="S108" s="342" t="s">
        <v>740</v>
      </c>
    </row>
    <row r="109" spans="1:19" ht="22.5">
      <c r="A109" s="342" t="s">
        <v>858</v>
      </c>
      <c r="B109" s="342" t="s">
        <v>859</v>
      </c>
      <c r="C109" s="349" t="s">
        <v>860</v>
      </c>
      <c r="D109" s="346" t="s">
        <v>4547</v>
      </c>
      <c r="E109" s="346" t="s">
        <v>4548</v>
      </c>
      <c r="F109" s="346" t="s">
        <v>4549</v>
      </c>
      <c r="G109" s="352" t="s">
        <v>4550</v>
      </c>
      <c r="H109" s="88" t="s">
        <v>4552</v>
      </c>
      <c r="I109" s="88" t="s">
        <v>4518</v>
      </c>
      <c r="J109" s="358"/>
      <c r="K109" s="358"/>
      <c r="L109" s="358"/>
      <c r="M109" s="358"/>
      <c r="S109" s="342" t="s">
        <v>740</v>
      </c>
    </row>
    <row r="110" spans="1:19" ht="22.5">
      <c r="A110" s="342" t="s">
        <v>861</v>
      </c>
      <c r="B110" s="342" t="s">
        <v>862</v>
      </c>
      <c r="C110" s="349" t="s">
        <v>863</v>
      </c>
      <c r="D110" s="346" t="s">
        <v>4547</v>
      </c>
      <c r="E110" s="346" t="s">
        <v>4548</v>
      </c>
      <c r="F110" s="346" t="s">
        <v>4549</v>
      </c>
      <c r="G110" s="352" t="s">
        <v>4550</v>
      </c>
      <c r="H110" s="88" t="s">
        <v>4552</v>
      </c>
      <c r="I110" s="88" t="s">
        <v>4518</v>
      </c>
      <c r="J110" s="358"/>
      <c r="K110" s="358"/>
      <c r="L110" s="358"/>
      <c r="M110" s="358"/>
      <c r="S110" s="342" t="s">
        <v>740</v>
      </c>
    </row>
    <row r="111" spans="1:19" ht="22.5">
      <c r="A111" s="342" t="s">
        <v>864</v>
      </c>
      <c r="B111" s="342" t="s">
        <v>865</v>
      </c>
      <c r="C111" s="349" t="s">
        <v>866</v>
      </c>
      <c r="D111" s="346" t="s">
        <v>4547</v>
      </c>
      <c r="E111" s="346" t="s">
        <v>4548</v>
      </c>
      <c r="F111" s="346" t="s">
        <v>4549</v>
      </c>
      <c r="G111" s="352" t="s">
        <v>4550</v>
      </c>
      <c r="H111" s="88" t="s">
        <v>4552</v>
      </c>
      <c r="I111" s="88" t="s">
        <v>4518</v>
      </c>
      <c r="J111" s="358"/>
      <c r="K111" s="358"/>
      <c r="L111" s="358"/>
      <c r="M111" s="358"/>
      <c r="S111" s="342" t="s">
        <v>740</v>
      </c>
    </row>
    <row r="112" spans="1:19" ht="22.5">
      <c r="A112" s="524" t="s">
        <v>867</v>
      </c>
      <c r="B112" s="524" t="s">
        <v>868</v>
      </c>
      <c r="C112" s="349" t="s">
        <v>869</v>
      </c>
      <c r="D112" s="346" t="s">
        <v>4547</v>
      </c>
      <c r="E112" s="346" t="s">
        <v>4548</v>
      </c>
      <c r="F112" s="346" t="s">
        <v>4549</v>
      </c>
      <c r="G112" s="352" t="s">
        <v>4550</v>
      </c>
      <c r="H112" s="88" t="s">
        <v>4552</v>
      </c>
      <c r="I112" s="88" t="s">
        <v>4518</v>
      </c>
      <c r="J112" s="358"/>
      <c r="K112" s="358"/>
      <c r="L112" s="358"/>
      <c r="M112" s="358"/>
      <c r="S112" s="342" t="s">
        <v>740</v>
      </c>
    </row>
    <row r="113" spans="1:19" ht="22.5">
      <c r="A113" s="346" t="s">
        <v>870</v>
      </c>
      <c r="B113" s="346" t="s">
        <v>871</v>
      </c>
      <c r="C113" s="349" t="s">
        <v>872</v>
      </c>
      <c r="D113" s="346" t="s">
        <v>4547</v>
      </c>
      <c r="E113" s="346" t="s">
        <v>4548</v>
      </c>
      <c r="F113" s="346" t="s">
        <v>4549</v>
      </c>
      <c r="G113" s="352" t="s">
        <v>4550</v>
      </c>
      <c r="H113" s="88" t="s">
        <v>4552</v>
      </c>
      <c r="I113" s="88" t="s">
        <v>4518</v>
      </c>
      <c r="J113" s="358"/>
      <c r="K113" s="358"/>
      <c r="L113" s="358"/>
      <c r="M113" s="358"/>
      <c r="S113" s="342" t="s">
        <v>740</v>
      </c>
    </row>
    <row r="114" spans="1:19" ht="22.5">
      <c r="A114" s="346" t="s">
        <v>873</v>
      </c>
      <c r="B114" s="346" t="s">
        <v>874</v>
      </c>
      <c r="C114" s="523" t="s">
        <v>875</v>
      </c>
      <c r="D114" s="346" t="s">
        <v>4547</v>
      </c>
      <c r="E114" s="346" t="s">
        <v>4548</v>
      </c>
      <c r="F114" s="346" t="s">
        <v>4549</v>
      </c>
      <c r="G114" s="352" t="s">
        <v>4550</v>
      </c>
      <c r="H114" s="88" t="s">
        <v>4552</v>
      </c>
      <c r="I114" s="88" t="s">
        <v>4518</v>
      </c>
      <c r="J114" s="358"/>
      <c r="K114" s="358"/>
      <c r="L114" s="358"/>
      <c r="M114" s="358"/>
      <c r="S114" s="342" t="s">
        <v>740</v>
      </c>
    </row>
    <row r="115" spans="1:19" ht="22.5">
      <c r="A115" s="346" t="s">
        <v>876</v>
      </c>
      <c r="B115" s="346" t="s">
        <v>877</v>
      </c>
      <c r="C115" s="349" t="s">
        <v>878</v>
      </c>
      <c r="D115" s="346" t="s">
        <v>4547</v>
      </c>
      <c r="E115" s="346" t="s">
        <v>4548</v>
      </c>
      <c r="F115" s="346" t="s">
        <v>4549</v>
      </c>
      <c r="G115" s="352" t="s">
        <v>4550</v>
      </c>
      <c r="H115" s="88" t="s">
        <v>4552</v>
      </c>
      <c r="I115" s="88" t="s">
        <v>4518</v>
      </c>
      <c r="J115" s="358"/>
      <c r="K115" s="358"/>
      <c r="L115" s="358"/>
      <c r="M115" s="358"/>
      <c r="S115" s="342" t="s">
        <v>740</v>
      </c>
    </row>
    <row r="116" spans="1:19" ht="22.5">
      <c r="A116" s="346" t="s">
        <v>879</v>
      </c>
      <c r="B116" s="346" t="s">
        <v>880</v>
      </c>
      <c r="C116" s="349" t="s">
        <v>881</v>
      </c>
      <c r="D116" s="346" t="s">
        <v>4547</v>
      </c>
      <c r="E116" s="346" t="s">
        <v>4548</v>
      </c>
      <c r="F116" s="346" t="s">
        <v>4549</v>
      </c>
      <c r="G116" s="352" t="s">
        <v>4550</v>
      </c>
      <c r="H116" s="88" t="s">
        <v>4552</v>
      </c>
      <c r="I116" s="88" t="s">
        <v>4518</v>
      </c>
      <c r="J116" s="358"/>
      <c r="K116" s="358"/>
      <c r="L116" s="358"/>
      <c r="M116" s="358"/>
      <c r="S116" s="342" t="s">
        <v>740</v>
      </c>
    </row>
    <row r="117" spans="1:19" ht="22.5">
      <c r="A117" s="346" t="s">
        <v>882</v>
      </c>
      <c r="B117" s="346" t="s">
        <v>883</v>
      </c>
      <c r="C117" s="349" t="s">
        <v>884</v>
      </c>
      <c r="D117" s="346" t="s">
        <v>4547</v>
      </c>
      <c r="E117" s="346" t="s">
        <v>4548</v>
      </c>
      <c r="F117" s="346" t="s">
        <v>4549</v>
      </c>
      <c r="G117" s="352" t="s">
        <v>4550</v>
      </c>
      <c r="H117" s="88" t="s">
        <v>4552</v>
      </c>
      <c r="I117" s="88" t="s">
        <v>4518</v>
      </c>
      <c r="J117" s="358"/>
      <c r="K117" s="358"/>
      <c r="L117" s="358"/>
      <c r="M117" s="358"/>
      <c r="S117" s="342" t="s">
        <v>740</v>
      </c>
    </row>
    <row r="118" spans="1:19" ht="22.5">
      <c r="A118" s="346" t="s">
        <v>885</v>
      </c>
      <c r="B118" s="346" t="s">
        <v>886</v>
      </c>
      <c r="C118" s="349" t="s">
        <v>887</v>
      </c>
      <c r="D118" s="346" t="s">
        <v>4547</v>
      </c>
      <c r="E118" s="346" t="s">
        <v>4548</v>
      </c>
      <c r="F118" s="346" t="s">
        <v>4549</v>
      </c>
      <c r="G118" s="352" t="s">
        <v>4550</v>
      </c>
      <c r="H118" s="88" t="s">
        <v>4552</v>
      </c>
      <c r="I118" s="88" t="s">
        <v>4518</v>
      </c>
      <c r="J118" s="358"/>
      <c r="K118" s="358"/>
      <c r="L118" s="358"/>
      <c r="M118" s="358"/>
      <c r="S118" s="342" t="s">
        <v>740</v>
      </c>
    </row>
    <row r="119" spans="1:19" ht="22.5">
      <c r="A119" s="346" t="s">
        <v>888</v>
      </c>
      <c r="B119" s="346" t="s">
        <v>889</v>
      </c>
      <c r="C119" s="349" t="s">
        <v>890</v>
      </c>
      <c r="D119" s="346" t="s">
        <v>4547</v>
      </c>
      <c r="E119" s="346" t="s">
        <v>4548</v>
      </c>
      <c r="F119" s="346" t="s">
        <v>4549</v>
      </c>
      <c r="G119" s="352" t="s">
        <v>4550</v>
      </c>
      <c r="H119" s="88" t="s">
        <v>4552</v>
      </c>
      <c r="I119" s="88" t="s">
        <v>4518</v>
      </c>
      <c r="J119" s="358"/>
      <c r="K119" s="358"/>
      <c r="L119" s="358"/>
      <c r="M119" s="358"/>
      <c r="S119" s="342" t="s">
        <v>740</v>
      </c>
    </row>
    <row r="120" spans="1:19" ht="22.5">
      <c r="A120" s="346" t="s">
        <v>891</v>
      </c>
      <c r="B120" s="346" t="s">
        <v>892</v>
      </c>
      <c r="C120" s="349" t="s">
        <v>893</v>
      </c>
      <c r="D120" s="346" t="s">
        <v>4547</v>
      </c>
      <c r="E120" s="346" t="s">
        <v>4548</v>
      </c>
      <c r="F120" s="346" t="s">
        <v>4549</v>
      </c>
      <c r="G120" s="352" t="s">
        <v>4550</v>
      </c>
      <c r="H120" s="88" t="s">
        <v>4552</v>
      </c>
      <c r="I120" s="88" t="s">
        <v>4518</v>
      </c>
      <c r="J120" s="358"/>
      <c r="K120" s="358"/>
      <c r="L120" s="358"/>
      <c r="M120" s="358"/>
      <c r="S120" s="342" t="s">
        <v>740</v>
      </c>
    </row>
    <row r="121" spans="1:19" ht="22.5">
      <c r="A121" s="346" t="s">
        <v>894</v>
      </c>
      <c r="B121" s="346" t="s">
        <v>895</v>
      </c>
      <c r="C121" s="349" t="s">
        <v>896</v>
      </c>
      <c r="D121" s="346" t="s">
        <v>4547</v>
      </c>
      <c r="E121" s="346" t="s">
        <v>4548</v>
      </c>
      <c r="F121" s="346" t="s">
        <v>4549</v>
      </c>
      <c r="G121" s="352" t="s">
        <v>4550</v>
      </c>
      <c r="H121" s="88" t="s">
        <v>4552</v>
      </c>
      <c r="I121" s="88" t="s">
        <v>4518</v>
      </c>
      <c r="J121" s="358"/>
      <c r="K121" s="358"/>
      <c r="L121" s="358"/>
      <c r="M121" s="358"/>
      <c r="S121" s="342" t="s">
        <v>740</v>
      </c>
    </row>
    <row r="122" spans="1:19" ht="22.5">
      <c r="A122" s="346" t="s">
        <v>897</v>
      </c>
      <c r="B122" s="346" t="s">
        <v>898</v>
      </c>
      <c r="C122" s="349" t="s">
        <v>4553</v>
      </c>
      <c r="D122" s="346" t="s">
        <v>4547</v>
      </c>
      <c r="E122" s="346" t="s">
        <v>4548</v>
      </c>
      <c r="F122" s="346" t="s">
        <v>4549</v>
      </c>
      <c r="G122" s="352" t="s">
        <v>4550</v>
      </c>
      <c r="H122" s="88" t="s">
        <v>4552</v>
      </c>
      <c r="I122" s="88" t="s">
        <v>4518</v>
      </c>
      <c r="J122" s="358"/>
      <c r="K122" s="358"/>
      <c r="L122" s="358"/>
      <c r="M122" s="358"/>
      <c r="S122" s="342" t="s">
        <v>740</v>
      </c>
    </row>
    <row r="123" spans="1:19" ht="22.5">
      <c r="A123" s="346" t="s">
        <v>900</v>
      </c>
      <c r="B123" s="346" t="s">
        <v>901</v>
      </c>
      <c r="C123" s="349" t="s">
        <v>4554</v>
      </c>
      <c r="D123" s="346" t="s">
        <v>4547</v>
      </c>
      <c r="E123" s="346" t="s">
        <v>4548</v>
      </c>
      <c r="F123" s="346" t="s">
        <v>4549</v>
      </c>
      <c r="G123" s="352" t="s">
        <v>4550</v>
      </c>
      <c r="H123" s="88" t="s">
        <v>4552</v>
      </c>
      <c r="I123" s="88" t="s">
        <v>4518</v>
      </c>
      <c r="J123" s="358"/>
      <c r="K123" s="358"/>
      <c r="L123" s="358"/>
      <c r="M123" s="358"/>
      <c r="S123" s="342" t="s">
        <v>740</v>
      </c>
    </row>
    <row r="124" spans="1:19" ht="22.5">
      <c r="A124" s="346" t="s">
        <v>903</v>
      </c>
      <c r="B124" s="346" t="s">
        <v>904</v>
      </c>
      <c r="C124" s="349" t="s">
        <v>905</v>
      </c>
      <c r="D124" s="346" t="s">
        <v>4547</v>
      </c>
      <c r="E124" s="346" t="s">
        <v>4548</v>
      </c>
      <c r="F124" s="346" t="s">
        <v>4549</v>
      </c>
      <c r="G124" s="352" t="s">
        <v>4550</v>
      </c>
      <c r="H124" s="88" t="s">
        <v>4552</v>
      </c>
      <c r="I124" s="88" t="s">
        <v>4518</v>
      </c>
      <c r="J124" s="358"/>
      <c r="K124" s="358"/>
      <c r="L124" s="358"/>
      <c r="M124" s="358"/>
      <c r="S124" s="342" t="s">
        <v>740</v>
      </c>
    </row>
    <row r="125" spans="1:19" ht="22.5">
      <c r="A125" s="346" t="s">
        <v>906</v>
      </c>
      <c r="B125" s="346" t="s">
        <v>907</v>
      </c>
      <c r="C125" s="349" t="s">
        <v>908</v>
      </c>
      <c r="D125" s="346" t="s">
        <v>4547</v>
      </c>
      <c r="E125" s="346" t="s">
        <v>4548</v>
      </c>
      <c r="F125" s="346" t="s">
        <v>4549</v>
      </c>
      <c r="G125" s="352" t="s">
        <v>4550</v>
      </c>
      <c r="H125" s="88" t="s">
        <v>4552</v>
      </c>
      <c r="I125" s="88" t="s">
        <v>4518</v>
      </c>
      <c r="J125" s="358"/>
      <c r="K125" s="358"/>
      <c r="L125" s="358"/>
      <c r="M125" s="358"/>
      <c r="S125" s="342" t="s">
        <v>740</v>
      </c>
    </row>
    <row r="126" spans="1:19" ht="22.5">
      <c r="A126" s="346" t="s">
        <v>909</v>
      </c>
      <c r="B126" s="346" t="s">
        <v>910</v>
      </c>
      <c r="C126" s="349" t="s">
        <v>911</v>
      </c>
      <c r="D126" s="346" t="s">
        <v>4547</v>
      </c>
      <c r="E126" s="346" t="s">
        <v>4548</v>
      </c>
      <c r="F126" s="346" t="s">
        <v>4549</v>
      </c>
      <c r="G126" s="352" t="s">
        <v>4550</v>
      </c>
      <c r="H126" s="88" t="s">
        <v>4552</v>
      </c>
      <c r="I126" s="88" t="s">
        <v>4518</v>
      </c>
      <c r="J126" s="358"/>
      <c r="K126" s="358"/>
      <c r="L126" s="358"/>
      <c r="M126" s="358"/>
      <c r="S126" s="342" t="s">
        <v>740</v>
      </c>
    </row>
    <row r="127" spans="1:19" ht="22.5">
      <c r="A127" s="346" t="s">
        <v>912</v>
      </c>
      <c r="B127" s="346" t="s">
        <v>913</v>
      </c>
      <c r="C127" s="525" t="s">
        <v>4555</v>
      </c>
      <c r="D127" s="346" t="s">
        <v>4547</v>
      </c>
      <c r="E127" s="346" t="s">
        <v>4548</v>
      </c>
      <c r="F127" s="346" t="s">
        <v>4549</v>
      </c>
      <c r="G127" s="352" t="s">
        <v>4550</v>
      </c>
      <c r="H127" s="88" t="s">
        <v>4552</v>
      </c>
      <c r="I127" s="88" t="s">
        <v>4518</v>
      </c>
      <c r="J127" s="358"/>
      <c r="K127" s="358"/>
      <c r="L127" s="358"/>
      <c r="M127" s="358"/>
      <c r="S127" s="342" t="s">
        <v>740</v>
      </c>
    </row>
    <row r="128" spans="1:19">
      <c r="A128" s="346" t="s">
        <v>915</v>
      </c>
      <c r="B128" s="346" t="s">
        <v>916</v>
      </c>
      <c r="C128" s="349" t="s">
        <v>917</v>
      </c>
      <c r="D128" s="346" t="s">
        <v>4547</v>
      </c>
      <c r="E128" s="346" t="s">
        <v>4548</v>
      </c>
      <c r="F128" s="346" t="s">
        <v>4549</v>
      </c>
      <c r="G128" s="352" t="s">
        <v>4550</v>
      </c>
      <c r="H128" s="88" t="s">
        <v>4552</v>
      </c>
      <c r="I128" s="88" t="s">
        <v>4518</v>
      </c>
      <c r="J128" s="358"/>
      <c r="K128" s="358"/>
      <c r="L128" s="358"/>
      <c r="M128" s="358"/>
      <c r="S128" s="342" t="s">
        <v>740</v>
      </c>
    </row>
    <row r="129" spans="1:19">
      <c r="A129" s="346" t="s">
        <v>918</v>
      </c>
      <c r="B129" s="346" t="s">
        <v>919</v>
      </c>
      <c r="C129" s="349" t="s">
        <v>920</v>
      </c>
      <c r="D129" s="346" t="s">
        <v>4547</v>
      </c>
      <c r="E129" s="346" t="s">
        <v>4548</v>
      </c>
      <c r="F129" s="346" t="s">
        <v>4549</v>
      </c>
      <c r="G129" s="352" t="s">
        <v>4550</v>
      </c>
      <c r="H129" s="88" t="s">
        <v>4552</v>
      </c>
      <c r="I129" s="88" t="s">
        <v>4518</v>
      </c>
      <c r="J129" s="358"/>
      <c r="K129" s="358"/>
      <c r="L129" s="358"/>
      <c r="M129" s="358"/>
      <c r="S129" s="342" t="s">
        <v>740</v>
      </c>
    </row>
    <row r="130" spans="1:19">
      <c r="A130" s="346" t="s">
        <v>724</v>
      </c>
      <c r="B130" s="346" t="s">
        <v>725</v>
      </c>
      <c r="C130" s="358" t="s">
        <v>726</v>
      </c>
      <c r="D130" s="346" t="s">
        <v>4547</v>
      </c>
      <c r="E130" s="346" t="s">
        <v>4548</v>
      </c>
      <c r="F130" s="346" t="s">
        <v>4549</v>
      </c>
      <c r="G130" s="352" t="s">
        <v>4550</v>
      </c>
      <c r="H130" s="358"/>
      <c r="I130" s="358"/>
      <c r="J130" s="358"/>
      <c r="K130" s="358"/>
      <c r="L130" s="358"/>
      <c r="M130" s="358"/>
      <c r="S130" s="342" t="s">
        <v>727</v>
      </c>
    </row>
    <row r="131" spans="1:19">
      <c r="A131" s="346" t="s">
        <v>728</v>
      </c>
      <c r="B131" s="346" t="s">
        <v>729</v>
      </c>
      <c r="C131" s="358" t="s">
        <v>730</v>
      </c>
      <c r="D131" s="346" t="s">
        <v>4547</v>
      </c>
      <c r="E131" s="346" t="s">
        <v>4548</v>
      </c>
      <c r="F131" s="346" t="s">
        <v>4549</v>
      </c>
      <c r="G131" s="352" t="s">
        <v>4550</v>
      </c>
      <c r="H131" s="358"/>
      <c r="I131" s="358"/>
      <c r="J131" s="358"/>
      <c r="K131" s="358"/>
      <c r="L131" s="358"/>
      <c r="M131" s="358"/>
      <c r="S131" s="342" t="s">
        <v>727</v>
      </c>
    </row>
    <row r="132" spans="1:19">
      <c r="A132" s="346" t="s">
        <v>731</v>
      </c>
      <c r="B132" s="346" t="s">
        <v>732</v>
      </c>
      <c r="C132" s="358" t="s">
        <v>733</v>
      </c>
      <c r="D132" s="346" t="s">
        <v>4547</v>
      </c>
      <c r="E132" s="346" t="s">
        <v>4548</v>
      </c>
      <c r="F132" s="346" t="s">
        <v>4549</v>
      </c>
      <c r="G132" s="352" t="s">
        <v>4550</v>
      </c>
      <c r="H132" s="358"/>
      <c r="I132" s="358"/>
      <c r="J132" s="358"/>
      <c r="K132" s="358"/>
      <c r="L132" s="358"/>
      <c r="M132" s="358"/>
      <c r="S132" s="342" t="s">
        <v>727</v>
      </c>
    </row>
    <row r="133" spans="1:19">
      <c r="A133" s="346" t="s">
        <v>734</v>
      </c>
      <c r="B133" s="346" t="s">
        <v>735</v>
      </c>
      <c r="C133" s="358" t="s">
        <v>736</v>
      </c>
      <c r="D133" s="346" t="s">
        <v>4547</v>
      </c>
      <c r="E133" s="346" t="s">
        <v>4548</v>
      </c>
      <c r="F133" s="346" t="s">
        <v>4549</v>
      </c>
      <c r="G133" s="352" t="s">
        <v>4550</v>
      </c>
      <c r="H133" s="358"/>
      <c r="I133" s="358"/>
      <c r="J133" s="358"/>
      <c r="K133" s="358"/>
      <c r="L133" s="358"/>
      <c r="M133" s="358"/>
      <c r="S133" s="342" t="s">
        <v>727</v>
      </c>
    </row>
    <row r="134" spans="1:19">
      <c r="A134" s="346" t="s">
        <v>1482</v>
      </c>
      <c r="B134" s="346" t="s">
        <v>1483</v>
      </c>
      <c r="C134" s="358" t="s">
        <v>4556</v>
      </c>
      <c r="D134" s="346" t="s">
        <v>4547</v>
      </c>
      <c r="E134" s="346" t="s">
        <v>4548</v>
      </c>
      <c r="F134" s="346" t="s">
        <v>4549</v>
      </c>
      <c r="G134" s="352" t="s">
        <v>4550</v>
      </c>
      <c r="H134" s="358"/>
      <c r="I134" s="358"/>
      <c r="J134" s="358"/>
      <c r="K134" s="358"/>
      <c r="L134" s="358"/>
      <c r="M134" s="358"/>
      <c r="S134" s="342" t="s">
        <v>1485</v>
      </c>
    </row>
    <row r="135" spans="1:19">
      <c r="A135" s="346" t="s">
        <v>1486</v>
      </c>
      <c r="B135" s="346" t="s">
        <v>1487</v>
      </c>
      <c r="C135" s="358" t="s">
        <v>3966</v>
      </c>
      <c r="D135" s="346" t="s">
        <v>4547</v>
      </c>
      <c r="E135" s="346" t="s">
        <v>4548</v>
      </c>
      <c r="F135" s="346" t="s">
        <v>4549</v>
      </c>
      <c r="G135" s="352" t="s">
        <v>4550</v>
      </c>
      <c r="H135" s="358"/>
      <c r="I135" s="358"/>
      <c r="J135" s="358"/>
      <c r="K135" s="358"/>
      <c r="L135" s="358"/>
      <c r="M135" s="358"/>
      <c r="S135" s="342" t="s">
        <v>1485</v>
      </c>
    </row>
    <row r="136" spans="1:19">
      <c r="A136" s="346" t="s">
        <v>1104</v>
      </c>
      <c r="B136" s="346" t="s">
        <v>1105</v>
      </c>
      <c r="C136" s="358" t="s">
        <v>1106</v>
      </c>
      <c r="D136" s="346" t="s">
        <v>4547</v>
      </c>
      <c r="E136" s="346" t="s">
        <v>4548</v>
      </c>
      <c r="F136" s="346" t="s">
        <v>4549</v>
      </c>
      <c r="G136" s="352" t="s">
        <v>4550</v>
      </c>
      <c r="H136" s="358"/>
      <c r="I136" s="358"/>
      <c r="J136" s="358"/>
      <c r="K136" s="358"/>
      <c r="L136" s="358"/>
      <c r="M136" s="358"/>
      <c r="S136" s="342" t="s">
        <v>1107</v>
      </c>
    </row>
    <row r="137" spans="1:19">
      <c r="A137" s="346" t="s">
        <v>1108</v>
      </c>
      <c r="B137" s="346" t="s">
        <v>1109</v>
      </c>
      <c r="C137" s="358" t="s">
        <v>1110</v>
      </c>
      <c r="D137" s="346" t="s">
        <v>4547</v>
      </c>
      <c r="E137" s="346" t="s">
        <v>4548</v>
      </c>
      <c r="F137" s="346" t="s">
        <v>4549</v>
      </c>
      <c r="G137" s="352" t="s">
        <v>4550</v>
      </c>
      <c r="H137" s="358"/>
      <c r="I137" s="358"/>
      <c r="J137" s="358"/>
      <c r="K137" s="358"/>
      <c r="L137" s="358"/>
      <c r="M137" s="358"/>
      <c r="S137" s="342" t="s">
        <v>1107</v>
      </c>
    </row>
    <row r="138" spans="1:19">
      <c r="A138" s="346" t="s">
        <v>1111</v>
      </c>
      <c r="B138" s="346" t="s">
        <v>1112</v>
      </c>
      <c r="C138" s="358" t="s">
        <v>1113</v>
      </c>
      <c r="D138" s="346" t="s">
        <v>4547</v>
      </c>
      <c r="E138" s="346" t="s">
        <v>4548</v>
      </c>
      <c r="F138" s="346" t="s">
        <v>4549</v>
      </c>
      <c r="G138" s="352" t="s">
        <v>4550</v>
      </c>
      <c r="H138" s="358"/>
      <c r="I138" s="358"/>
      <c r="J138" s="358"/>
      <c r="K138" s="358"/>
      <c r="L138" s="358"/>
      <c r="M138" s="358"/>
      <c r="S138" s="342" t="s">
        <v>1107</v>
      </c>
    </row>
    <row r="139" spans="1:19">
      <c r="A139" s="346" t="s">
        <v>1114</v>
      </c>
      <c r="B139" s="346" t="s">
        <v>1115</v>
      </c>
      <c r="C139" s="358" t="s">
        <v>1116</v>
      </c>
      <c r="D139" s="346" t="s">
        <v>4547</v>
      </c>
      <c r="E139" s="346" t="s">
        <v>4548</v>
      </c>
      <c r="F139" s="346" t="s">
        <v>4549</v>
      </c>
      <c r="G139" s="352" t="s">
        <v>4550</v>
      </c>
      <c r="H139" s="358"/>
      <c r="I139" s="358"/>
      <c r="J139" s="358"/>
      <c r="K139" s="358"/>
      <c r="L139" s="358"/>
      <c r="M139" s="358"/>
      <c r="S139" s="342" t="s">
        <v>1107</v>
      </c>
    </row>
    <row r="140" spans="1:19">
      <c r="A140" s="346" t="s">
        <v>1117</v>
      </c>
      <c r="B140" s="346" t="s">
        <v>1118</v>
      </c>
      <c r="C140" s="358" t="s">
        <v>1119</v>
      </c>
      <c r="D140" s="346" t="s">
        <v>4547</v>
      </c>
      <c r="E140" s="346" t="s">
        <v>4548</v>
      </c>
      <c r="F140" s="346" t="s">
        <v>4549</v>
      </c>
      <c r="G140" s="352" t="s">
        <v>4550</v>
      </c>
      <c r="H140" s="358"/>
      <c r="I140" s="358"/>
      <c r="J140" s="358"/>
      <c r="K140" s="358"/>
      <c r="L140" s="358"/>
      <c r="M140" s="358"/>
      <c r="S140" s="342" t="s">
        <v>1107</v>
      </c>
    </row>
    <row r="141" spans="1:19">
      <c r="A141" s="346" t="s">
        <v>1120</v>
      </c>
      <c r="B141" s="346" t="s">
        <v>1121</v>
      </c>
      <c r="C141" s="358" t="s">
        <v>1122</v>
      </c>
      <c r="D141" s="346" t="s">
        <v>4547</v>
      </c>
      <c r="E141" s="346" t="s">
        <v>4548</v>
      </c>
      <c r="F141" s="346" t="s">
        <v>4549</v>
      </c>
      <c r="G141" s="352" t="s">
        <v>4550</v>
      </c>
      <c r="H141" s="358"/>
      <c r="I141" s="358"/>
      <c r="J141" s="358"/>
      <c r="K141" s="358"/>
      <c r="L141" s="358"/>
      <c r="M141" s="358"/>
      <c r="S141" s="342" t="s">
        <v>1107</v>
      </c>
    </row>
    <row r="142" spans="1:19">
      <c r="A142" s="346" t="s">
        <v>1123</v>
      </c>
      <c r="B142" s="346" t="s">
        <v>1124</v>
      </c>
      <c r="C142" s="358" t="s">
        <v>1125</v>
      </c>
      <c r="D142" s="346" t="s">
        <v>4547</v>
      </c>
      <c r="E142" s="346" t="s">
        <v>4548</v>
      </c>
      <c r="F142" s="346" t="s">
        <v>4549</v>
      </c>
      <c r="G142" s="352" t="s">
        <v>4550</v>
      </c>
      <c r="H142" s="358"/>
      <c r="I142" s="358"/>
      <c r="J142" s="358"/>
      <c r="K142" s="358"/>
      <c r="L142" s="358"/>
      <c r="M142" s="358"/>
      <c r="S142" s="342" t="s">
        <v>1107</v>
      </c>
    </row>
    <row r="143" spans="1:19">
      <c r="A143" s="346" t="s">
        <v>1126</v>
      </c>
      <c r="B143" s="346" t="s">
        <v>1127</v>
      </c>
      <c r="C143" s="358" t="s">
        <v>1128</v>
      </c>
      <c r="D143" s="346" t="s">
        <v>4547</v>
      </c>
      <c r="E143" s="346" t="s">
        <v>4548</v>
      </c>
      <c r="F143" s="346" t="s">
        <v>4549</v>
      </c>
      <c r="G143" s="352" t="s">
        <v>4550</v>
      </c>
      <c r="H143" s="358"/>
      <c r="I143" s="358"/>
      <c r="J143" s="358"/>
      <c r="K143" s="358"/>
      <c r="L143" s="358"/>
      <c r="M143" s="358"/>
      <c r="S143" s="342" t="s">
        <v>1107</v>
      </c>
    </row>
    <row r="144" spans="1:19">
      <c r="A144" s="346" t="s">
        <v>1129</v>
      </c>
      <c r="B144" s="346" t="s">
        <v>1130</v>
      </c>
      <c r="C144" s="358" t="s">
        <v>1131</v>
      </c>
      <c r="D144" s="346" t="s">
        <v>4547</v>
      </c>
      <c r="E144" s="346" t="s">
        <v>4548</v>
      </c>
      <c r="F144" s="346" t="s">
        <v>4549</v>
      </c>
      <c r="G144" s="352" t="s">
        <v>4550</v>
      </c>
      <c r="H144" s="358"/>
      <c r="I144" s="358"/>
      <c r="J144" s="358"/>
      <c r="K144" s="358"/>
      <c r="L144" s="358"/>
      <c r="M144" s="358"/>
      <c r="S144" s="342" t="s">
        <v>1107</v>
      </c>
    </row>
    <row r="145" spans="1:19">
      <c r="A145" s="346" t="s">
        <v>1132</v>
      </c>
      <c r="B145" s="346" t="s">
        <v>1133</v>
      </c>
      <c r="C145" s="358" t="s">
        <v>1134</v>
      </c>
      <c r="D145" s="346" t="s">
        <v>4547</v>
      </c>
      <c r="E145" s="346" t="s">
        <v>4548</v>
      </c>
      <c r="F145" s="346" t="s">
        <v>4549</v>
      </c>
      <c r="G145" s="352" t="s">
        <v>4550</v>
      </c>
      <c r="H145" s="358"/>
      <c r="I145" s="358"/>
      <c r="J145" s="358"/>
      <c r="K145" s="358"/>
      <c r="L145" s="358"/>
      <c r="M145" s="358"/>
      <c r="S145" s="342" t="s">
        <v>1107</v>
      </c>
    </row>
    <row r="146" spans="1:19">
      <c r="A146" s="346" t="s">
        <v>1135</v>
      </c>
      <c r="B146" s="346" t="s">
        <v>1136</v>
      </c>
      <c r="C146" s="358" t="s">
        <v>1137</v>
      </c>
      <c r="D146" s="346" t="s">
        <v>4547</v>
      </c>
      <c r="E146" s="346" t="s">
        <v>4548</v>
      </c>
      <c r="F146" s="346" t="s">
        <v>4549</v>
      </c>
      <c r="G146" s="352" t="s">
        <v>4550</v>
      </c>
      <c r="H146" s="358"/>
      <c r="I146" s="358"/>
      <c r="J146" s="358"/>
      <c r="K146" s="358"/>
      <c r="L146" s="358"/>
      <c r="M146" s="358"/>
      <c r="S146" s="342" t="s">
        <v>1107</v>
      </c>
    </row>
    <row r="147" spans="1:19">
      <c r="A147" s="346" t="s">
        <v>1138</v>
      </c>
      <c r="B147" s="346" t="s">
        <v>1139</v>
      </c>
      <c r="C147" s="358" t="s">
        <v>1140</v>
      </c>
      <c r="D147" s="346" t="s">
        <v>4547</v>
      </c>
      <c r="E147" s="346" t="s">
        <v>4548</v>
      </c>
      <c r="F147" s="346" t="s">
        <v>4549</v>
      </c>
      <c r="G147" s="352" t="s">
        <v>4550</v>
      </c>
      <c r="H147" s="358"/>
      <c r="I147" s="358"/>
      <c r="J147" s="358"/>
      <c r="K147" s="358"/>
      <c r="L147" s="358"/>
      <c r="M147" s="358"/>
      <c r="S147" s="342" t="s">
        <v>1107</v>
      </c>
    </row>
    <row r="148" spans="1:19">
      <c r="A148" s="346" t="s">
        <v>1141</v>
      </c>
      <c r="B148" s="346" t="s">
        <v>1142</v>
      </c>
      <c r="C148" s="358" t="s">
        <v>1143</v>
      </c>
      <c r="D148" s="346" t="s">
        <v>4547</v>
      </c>
      <c r="E148" s="346" t="s">
        <v>4548</v>
      </c>
      <c r="F148" s="346" t="s">
        <v>4549</v>
      </c>
      <c r="G148" s="352" t="s">
        <v>4550</v>
      </c>
      <c r="H148" s="358"/>
      <c r="I148" s="358"/>
      <c r="J148" s="358"/>
      <c r="K148" s="358"/>
      <c r="L148" s="358"/>
      <c r="M148" s="358"/>
      <c r="S148" s="342" t="s">
        <v>1107</v>
      </c>
    </row>
    <row r="149" spans="1:19">
      <c r="A149" s="346" t="s">
        <v>1144</v>
      </c>
      <c r="B149" s="346" t="s">
        <v>1145</v>
      </c>
      <c r="C149" s="358" t="s">
        <v>1146</v>
      </c>
      <c r="D149" s="346" t="s">
        <v>4547</v>
      </c>
      <c r="E149" s="346" t="s">
        <v>4548</v>
      </c>
      <c r="F149" s="346" t="s">
        <v>4549</v>
      </c>
      <c r="G149" s="352" t="s">
        <v>4550</v>
      </c>
      <c r="H149" s="358"/>
      <c r="I149" s="358"/>
      <c r="J149" s="358"/>
      <c r="K149" s="358"/>
      <c r="L149" s="358"/>
      <c r="M149" s="358"/>
      <c r="S149" s="342" t="s">
        <v>1107</v>
      </c>
    </row>
    <row r="150" spans="1:19">
      <c r="A150" s="346" t="s">
        <v>1147</v>
      </c>
      <c r="B150" s="346" t="s">
        <v>1148</v>
      </c>
      <c r="C150" s="358" t="s">
        <v>1149</v>
      </c>
      <c r="D150" s="346" t="s">
        <v>4547</v>
      </c>
      <c r="E150" s="346" t="s">
        <v>4548</v>
      </c>
      <c r="F150" s="346" t="s">
        <v>4549</v>
      </c>
      <c r="G150" s="352" t="s">
        <v>4550</v>
      </c>
      <c r="H150" s="358"/>
      <c r="I150" s="358"/>
      <c r="J150" s="358"/>
      <c r="K150" s="358"/>
      <c r="L150" s="358"/>
      <c r="M150" s="358"/>
      <c r="S150" s="342" t="s">
        <v>1107</v>
      </c>
    </row>
    <row r="151" spans="1:19">
      <c r="A151" s="346" t="s">
        <v>1150</v>
      </c>
      <c r="B151" s="346" t="s">
        <v>1151</v>
      </c>
      <c r="C151" s="358" t="s">
        <v>1152</v>
      </c>
      <c r="D151" s="346" t="s">
        <v>4547</v>
      </c>
      <c r="E151" s="346" t="s">
        <v>4548</v>
      </c>
      <c r="F151" s="346" t="s">
        <v>4549</v>
      </c>
      <c r="G151" s="352" t="s">
        <v>4550</v>
      </c>
      <c r="H151" s="358"/>
      <c r="I151" s="358"/>
      <c r="J151" s="358"/>
      <c r="K151" s="358"/>
      <c r="L151" s="358"/>
      <c r="M151" s="358"/>
      <c r="S151" s="342" t="s">
        <v>1107</v>
      </c>
    </row>
    <row r="152" spans="1:19">
      <c r="A152" s="346" t="s">
        <v>1153</v>
      </c>
      <c r="B152" s="346" t="s">
        <v>1154</v>
      </c>
      <c r="C152" s="358" t="s">
        <v>1155</v>
      </c>
      <c r="D152" s="346" t="s">
        <v>4547</v>
      </c>
      <c r="E152" s="346" t="s">
        <v>4548</v>
      </c>
      <c r="F152" s="346" t="s">
        <v>4549</v>
      </c>
      <c r="G152" s="352" t="s">
        <v>4550</v>
      </c>
      <c r="H152" s="358"/>
      <c r="I152" s="358"/>
      <c r="J152" s="358"/>
      <c r="K152" s="358"/>
      <c r="L152" s="358"/>
      <c r="M152" s="358"/>
      <c r="S152" s="342" t="s">
        <v>1107</v>
      </c>
    </row>
    <row r="153" spans="1:19">
      <c r="A153" s="346" t="s">
        <v>1156</v>
      </c>
      <c r="B153" s="346" t="s">
        <v>1157</v>
      </c>
      <c r="C153" s="358" t="s">
        <v>1158</v>
      </c>
      <c r="D153" s="346" t="s">
        <v>4547</v>
      </c>
      <c r="E153" s="346" t="s">
        <v>4548</v>
      </c>
      <c r="F153" s="346" t="s">
        <v>4549</v>
      </c>
      <c r="G153" s="352" t="s">
        <v>4550</v>
      </c>
      <c r="H153" s="358"/>
      <c r="I153" s="358"/>
      <c r="J153" s="358"/>
      <c r="K153" s="358"/>
      <c r="L153" s="358"/>
      <c r="M153" s="358"/>
      <c r="S153" s="342" t="s">
        <v>1107</v>
      </c>
    </row>
    <row r="154" spans="1:19">
      <c r="A154" s="346" t="s">
        <v>1159</v>
      </c>
      <c r="B154" s="346" t="s">
        <v>1160</v>
      </c>
      <c r="C154" s="358" t="s">
        <v>1161</v>
      </c>
      <c r="D154" s="346" t="s">
        <v>4547</v>
      </c>
      <c r="E154" s="346" t="s">
        <v>4548</v>
      </c>
      <c r="F154" s="346" t="s">
        <v>4549</v>
      </c>
      <c r="G154" s="352" t="s">
        <v>4550</v>
      </c>
      <c r="H154" s="358"/>
      <c r="I154" s="358"/>
      <c r="J154" s="358"/>
      <c r="K154" s="358"/>
      <c r="L154" s="358"/>
      <c r="M154" s="358"/>
      <c r="S154" s="342" t="s">
        <v>1107</v>
      </c>
    </row>
    <row r="155" spans="1:19">
      <c r="A155" s="346" t="s">
        <v>1162</v>
      </c>
      <c r="B155" s="346" t="s">
        <v>1163</v>
      </c>
      <c r="C155" s="358" t="s">
        <v>1164</v>
      </c>
      <c r="D155" s="346" t="s">
        <v>4547</v>
      </c>
      <c r="E155" s="346" t="s">
        <v>4548</v>
      </c>
      <c r="F155" s="346" t="s">
        <v>4549</v>
      </c>
      <c r="G155" s="352" t="s">
        <v>4550</v>
      </c>
      <c r="H155" s="358"/>
      <c r="I155" s="358"/>
      <c r="J155" s="358"/>
      <c r="K155" s="358"/>
      <c r="L155" s="358"/>
      <c r="M155" s="358"/>
      <c r="S155" s="342" t="s">
        <v>1107</v>
      </c>
    </row>
    <row r="156" spans="1:19">
      <c r="A156" s="346" t="s">
        <v>1165</v>
      </c>
      <c r="B156" s="346" t="s">
        <v>1166</v>
      </c>
      <c r="C156" s="358" t="s">
        <v>1167</v>
      </c>
      <c r="D156" s="346" t="s">
        <v>4547</v>
      </c>
      <c r="E156" s="346" t="s">
        <v>4548</v>
      </c>
      <c r="F156" s="346" t="s">
        <v>4549</v>
      </c>
      <c r="G156" s="352" t="s">
        <v>4550</v>
      </c>
      <c r="H156" s="358"/>
      <c r="I156" s="358"/>
      <c r="J156" s="358"/>
      <c r="K156" s="358"/>
      <c r="L156" s="358"/>
      <c r="M156" s="358"/>
      <c r="S156" s="342" t="s">
        <v>1107</v>
      </c>
    </row>
    <row r="157" spans="1:19">
      <c r="A157" s="346" t="s">
        <v>1168</v>
      </c>
      <c r="B157" s="346" t="s">
        <v>1169</v>
      </c>
      <c r="C157" s="358" t="s">
        <v>1170</v>
      </c>
      <c r="D157" s="346" t="s">
        <v>4547</v>
      </c>
      <c r="E157" s="346" t="s">
        <v>4548</v>
      </c>
      <c r="F157" s="346" t="s">
        <v>4549</v>
      </c>
      <c r="G157" s="352" t="s">
        <v>4550</v>
      </c>
      <c r="H157" s="358"/>
      <c r="I157" s="358"/>
      <c r="J157" s="358"/>
      <c r="K157" s="358"/>
      <c r="L157" s="358"/>
      <c r="M157" s="358"/>
      <c r="S157" s="342" t="s">
        <v>1107</v>
      </c>
    </row>
    <row r="158" spans="1:19">
      <c r="A158" s="346" t="s">
        <v>1171</v>
      </c>
      <c r="B158" s="346" t="s">
        <v>1172</v>
      </c>
      <c r="C158" s="358" t="s">
        <v>1173</v>
      </c>
      <c r="D158" s="346" t="s">
        <v>4547</v>
      </c>
      <c r="E158" s="346" t="s">
        <v>4548</v>
      </c>
      <c r="F158" s="346" t="s">
        <v>4549</v>
      </c>
      <c r="G158" s="352" t="s">
        <v>4550</v>
      </c>
      <c r="H158" s="358"/>
      <c r="I158" s="358"/>
      <c r="J158" s="358"/>
      <c r="K158" s="358"/>
      <c r="L158" s="358"/>
      <c r="M158" s="358"/>
      <c r="S158" s="342" t="s">
        <v>1107</v>
      </c>
    </row>
    <row r="159" spans="1:19">
      <c r="A159" s="346" t="s">
        <v>1174</v>
      </c>
      <c r="B159" s="346" t="s">
        <v>1175</v>
      </c>
      <c r="C159" s="358" t="s">
        <v>1176</v>
      </c>
      <c r="D159" s="346" t="s">
        <v>4547</v>
      </c>
      <c r="E159" s="346" t="s">
        <v>4548</v>
      </c>
      <c r="F159" s="346" t="s">
        <v>4549</v>
      </c>
      <c r="G159" s="352" t="s">
        <v>4550</v>
      </c>
      <c r="H159" s="358"/>
      <c r="I159" s="358"/>
      <c r="J159" s="358"/>
      <c r="K159" s="358"/>
      <c r="L159" s="358"/>
      <c r="M159" s="358"/>
      <c r="S159" s="342" t="s">
        <v>1107</v>
      </c>
    </row>
    <row r="160" spans="1:19">
      <c r="A160" s="346" t="s">
        <v>1177</v>
      </c>
      <c r="B160" s="346" t="s">
        <v>1178</v>
      </c>
      <c r="C160" s="358" t="s">
        <v>1179</v>
      </c>
      <c r="D160" s="346" t="s">
        <v>4547</v>
      </c>
      <c r="E160" s="346" t="s">
        <v>4548</v>
      </c>
      <c r="F160" s="346" t="s">
        <v>4549</v>
      </c>
      <c r="G160" s="352" t="s">
        <v>4550</v>
      </c>
      <c r="H160" s="358"/>
      <c r="I160" s="358"/>
      <c r="J160" s="358"/>
      <c r="K160" s="358"/>
      <c r="L160" s="358"/>
      <c r="M160" s="358"/>
      <c r="S160" s="342" t="s">
        <v>1107</v>
      </c>
    </row>
    <row r="161" spans="1:19">
      <c r="A161" s="346" t="s">
        <v>1180</v>
      </c>
      <c r="B161" s="346" t="s">
        <v>1181</v>
      </c>
      <c r="C161" s="358" t="s">
        <v>1182</v>
      </c>
      <c r="D161" s="346" t="s">
        <v>4547</v>
      </c>
      <c r="E161" s="346" t="s">
        <v>4548</v>
      </c>
      <c r="F161" s="346" t="s">
        <v>4549</v>
      </c>
      <c r="G161" s="352" t="s">
        <v>4550</v>
      </c>
      <c r="H161" s="358"/>
      <c r="I161" s="358"/>
      <c r="J161" s="358"/>
      <c r="K161" s="358"/>
      <c r="L161" s="358"/>
      <c r="M161" s="358"/>
      <c r="S161" s="342" t="s">
        <v>1107</v>
      </c>
    </row>
    <row r="162" spans="1:19">
      <c r="A162" s="346" t="s">
        <v>1183</v>
      </c>
      <c r="B162" s="346" t="s">
        <v>1184</v>
      </c>
      <c r="C162" s="358" t="s">
        <v>1185</v>
      </c>
      <c r="D162" s="346" t="s">
        <v>4547</v>
      </c>
      <c r="E162" s="346" t="s">
        <v>4548</v>
      </c>
      <c r="F162" s="346" t="s">
        <v>4549</v>
      </c>
      <c r="G162" s="352" t="s">
        <v>4550</v>
      </c>
      <c r="H162" s="358"/>
      <c r="I162" s="358"/>
      <c r="J162" s="358"/>
      <c r="K162" s="358"/>
      <c r="L162" s="358"/>
      <c r="M162" s="358"/>
      <c r="S162" s="342" t="s">
        <v>1107</v>
      </c>
    </row>
    <row r="163" spans="1:19">
      <c r="A163" s="346" t="s">
        <v>1186</v>
      </c>
      <c r="B163" s="346" t="s">
        <v>1187</v>
      </c>
      <c r="C163" s="358" t="s">
        <v>1188</v>
      </c>
      <c r="D163" s="346" t="s">
        <v>4547</v>
      </c>
      <c r="E163" s="346" t="s">
        <v>4548</v>
      </c>
      <c r="F163" s="346" t="s">
        <v>4549</v>
      </c>
      <c r="G163" s="352" t="s">
        <v>4550</v>
      </c>
      <c r="H163" s="358"/>
      <c r="I163" s="358"/>
      <c r="J163" s="358"/>
      <c r="K163" s="358"/>
      <c r="L163" s="358"/>
      <c r="M163" s="358"/>
      <c r="S163" s="342" t="s">
        <v>1107</v>
      </c>
    </row>
    <row r="164" spans="1:19">
      <c r="A164" s="346" t="s">
        <v>1189</v>
      </c>
      <c r="B164" s="346" t="s">
        <v>1190</v>
      </c>
      <c r="C164" s="358" t="s">
        <v>1191</v>
      </c>
      <c r="D164" s="346" t="s">
        <v>4547</v>
      </c>
      <c r="E164" s="346" t="s">
        <v>4548</v>
      </c>
      <c r="F164" s="346" t="s">
        <v>4549</v>
      </c>
      <c r="G164" s="352" t="s">
        <v>4550</v>
      </c>
      <c r="H164" s="358"/>
      <c r="I164" s="358"/>
      <c r="J164" s="358"/>
      <c r="K164" s="358"/>
      <c r="L164" s="358"/>
      <c r="M164" s="358"/>
      <c r="S164" s="342" t="s">
        <v>1107</v>
      </c>
    </row>
    <row r="165" spans="1:19">
      <c r="A165" s="346" t="s">
        <v>1192</v>
      </c>
      <c r="B165" s="346" t="s">
        <v>1193</v>
      </c>
      <c r="C165" s="358" t="s">
        <v>1194</v>
      </c>
      <c r="D165" s="346" t="s">
        <v>4547</v>
      </c>
      <c r="E165" s="346" t="s">
        <v>4548</v>
      </c>
      <c r="F165" s="346" t="s">
        <v>4549</v>
      </c>
      <c r="G165" s="352" t="s">
        <v>4550</v>
      </c>
      <c r="H165" s="358"/>
      <c r="I165" s="358"/>
      <c r="J165" s="358"/>
      <c r="K165" s="358"/>
      <c r="L165" s="358"/>
      <c r="M165" s="358"/>
      <c r="S165" s="342" t="s">
        <v>1107</v>
      </c>
    </row>
    <row r="166" spans="1:19">
      <c r="A166" s="346" t="s">
        <v>1195</v>
      </c>
      <c r="B166" s="346" t="s">
        <v>1196</v>
      </c>
      <c r="C166" s="358" t="s">
        <v>1197</v>
      </c>
      <c r="D166" s="346" t="s">
        <v>4547</v>
      </c>
      <c r="E166" s="346" t="s">
        <v>4548</v>
      </c>
      <c r="F166" s="346" t="s">
        <v>4549</v>
      </c>
      <c r="G166" s="352" t="s">
        <v>4550</v>
      </c>
      <c r="H166" s="358"/>
      <c r="I166" s="358"/>
      <c r="J166" s="358"/>
      <c r="K166" s="358"/>
      <c r="L166" s="358"/>
      <c r="M166" s="358"/>
      <c r="S166" s="342" t="s">
        <v>1107</v>
      </c>
    </row>
    <row r="167" spans="1:19">
      <c r="A167" s="346" t="s">
        <v>1198</v>
      </c>
      <c r="B167" s="346" t="s">
        <v>1199</v>
      </c>
      <c r="C167" s="358" t="s">
        <v>1200</v>
      </c>
      <c r="D167" s="346" t="s">
        <v>4547</v>
      </c>
      <c r="E167" s="346" t="s">
        <v>4548</v>
      </c>
      <c r="F167" s="346" t="s">
        <v>4549</v>
      </c>
      <c r="G167" s="352" t="s">
        <v>4550</v>
      </c>
      <c r="H167" s="358"/>
      <c r="I167" s="358"/>
      <c r="J167" s="358"/>
      <c r="K167" s="358"/>
      <c r="L167" s="358"/>
      <c r="M167" s="358"/>
      <c r="S167" s="342" t="s">
        <v>1107</v>
      </c>
    </row>
    <row r="168" spans="1:19">
      <c r="A168" s="346" t="s">
        <v>1201</v>
      </c>
      <c r="B168" s="346" t="s">
        <v>1202</v>
      </c>
      <c r="C168" s="358" t="s">
        <v>1203</v>
      </c>
      <c r="D168" s="346" t="s">
        <v>4547</v>
      </c>
      <c r="E168" s="346" t="s">
        <v>4548</v>
      </c>
      <c r="F168" s="346" t="s">
        <v>4549</v>
      </c>
      <c r="G168" s="352" t="s">
        <v>4550</v>
      </c>
      <c r="H168" s="358"/>
      <c r="I168" s="358"/>
      <c r="J168" s="358"/>
      <c r="K168" s="358"/>
      <c r="L168" s="358"/>
      <c r="M168" s="358"/>
      <c r="S168" s="342" t="s">
        <v>1107</v>
      </c>
    </row>
    <row r="169" spans="1:19">
      <c r="A169" s="346" t="s">
        <v>1204</v>
      </c>
      <c r="B169" s="346" t="s">
        <v>1205</v>
      </c>
      <c r="C169" s="358" t="s">
        <v>1206</v>
      </c>
      <c r="D169" s="346" t="s">
        <v>4547</v>
      </c>
      <c r="E169" s="346" t="s">
        <v>4548</v>
      </c>
      <c r="F169" s="346" t="s">
        <v>4549</v>
      </c>
      <c r="G169" s="352" t="s">
        <v>4550</v>
      </c>
      <c r="H169" s="358"/>
      <c r="I169" s="358"/>
      <c r="J169" s="358"/>
      <c r="K169" s="358"/>
      <c r="L169" s="358"/>
      <c r="M169" s="358"/>
      <c r="S169" s="342" t="s">
        <v>1107</v>
      </c>
    </row>
    <row r="170" spans="1:19">
      <c r="A170" s="346" t="s">
        <v>1207</v>
      </c>
      <c r="B170" s="346" t="s">
        <v>1208</v>
      </c>
      <c r="C170" s="358" t="s">
        <v>1209</v>
      </c>
      <c r="D170" s="346" t="s">
        <v>4547</v>
      </c>
      <c r="E170" s="346" t="s">
        <v>4548</v>
      </c>
      <c r="F170" s="346" t="s">
        <v>4549</v>
      </c>
      <c r="G170" s="352" t="s">
        <v>4550</v>
      </c>
      <c r="H170" s="358"/>
      <c r="I170" s="358"/>
      <c r="J170" s="358"/>
      <c r="K170" s="358"/>
      <c r="L170" s="358"/>
      <c r="M170" s="358"/>
      <c r="S170" s="342" t="s">
        <v>1107</v>
      </c>
    </row>
    <row r="171" spans="1:19">
      <c r="A171" s="346" t="s">
        <v>1210</v>
      </c>
      <c r="B171" s="346" t="s">
        <v>1211</v>
      </c>
      <c r="C171" s="358" t="s">
        <v>1212</v>
      </c>
      <c r="D171" s="346" t="s">
        <v>4547</v>
      </c>
      <c r="E171" s="346" t="s">
        <v>4548</v>
      </c>
      <c r="F171" s="346" t="s">
        <v>4549</v>
      </c>
      <c r="G171" s="352" t="s">
        <v>4550</v>
      </c>
      <c r="H171" s="358"/>
      <c r="I171" s="358"/>
      <c r="J171" s="358"/>
      <c r="K171" s="358"/>
      <c r="L171" s="358"/>
      <c r="M171" s="358"/>
      <c r="S171" s="342" t="s">
        <v>1107</v>
      </c>
    </row>
    <row r="172" spans="1:19">
      <c r="A172" s="346" t="s">
        <v>1213</v>
      </c>
      <c r="B172" s="346" t="s">
        <v>1214</v>
      </c>
      <c r="C172" s="358" t="s">
        <v>1215</v>
      </c>
      <c r="D172" s="346" t="s">
        <v>4547</v>
      </c>
      <c r="E172" s="346" t="s">
        <v>4548</v>
      </c>
      <c r="F172" s="346" t="s">
        <v>4549</v>
      </c>
      <c r="G172" s="352" t="s">
        <v>4550</v>
      </c>
      <c r="H172" s="358"/>
      <c r="I172" s="358"/>
      <c r="J172" s="358"/>
      <c r="K172" s="358"/>
      <c r="L172" s="358"/>
      <c r="M172" s="358"/>
      <c r="S172" s="342" t="s">
        <v>1107</v>
      </c>
    </row>
    <row r="173" spans="1:19">
      <c r="A173" s="346" t="s">
        <v>1216</v>
      </c>
      <c r="B173" s="346" t="s">
        <v>1217</v>
      </c>
      <c r="C173" s="358" t="s">
        <v>1218</v>
      </c>
      <c r="D173" s="346" t="s">
        <v>4547</v>
      </c>
      <c r="E173" s="346" t="s">
        <v>4548</v>
      </c>
      <c r="F173" s="346" t="s">
        <v>4549</v>
      </c>
      <c r="G173" s="352" t="s">
        <v>4550</v>
      </c>
      <c r="H173" s="358"/>
      <c r="I173" s="358"/>
      <c r="J173" s="358"/>
      <c r="K173" s="358"/>
      <c r="L173" s="358"/>
      <c r="M173" s="358"/>
      <c r="S173" s="342" t="s">
        <v>1107</v>
      </c>
    </row>
    <row r="174" spans="1:19">
      <c r="A174" s="346" t="s">
        <v>1219</v>
      </c>
      <c r="B174" s="346" t="s">
        <v>1220</v>
      </c>
      <c r="C174" s="358" t="s">
        <v>1221</v>
      </c>
      <c r="D174" s="346" t="s">
        <v>4547</v>
      </c>
      <c r="E174" s="346" t="s">
        <v>4548</v>
      </c>
      <c r="F174" s="346" t="s">
        <v>4549</v>
      </c>
      <c r="G174" s="352" t="s">
        <v>4550</v>
      </c>
      <c r="H174" s="358"/>
      <c r="I174" s="358"/>
      <c r="J174" s="358"/>
      <c r="K174" s="358"/>
      <c r="L174" s="358"/>
      <c r="M174" s="358"/>
      <c r="S174" s="342" t="s">
        <v>1107</v>
      </c>
    </row>
    <row r="175" spans="1:19">
      <c r="A175" s="346" t="s">
        <v>1222</v>
      </c>
      <c r="B175" s="346" t="s">
        <v>1223</v>
      </c>
      <c r="C175" s="358" t="s">
        <v>1224</v>
      </c>
      <c r="D175" s="346" t="s">
        <v>4547</v>
      </c>
      <c r="E175" s="346" t="s">
        <v>4548</v>
      </c>
      <c r="F175" s="346" t="s">
        <v>4549</v>
      </c>
      <c r="G175" s="352" t="s">
        <v>4550</v>
      </c>
      <c r="H175" s="358"/>
      <c r="I175" s="358"/>
      <c r="J175" s="358"/>
      <c r="K175" s="358"/>
      <c r="L175" s="358"/>
      <c r="M175" s="358"/>
      <c r="S175" s="342" t="s">
        <v>1107</v>
      </c>
    </row>
    <row r="176" spans="1:19">
      <c r="A176" s="346" t="s">
        <v>1225</v>
      </c>
      <c r="B176" s="346" t="s">
        <v>1226</v>
      </c>
      <c r="C176" s="358" t="s">
        <v>1227</v>
      </c>
      <c r="D176" s="346" t="s">
        <v>4547</v>
      </c>
      <c r="E176" s="346" t="s">
        <v>4548</v>
      </c>
      <c r="F176" s="346" t="s">
        <v>4549</v>
      </c>
      <c r="G176" s="352" t="s">
        <v>4550</v>
      </c>
      <c r="H176" s="358"/>
      <c r="I176" s="358"/>
      <c r="J176" s="358"/>
      <c r="K176" s="358"/>
      <c r="L176" s="358"/>
      <c r="M176" s="358"/>
      <c r="S176" s="342" t="s">
        <v>1107</v>
      </c>
    </row>
    <row r="177" spans="1:19">
      <c r="A177" s="346" t="s">
        <v>1228</v>
      </c>
      <c r="B177" s="346" t="s">
        <v>1229</v>
      </c>
      <c r="C177" s="358" t="s">
        <v>1230</v>
      </c>
      <c r="D177" s="346" t="s">
        <v>4547</v>
      </c>
      <c r="E177" s="346" t="s">
        <v>4548</v>
      </c>
      <c r="F177" s="346" t="s">
        <v>4549</v>
      </c>
      <c r="G177" s="352" t="s">
        <v>4550</v>
      </c>
      <c r="H177" s="358"/>
      <c r="I177" s="358"/>
      <c r="J177" s="358"/>
      <c r="K177" s="358"/>
      <c r="L177" s="358"/>
      <c r="M177" s="358"/>
      <c r="S177" s="342" t="s">
        <v>1107</v>
      </c>
    </row>
    <row r="178" spans="1:19">
      <c r="A178" s="346" t="s">
        <v>1231</v>
      </c>
      <c r="B178" s="346" t="s">
        <v>1232</v>
      </c>
      <c r="C178" s="358" t="s">
        <v>1233</v>
      </c>
      <c r="D178" s="346" t="s">
        <v>4547</v>
      </c>
      <c r="E178" s="346" t="s">
        <v>4548</v>
      </c>
      <c r="F178" s="346" t="s">
        <v>4549</v>
      </c>
      <c r="G178" s="352" t="s">
        <v>4550</v>
      </c>
      <c r="H178" s="358"/>
      <c r="I178" s="358"/>
      <c r="J178" s="358"/>
      <c r="K178" s="358"/>
      <c r="L178" s="358"/>
      <c r="M178" s="358"/>
      <c r="S178" s="342" t="s">
        <v>1107</v>
      </c>
    </row>
    <row r="179" spans="1:19">
      <c r="A179" s="346" t="s">
        <v>4557</v>
      </c>
      <c r="B179" s="346" t="s">
        <v>1235</v>
      </c>
      <c r="C179" s="358" t="s">
        <v>1236</v>
      </c>
      <c r="D179" s="346" t="s">
        <v>4547</v>
      </c>
      <c r="E179" s="346" t="s">
        <v>4548</v>
      </c>
      <c r="F179" s="346" t="s">
        <v>4549</v>
      </c>
      <c r="G179" s="352" t="s">
        <v>4550</v>
      </c>
      <c r="H179" s="358"/>
      <c r="I179" s="358"/>
      <c r="J179" s="358"/>
      <c r="K179" s="358"/>
      <c r="L179" s="358"/>
      <c r="M179" s="358"/>
      <c r="S179" s="342" t="s">
        <v>1107</v>
      </c>
    </row>
    <row r="180" spans="1:19">
      <c r="A180" s="346" t="s">
        <v>1237</v>
      </c>
      <c r="B180" s="346" t="s">
        <v>1238</v>
      </c>
      <c r="C180" s="358" t="s">
        <v>1239</v>
      </c>
      <c r="D180" s="346" t="s">
        <v>4547</v>
      </c>
      <c r="E180" s="346" t="s">
        <v>4548</v>
      </c>
      <c r="F180" s="346" t="s">
        <v>4549</v>
      </c>
      <c r="G180" s="352" t="s">
        <v>4550</v>
      </c>
      <c r="H180" s="358"/>
      <c r="I180" s="358"/>
      <c r="J180" s="358"/>
      <c r="K180" s="358"/>
      <c r="L180" s="358"/>
      <c r="M180" s="358"/>
      <c r="S180" s="342" t="s">
        <v>1107</v>
      </c>
    </row>
    <row r="181" spans="1:19">
      <c r="A181" s="346" t="s">
        <v>1240</v>
      </c>
      <c r="B181" s="346" t="s">
        <v>1241</v>
      </c>
      <c r="C181" s="358" t="s">
        <v>1242</v>
      </c>
      <c r="D181" s="346" t="s">
        <v>4547</v>
      </c>
      <c r="E181" s="346" t="s">
        <v>4548</v>
      </c>
      <c r="F181" s="346" t="s">
        <v>4549</v>
      </c>
      <c r="G181" s="352" t="s">
        <v>4550</v>
      </c>
      <c r="H181" s="358"/>
      <c r="I181" s="358"/>
      <c r="J181" s="358"/>
      <c r="K181" s="358"/>
      <c r="L181" s="358"/>
      <c r="M181" s="358"/>
      <c r="S181" s="342" t="s">
        <v>1107</v>
      </c>
    </row>
    <row r="182" spans="1:19">
      <c r="A182" s="346" t="s">
        <v>1243</v>
      </c>
      <c r="B182" s="346" t="s">
        <v>1244</v>
      </c>
      <c r="C182" s="358" t="s">
        <v>1245</v>
      </c>
      <c r="D182" s="346" t="s">
        <v>4547</v>
      </c>
      <c r="E182" s="346" t="s">
        <v>4548</v>
      </c>
      <c r="F182" s="346" t="s">
        <v>4549</v>
      </c>
      <c r="G182" s="352" t="s">
        <v>4550</v>
      </c>
      <c r="H182" s="358"/>
      <c r="I182" s="358"/>
      <c r="J182" s="358"/>
      <c r="K182" s="358"/>
      <c r="L182" s="358"/>
      <c r="M182" s="358"/>
      <c r="S182" s="342" t="s">
        <v>1107</v>
      </c>
    </row>
    <row r="183" spans="1:19">
      <c r="A183" s="346" t="s">
        <v>1246</v>
      </c>
      <c r="B183" s="346" t="s">
        <v>1247</v>
      </c>
      <c r="C183" s="358" t="s">
        <v>1248</v>
      </c>
      <c r="D183" s="346" t="s">
        <v>4547</v>
      </c>
      <c r="E183" s="346" t="s">
        <v>4548</v>
      </c>
      <c r="F183" s="346" t="s">
        <v>4549</v>
      </c>
      <c r="G183" s="352" t="s">
        <v>4550</v>
      </c>
      <c r="H183" s="358"/>
      <c r="I183" s="358"/>
      <c r="J183" s="358"/>
      <c r="K183" s="358"/>
      <c r="L183" s="358"/>
      <c r="M183" s="358"/>
      <c r="S183" s="342" t="s">
        <v>1107</v>
      </c>
    </row>
    <row r="184" spans="1:19">
      <c r="A184" s="346" t="s">
        <v>1249</v>
      </c>
      <c r="B184" s="346" t="s">
        <v>1250</v>
      </c>
      <c r="C184" s="358" t="s">
        <v>1251</v>
      </c>
      <c r="D184" s="346" t="s">
        <v>4547</v>
      </c>
      <c r="E184" s="346" t="s">
        <v>4548</v>
      </c>
      <c r="F184" s="346" t="s">
        <v>4549</v>
      </c>
      <c r="G184" s="352" t="s">
        <v>4550</v>
      </c>
      <c r="H184" s="358"/>
      <c r="I184" s="358"/>
      <c r="J184" s="358"/>
      <c r="K184" s="358"/>
      <c r="L184" s="358"/>
      <c r="M184" s="358"/>
      <c r="S184" s="342" t="s">
        <v>1107</v>
      </c>
    </row>
    <row r="185" spans="1:19">
      <c r="A185" s="346" t="s">
        <v>1253</v>
      </c>
      <c r="B185" s="346" t="s">
        <v>1254</v>
      </c>
      <c r="C185" s="358" t="s">
        <v>1255</v>
      </c>
      <c r="D185" s="346" t="s">
        <v>4547</v>
      </c>
      <c r="E185" s="346" t="s">
        <v>4548</v>
      </c>
      <c r="F185" s="346" t="s">
        <v>4549</v>
      </c>
      <c r="G185" s="352" t="s">
        <v>4550</v>
      </c>
      <c r="H185" s="358"/>
      <c r="I185" s="358"/>
      <c r="J185" s="358"/>
      <c r="K185" s="358"/>
      <c r="L185" s="358"/>
      <c r="M185" s="358"/>
      <c r="S185" s="342" t="s">
        <v>1107</v>
      </c>
    </row>
    <row r="186" spans="1:19">
      <c r="A186" s="346" t="s">
        <v>1256</v>
      </c>
      <c r="B186" s="346" t="s">
        <v>1257</v>
      </c>
      <c r="C186" s="358" t="s">
        <v>1258</v>
      </c>
      <c r="D186" s="346" t="s">
        <v>4547</v>
      </c>
      <c r="E186" s="346" t="s">
        <v>4548</v>
      </c>
      <c r="F186" s="346" t="s">
        <v>4549</v>
      </c>
      <c r="G186" s="352" t="s">
        <v>4550</v>
      </c>
      <c r="H186" s="358"/>
      <c r="I186" s="358"/>
      <c r="J186" s="358"/>
      <c r="K186" s="358"/>
      <c r="L186" s="358"/>
      <c r="M186" s="358"/>
      <c r="S186" s="342" t="s">
        <v>1107</v>
      </c>
    </row>
    <row r="187" spans="1:19">
      <c r="A187" s="346" t="s">
        <v>1259</v>
      </c>
      <c r="B187" s="346" t="s">
        <v>1260</v>
      </c>
      <c r="C187" s="358" t="s">
        <v>1261</v>
      </c>
      <c r="D187" s="346" t="s">
        <v>4547</v>
      </c>
      <c r="E187" s="346" t="s">
        <v>4548</v>
      </c>
      <c r="F187" s="346" t="s">
        <v>4549</v>
      </c>
      <c r="G187" s="352" t="s">
        <v>4550</v>
      </c>
      <c r="H187" s="358"/>
      <c r="I187" s="358"/>
      <c r="J187" s="358"/>
      <c r="K187" s="358"/>
      <c r="L187" s="358"/>
      <c r="M187" s="358"/>
      <c r="S187" s="342" t="s">
        <v>1107</v>
      </c>
    </row>
    <row r="188" spans="1:19">
      <c r="A188" s="346" t="s">
        <v>1262</v>
      </c>
      <c r="B188" s="346" t="s">
        <v>1263</v>
      </c>
      <c r="C188" s="358" t="s">
        <v>1264</v>
      </c>
      <c r="D188" s="346" t="s">
        <v>4547</v>
      </c>
      <c r="E188" s="346" t="s">
        <v>4548</v>
      </c>
      <c r="F188" s="346" t="s">
        <v>4549</v>
      </c>
      <c r="G188" s="352" t="s">
        <v>4550</v>
      </c>
      <c r="H188" s="358"/>
      <c r="I188" s="358"/>
      <c r="J188" s="358"/>
      <c r="K188" s="358"/>
      <c r="L188" s="358"/>
      <c r="M188" s="358"/>
      <c r="S188" s="342" t="s">
        <v>1107</v>
      </c>
    </row>
    <row r="189" spans="1:19">
      <c r="A189" s="346" t="s">
        <v>1265</v>
      </c>
      <c r="B189" s="346" t="s">
        <v>1266</v>
      </c>
      <c r="C189" s="358" t="s">
        <v>1267</v>
      </c>
      <c r="D189" s="346" t="s">
        <v>4547</v>
      </c>
      <c r="E189" s="346" t="s">
        <v>4548</v>
      </c>
      <c r="F189" s="346" t="s">
        <v>4549</v>
      </c>
      <c r="G189" s="352" t="s">
        <v>4550</v>
      </c>
      <c r="H189" s="358"/>
      <c r="I189" s="358"/>
      <c r="J189" s="358"/>
      <c r="K189" s="358"/>
      <c r="L189" s="358"/>
      <c r="M189" s="358"/>
      <c r="S189" s="342" t="s">
        <v>1107</v>
      </c>
    </row>
    <row r="190" spans="1:19">
      <c r="A190" s="346" t="s">
        <v>1268</v>
      </c>
      <c r="B190" s="346" t="s">
        <v>1269</v>
      </c>
      <c r="C190" s="358" t="s">
        <v>1270</v>
      </c>
      <c r="D190" s="346" t="s">
        <v>4547</v>
      </c>
      <c r="E190" s="346" t="s">
        <v>4548</v>
      </c>
      <c r="F190" s="346" t="s">
        <v>4549</v>
      </c>
      <c r="G190" s="352" t="s">
        <v>4550</v>
      </c>
      <c r="H190" s="358"/>
      <c r="I190" s="358"/>
      <c r="J190" s="358"/>
      <c r="K190" s="358"/>
      <c r="L190" s="358"/>
      <c r="M190" s="358"/>
      <c r="S190" s="342" t="s">
        <v>1107</v>
      </c>
    </row>
    <row r="191" spans="1:19">
      <c r="A191" s="346" t="s">
        <v>1271</v>
      </c>
      <c r="B191" s="346" t="s">
        <v>1272</v>
      </c>
      <c r="C191" s="358" t="s">
        <v>1273</v>
      </c>
      <c r="D191" s="346" t="s">
        <v>4547</v>
      </c>
      <c r="E191" s="346" t="s">
        <v>4548</v>
      </c>
      <c r="F191" s="346" t="s">
        <v>4549</v>
      </c>
      <c r="G191" s="352" t="s">
        <v>4550</v>
      </c>
      <c r="H191" s="358"/>
      <c r="I191" s="358"/>
      <c r="J191" s="358"/>
      <c r="K191" s="358"/>
      <c r="L191" s="358"/>
      <c r="M191" s="358"/>
      <c r="S191" s="342" t="s">
        <v>1107</v>
      </c>
    </row>
    <row r="192" spans="1:19">
      <c r="A192" s="346" t="s">
        <v>1274</v>
      </c>
      <c r="B192" s="346" t="s">
        <v>1275</v>
      </c>
      <c r="C192" s="358" t="s">
        <v>1276</v>
      </c>
      <c r="D192" s="346" t="s">
        <v>4547</v>
      </c>
      <c r="E192" s="346" t="s">
        <v>4548</v>
      </c>
      <c r="F192" s="346" t="s">
        <v>4549</v>
      </c>
      <c r="G192" s="352" t="s">
        <v>4550</v>
      </c>
      <c r="H192" s="358"/>
      <c r="I192" s="358"/>
      <c r="J192" s="358"/>
      <c r="K192" s="358"/>
      <c r="L192" s="358"/>
      <c r="M192" s="358"/>
      <c r="S192" s="342" t="s">
        <v>1107</v>
      </c>
    </row>
    <row r="193" spans="1:19">
      <c r="A193" s="346" t="s">
        <v>1277</v>
      </c>
      <c r="B193" s="346" t="s">
        <v>1278</v>
      </c>
      <c r="C193" s="358" t="s">
        <v>1279</v>
      </c>
      <c r="D193" s="346" t="s">
        <v>4547</v>
      </c>
      <c r="E193" s="346" t="s">
        <v>4548</v>
      </c>
      <c r="F193" s="346" t="s">
        <v>4549</v>
      </c>
      <c r="G193" s="352" t="s">
        <v>4550</v>
      </c>
      <c r="H193" s="358"/>
      <c r="I193" s="358"/>
      <c r="J193" s="358"/>
      <c r="K193" s="358"/>
      <c r="L193" s="358"/>
      <c r="M193" s="358"/>
      <c r="S193" s="342" t="s">
        <v>1107</v>
      </c>
    </row>
    <row r="194" spans="1:19">
      <c r="A194" s="346" t="s">
        <v>1280</v>
      </c>
      <c r="B194" s="346" t="s">
        <v>1281</v>
      </c>
      <c r="C194" s="358" t="s">
        <v>1282</v>
      </c>
      <c r="D194" s="346" t="s">
        <v>4547</v>
      </c>
      <c r="E194" s="346" t="s">
        <v>4548</v>
      </c>
      <c r="F194" s="346" t="s">
        <v>4549</v>
      </c>
      <c r="G194" s="352" t="s">
        <v>4550</v>
      </c>
      <c r="H194" s="358"/>
      <c r="I194" s="358"/>
      <c r="J194" s="358"/>
      <c r="K194" s="358"/>
      <c r="L194" s="358"/>
      <c r="M194" s="358"/>
      <c r="S194" s="342" t="s">
        <v>1107</v>
      </c>
    </row>
    <row r="195" spans="1:19">
      <c r="A195" s="346" t="s">
        <v>1283</v>
      </c>
      <c r="B195" s="346" t="s">
        <v>1284</v>
      </c>
      <c r="C195" s="358" t="s">
        <v>1285</v>
      </c>
      <c r="D195" s="346" t="s">
        <v>4547</v>
      </c>
      <c r="E195" s="346" t="s">
        <v>4548</v>
      </c>
      <c r="F195" s="346" t="s">
        <v>4549</v>
      </c>
      <c r="G195" s="352" t="s">
        <v>4550</v>
      </c>
      <c r="H195" s="358"/>
      <c r="I195" s="358"/>
      <c r="J195" s="358"/>
      <c r="K195" s="358"/>
      <c r="L195" s="358"/>
      <c r="M195" s="358"/>
      <c r="S195" s="342" t="s">
        <v>1107</v>
      </c>
    </row>
    <row r="196" spans="1:19">
      <c r="A196" s="346" t="s">
        <v>1286</v>
      </c>
      <c r="B196" s="346" t="s">
        <v>1287</v>
      </c>
      <c r="C196" s="358" t="s">
        <v>1288</v>
      </c>
      <c r="D196" s="346" t="s">
        <v>4547</v>
      </c>
      <c r="E196" s="346" t="s">
        <v>4548</v>
      </c>
      <c r="F196" s="346" t="s">
        <v>4549</v>
      </c>
      <c r="G196" s="352" t="s">
        <v>4550</v>
      </c>
      <c r="H196" s="358"/>
      <c r="I196" s="358"/>
      <c r="J196" s="358"/>
      <c r="K196" s="358"/>
      <c r="L196" s="358"/>
      <c r="M196" s="358"/>
      <c r="S196" s="342" t="s">
        <v>1107</v>
      </c>
    </row>
    <row r="197" spans="1:19">
      <c r="A197" s="346" t="s">
        <v>1289</v>
      </c>
      <c r="B197" s="346" t="s">
        <v>1290</v>
      </c>
      <c r="C197" s="358" t="s">
        <v>1291</v>
      </c>
      <c r="D197" s="346" t="s">
        <v>4547</v>
      </c>
      <c r="E197" s="346" t="s">
        <v>4548</v>
      </c>
      <c r="F197" s="346" t="s">
        <v>4549</v>
      </c>
      <c r="G197" s="352" t="s">
        <v>4550</v>
      </c>
      <c r="H197" s="358"/>
      <c r="I197" s="358"/>
      <c r="J197" s="358"/>
      <c r="K197" s="358"/>
      <c r="L197" s="358"/>
      <c r="M197" s="358"/>
      <c r="S197" s="342" t="s">
        <v>1107</v>
      </c>
    </row>
    <row r="198" spans="1:19">
      <c r="A198" s="346" t="s">
        <v>1292</v>
      </c>
      <c r="B198" s="346" t="s">
        <v>1293</v>
      </c>
      <c r="C198" s="358" t="s">
        <v>1294</v>
      </c>
      <c r="D198" s="346" t="s">
        <v>4547</v>
      </c>
      <c r="E198" s="346" t="s">
        <v>4548</v>
      </c>
      <c r="F198" s="346" t="s">
        <v>4549</v>
      </c>
      <c r="G198" s="352" t="s">
        <v>4550</v>
      </c>
      <c r="H198" s="358"/>
      <c r="I198" s="358"/>
      <c r="J198" s="358"/>
      <c r="K198" s="358"/>
      <c r="L198" s="358"/>
      <c r="M198" s="358"/>
      <c r="S198" s="342" t="s">
        <v>1107</v>
      </c>
    </row>
    <row r="199" spans="1:19">
      <c r="A199" s="346" t="s">
        <v>1295</v>
      </c>
      <c r="B199" s="346" t="s">
        <v>1296</v>
      </c>
      <c r="C199" s="358" t="s">
        <v>1297</v>
      </c>
      <c r="D199" s="346" t="s">
        <v>4547</v>
      </c>
      <c r="E199" s="346" t="s">
        <v>4548</v>
      </c>
      <c r="F199" s="346" t="s">
        <v>4549</v>
      </c>
      <c r="G199" s="352" t="s">
        <v>4550</v>
      </c>
      <c r="H199" s="358"/>
      <c r="I199" s="358"/>
      <c r="J199" s="358"/>
      <c r="K199" s="358"/>
      <c r="L199" s="358"/>
      <c r="M199" s="358"/>
      <c r="S199" s="342" t="s">
        <v>1107</v>
      </c>
    </row>
    <row r="200" spans="1:19">
      <c r="A200" s="346" t="s">
        <v>1298</v>
      </c>
      <c r="B200" s="346" t="s">
        <v>1299</v>
      </c>
      <c r="C200" s="358" t="s">
        <v>1300</v>
      </c>
      <c r="D200" s="346" t="s">
        <v>4547</v>
      </c>
      <c r="E200" s="346" t="s">
        <v>4548</v>
      </c>
      <c r="F200" s="346" t="s">
        <v>4549</v>
      </c>
      <c r="G200" s="352" t="s">
        <v>4550</v>
      </c>
      <c r="H200" s="358"/>
      <c r="I200" s="358"/>
      <c r="J200" s="358"/>
      <c r="K200" s="358"/>
      <c r="L200" s="358"/>
      <c r="M200" s="358"/>
      <c r="S200" s="342" t="s">
        <v>1107</v>
      </c>
    </row>
    <row r="201" spans="1:19">
      <c r="A201" s="346" t="s">
        <v>1301</v>
      </c>
      <c r="B201" s="346" t="s">
        <v>1302</v>
      </c>
      <c r="C201" s="358" t="s">
        <v>1303</v>
      </c>
      <c r="D201" s="346" t="s">
        <v>4547</v>
      </c>
      <c r="E201" s="346" t="s">
        <v>4548</v>
      </c>
      <c r="F201" s="346" t="s">
        <v>4549</v>
      </c>
      <c r="G201" s="352" t="s">
        <v>4550</v>
      </c>
      <c r="H201" s="358"/>
      <c r="I201" s="358"/>
      <c r="J201" s="358"/>
      <c r="K201" s="358"/>
      <c r="L201" s="358"/>
      <c r="M201" s="358"/>
      <c r="S201" s="342" t="s">
        <v>1107</v>
      </c>
    </row>
    <row r="202" spans="1:19">
      <c r="A202" s="346" t="s">
        <v>1304</v>
      </c>
      <c r="B202" s="346" t="s">
        <v>1305</v>
      </c>
      <c r="C202" s="358" t="s">
        <v>1306</v>
      </c>
      <c r="D202" s="346" t="s">
        <v>4547</v>
      </c>
      <c r="E202" s="346" t="s">
        <v>4548</v>
      </c>
      <c r="F202" s="346" t="s">
        <v>4549</v>
      </c>
      <c r="G202" s="352" t="s">
        <v>4550</v>
      </c>
      <c r="H202" s="358"/>
      <c r="I202" s="358"/>
      <c r="J202" s="358"/>
      <c r="K202" s="358"/>
      <c r="L202" s="358"/>
      <c r="M202" s="358"/>
      <c r="S202" s="342" t="s">
        <v>1107</v>
      </c>
    </row>
    <row r="203" spans="1:19">
      <c r="A203" s="346" t="s">
        <v>1307</v>
      </c>
      <c r="B203" s="346" t="s">
        <v>1308</v>
      </c>
      <c r="C203" s="358" t="s">
        <v>1309</v>
      </c>
      <c r="D203" s="346" t="s">
        <v>4547</v>
      </c>
      <c r="E203" s="346" t="s">
        <v>4548</v>
      </c>
      <c r="F203" s="346" t="s">
        <v>4549</v>
      </c>
      <c r="G203" s="352" t="s">
        <v>4550</v>
      </c>
      <c r="H203" s="358"/>
      <c r="I203" s="358"/>
      <c r="J203" s="358"/>
      <c r="K203" s="358"/>
      <c r="L203" s="358"/>
      <c r="M203" s="358"/>
      <c r="S203" s="342" t="s">
        <v>1107</v>
      </c>
    </row>
    <row r="204" spans="1:19">
      <c r="A204" s="346" t="s">
        <v>1310</v>
      </c>
      <c r="B204" s="346" t="s">
        <v>1311</v>
      </c>
      <c r="C204" s="358" t="s">
        <v>1312</v>
      </c>
      <c r="D204" s="346" t="s">
        <v>4547</v>
      </c>
      <c r="E204" s="346" t="s">
        <v>4548</v>
      </c>
      <c r="F204" s="346" t="s">
        <v>4549</v>
      </c>
      <c r="G204" s="352" t="s">
        <v>4550</v>
      </c>
      <c r="H204" s="358"/>
      <c r="I204" s="358"/>
      <c r="J204" s="358"/>
      <c r="K204" s="358"/>
      <c r="L204" s="358"/>
      <c r="M204" s="358"/>
      <c r="S204" s="342" t="s">
        <v>1107</v>
      </c>
    </row>
    <row r="205" spans="1:19">
      <c r="A205" s="346" t="s">
        <v>1313</v>
      </c>
      <c r="B205" s="346" t="s">
        <v>1314</v>
      </c>
      <c r="C205" s="358" t="s">
        <v>1315</v>
      </c>
      <c r="D205" s="346" t="s">
        <v>4547</v>
      </c>
      <c r="E205" s="346" t="s">
        <v>4548</v>
      </c>
      <c r="F205" s="346" t="s">
        <v>4549</v>
      </c>
      <c r="G205" s="352" t="s">
        <v>4550</v>
      </c>
      <c r="H205" s="358"/>
      <c r="I205" s="358"/>
      <c r="J205" s="358"/>
      <c r="K205" s="358"/>
      <c r="L205" s="358"/>
      <c r="M205" s="358"/>
      <c r="S205" s="342" t="s">
        <v>1107</v>
      </c>
    </row>
    <row r="206" spans="1:19">
      <c r="A206" s="346" t="s">
        <v>1316</v>
      </c>
      <c r="B206" s="346" t="s">
        <v>1317</v>
      </c>
      <c r="C206" s="358" t="s">
        <v>1318</v>
      </c>
      <c r="D206" s="346" t="s">
        <v>4547</v>
      </c>
      <c r="E206" s="346" t="s">
        <v>4548</v>
      </c>
      <c r="F206" s="346" t="s">
        <v>4549</v>
      </c>
      <c r="G206" s="352" t="s">
        <v>4550</v>
      </c>
      <c r="H206" s="358"/>
      <c r="I206" s="358"/>
      <c r="J206" s="358"/>
      <c r="K206" s="358"/>
      <c r="L206" s="358"/>
      <c r="M206" s="358"/>
      <c r="S206" s="342" t="s">
        <v>1107</v>
      </c>
    </row>
    <row r="207" spans="1:19">
      <c r="A207" s="346" t="s">
        <v>1319</v>
      </c>
      <c r="B207" s="346" t="s">
        <v>1320</v>
      </c>
      <c r="C207" s="358" t="s">
        <v>1321</v>
      </c>
      <c r="D207" s="346" t="s">
        <v>4547</v>
      </c>
      <c r="E207" s="346" t="s">
        <v>4548</v>
      </c>
      <c r="F207" s="346" t="s">
        <v>4549</v>
      </c>
      <c r="G207" s="352" t="s">
        <v>4550</v>
      </c>
      <c r="H207" s="358"/>
      <c r="I207" s="358"/>
      <c r="J207" s="358"/>
      <c r="K207" s="358"/>
      <c r="L207" s="358"/>
      <c r="M207" s="358"/>
      <c r="S207" s="342" t="s">
        <v>1107</v>
      </c>
    </row>
    <row r="208" spans="1:19">
      <c r="A208" s="346" t="s">
        <v>1322</v>
      </c>
      <c r="B208" s="346" t="s">
        <v>1323</v>
      </c>
      <c r="C208" s="358" t="s">
        <v>1324</v>
      </c>
      <c r="D208" s="346" t="s">
        <v>4547</v>
      </c>
      <c r="E208" s="346" t="s">
        <v>4548</v>
      </c>
      <c r="F208" s="346" t="s">
        <v>4549</v>
      </c>
      <c r="G208" s="352" t="s">
        <v>4550</v>
      </c>
      <c r="H208" s="358"/>
      <c r="I208" s="358"/>
      <c r="J208" s="358"/>
      <c r="K208" s="358"/>
      <c r="L208" s="358"/>
      <c r="M208" s="358"/>
      <c r="S208" s="342" t="s">
        <v>1107</v>
      </c>
    </row>
    <row r="209" spans="1:19">
      <c r="A209" s="346" t="s">
        <v>1325</v>
      </c>
      <c r="B209" s="346" t="s">
        <v>1326</v>
      </c>
      <c r="C209" s="358" t="s">
        <v>1327</v>
      </c>
      <c r="D209" s="346" t="s">
        <v>4547</v>
      </c>
      <c r="E209" s="346" t="s">
        <v>4548</v>
      </c>
      <c r="F209" s="346" t="s">
        <v>4549</v>
      </c>
      <c r="G209" s="352" t="s">
        <v>4550</v>
      </c>
      <c r="H209" s="358"/>
      <c r="I209" s="358"/>
      <c r="J209" s="358"/>
      <c r="K209" s="358"/>
      <c r="L209" s="358"/>
      <c r="M209" s="358"/>
      <c r="S209" s="342" t="s">
        <v>1107</v>
      </c>
    </row>
    <row r="210" spans="1:19">
      <c r="A210" s="346" t="s">
        <v>1346</v>
      </c>
      <c r="B210" s="346" t="s">
        <v>1347</v>
      </c>
      <c r="C210" s="358" t="s">
        <v>1348</v>
      </c>
      <c r="D210" s="346" t="s">
        <v>4547</v>
      </c>
      <c r="E210" s="346" t="s">
        <v>4548</v>
      </c>
      <c r="F210" s="346" t="s">
        <v>4549</v>
      </c>
      <c r="G210" s="352" t="s">
        <v>4550</v>
      </c>
      <c r="H210" s="358"/>
      <c r="I210" s="358"/>
      <c r="J210" s="358"/>
      <c r="K210" s="358"/>
      <c r="L210" s="358"/>
      <c r="M210" s="358"/>
      <c r="S210" s="342" t="s">
        <v>1349</v>
      </c>
    </row>
    <row r="211" spans="1:19">
      <c r="A211" s="346" t="s">
        <v>1350</v>
      </c>
      <c r="B211" s="346" t="s">
        <v>1351</v>
      </c>
      <c r="C211" s="358" t="s">
        <v>1352</v>
      </c>
      <c r="D211" s="346" t="s">
        <v>4547</v>
      </c>
      <c r="E211" s="346" t="s">
        <v>4548</v>
      </c>
      <c r="F211" s="346" t="s">
        <v>4549</v>
      </c>
      <c r="G211" s="352" t="s">
        <v>4550</v>
      </c>
      <c r="H211" s="358"/>
      <c r="I211" s="358"/>
      <c r="J211" s="358"/>
      <c r="K211" s="358"/>
      <c r="L211" s="358"/>
      <c r="M211" s="358"/>
      <c r="S211" s="342" t="s">
        <v>1349</v>
      </c>
    </row>
    <row r="212" spans="1:19">
      <c r="A212" s="346" t="s">
        <v>1353</v>
      </c>
      <c r="B212" s="346" t="s">
        <v>1354</v>
      </c>
      <c r="C212" s="358" t="s">
        <v>1355</v>
      </c>
      <c r="D212" s="346" t="s">
        <v>4547</v>
      </c>
      <c r="E212" s="346" t="s">
        <v>4548</v>
      </c>
      <c r="F212" s="346" t="s">
        <v>4549</v>
      </c>
      <c r="G212" s="352" t="s">
        <v>4550</v>
      </c>
      <c r="H212" s="358"/>
      <c r="I212" s="358"/>
      <c r="J212" s="358"/>
      <c r="K212" s="358"/>
      <c r="L212" s="358"/>
      <c r="M212" s="358"/>
      <c r="S212" s="342" t="s">
        <v>1349</v>
      </c>
    </row>
    <row r="213" spans="1:19">
      <c r="A213" s="346" t="s">
        <v>1356</v>
      </c>
      <c r="B213" s="346" t="s">
        <v>1357</v>
      </c>
      <c r="C213" s="358" t="s">
        <v>1358</v>
      </c>
      <c r="D213" s="346" t="s">
        <v>4547</v>
      </c>
      <c r="E213" s="346" t="s">
        <v>4548</v>
      </c>
      <c r="F213" s="346" t="s">
        <v>4549</v>
      </c>
      <c r="G213" s="352" t="s">
        <v>4550</v>
      </c>
      <c r="H213" s="358"/>
      <c r="I213" s="358"/>
      <c r="J213" s="358"/>
      <c r="K213" s="358"/>
      <c r="L213" s="358"/>
      <c r="M213" s="358"/>
      <c r="S213" s="342" t="s">
        <v>1349</v>
      </c>
    </row>
    <row r="214" spans="1:19">
      <c r="A214" s="346" t="s">
        <v>1359</v>
      </c>
      <c r="B214" s="346" t="s">
        <v>1360</v>
      </c>
      <c r="C214" s="358" t="s">
        <v>1361</v>
      </c>
      <c r="D214" s="346" t="s">
        <v>4547</v>
      </c>
      <c r="E214" s="346" t="s">
        <v>4548</v>
      </c>
      <c r="F214" s="346" t="s">
        <v>4549</v>
      </c>
      <c r="G214" s="352" t="s">
        <v>4550</v>
      </c>
      <c r="H214" s="358"/>
      <c r="I214" s="358"/>
      <c r="J214" s="358"/>
      <c r="K214" s="358"/>
      <c r="L214" s="358"/>
      <c r="M214" s="358"/>
      <c r="S214" s="342" t="s">
        <v>1349</v>
      </c>
    </row>
    <row r="215" spans="1:19">
      <c r="A215" s="346" t="s">
        <v>1362</v>
      </c>
      <c r="B215" s="346" t="s">
        <v>1363</v>
      </c>
      <c r="C215" s="358" t="s">
        <v>1364</v>
      </c>
      <c r="D215" s="346" t="s">
        <v>4547</v>
      </c>
      <c r="E215" s="346" t="s">
        <v>4548</v>
      </c>
      <c r="F215" s="346" t="s">
        <v>4549</v>
      </c>
      <c r="G215" s="352" t="s">
        <v>4550</v>
      </c>
      <c r="H215" s="358"/>
      <c r="I215" s="358"/>
      <c r="J215" s="358"/>
      <c r="K215" s="358"/>
      <c r="L215" s="358"/>
      <c r="M215" s="358"/>
      <c r="S215" s="342" t="s">
        <v>1349</v>
      </c>
    </row>
    <row r="216" spans="1:19">
      <c r="A216" s="346" t="s">
        <v>1365</v>
      </c>
      <c r="B216" s="346" t="s">
        <v>1366</v>
      </c>
      <c r="C216" s="358" t="s">
        <v>1367</v>
      </c>
      <c r="D216" s="346" t="s">
        <v>4547</v>
      </c>
      <c r="E216" s="346" t="s">
        <v>4548</v>
      </c>
      <c r="F216" s="346" t="s">
        <v>4549</v>
      </c>
      <c r="G216" s="352" t="s">
        <v>4550</v>
      </c>
      <c r="H216" s="358"/>
      <c r="I216" s="358"/>
      <c r="J216" s="358"/>
      <c r="K216" s="358"/>
      <c r="L216" s="358"/>
      <c r="M216" s="358"/>
      <c r="S216" s="342" t="s">
        <v>1349</v>
      </c>
    </row>
    <row r="217" spans="1:19">
      <c r="A217" s="346" t="s">
        <v>1368</v>
      </c>
      <c r="B217" s="346" t="s">
        <v>1369</v>
      </c>
      <c r="C217" s="358" t="s">
        <v>1370</v>
      </c>
      <c r="D217" s="346" t="s">
        <v>4547</v>
      </c>
      <c r="E217" s="346" t="s">
        <v>4548</v>
      </c>
      <c r="F217" s="346" t="s">
        <v>4549</v>
      </c>
      <c r="G217" s="352" t="s">
        <v>4550</v>
      </c>
      <c r="H217" s="358"/>
      <c r="I217" s="358"/>
      <c r="J217" s="358"/>
      <c r="K217" s="358"/>
      <c r="L217" s="358"/>
      <c r="M217" s="358"/>
      <c r="S217" s="342" t="s">
        <v>1349</v>
      </c>
    </row>
    <row r="218" spans="1:19">
      <c r="A218" s="346" t="s">
        <v>1371</v>
      </c>
      <c r="B218" s="346" t="s">
        <v>1372</v>
      </c>
      <c r="C218" s="358" t="s">
        <v>1373</v>
      </c>
      <c r="D218" s="346" t="s">
        <v>4547</v>
      </c>
      <c r="E218" s="346" t="s">
        <v>4548</v>
      </c>
      <c r="F218" s="346" t="s">
        <v>4549</v>
      </c>
      <c r="G218" s="352" t="s">
        <v>4550</v>
      </c>
      <c r="H218" s="358"/>
      <c r="I218" s="358"/>
      <c r="J218" s="358"/>
      <c r="K218" s="358"/>
      <c r="L218" s="358"/>
      <c r="M218" s="358"/>
      <c r="S218" s="342" t="s">
        <v>1349</v>
      </c>
    </row>
    <row r="219" spans="1:19">
      <c r="A219" s="346" t="s">
        <v>1374</v>
      </c>
      <c r="B219" s="346" t="s">
        <v>1375</v>
      </c>
      <c r="C219" s="358" t="s">
        <v>1376</v>
      </c>
      <c r="D219" s="346" t="s">
        <v>4547</v>
      </c>
      <c r="E219" s="346" t="s">
        <v>4548</v>
      </c>
      <c r="F219" s="346" t="s">
        <v>4549</v>
      </c>
      <c r="G219" s="352" t="s">
        <v>4550</v>
      </c>
      <c r="H219" s="358"/>
      <c r="I219" s="358"/>
      <c r="J219" s="358"/>
      <c r="K219" s="358"/>
      <c r="L219" s="358"/>
      <c r="M219" s="358"/>
      <c r="S219" s="342" t="s">
        <v>1349</v>
      </c>
    </row>
    <row r="220" spans="1:19">
      <c r="A220" s="346" t="s">
        <v>1377</v>
      </c>
      <c r="B220" s="346" t="s">
        <v>1378</v>
      </c>
      <c r="C220" s="358" t="s">
        <v>1379</v>
      </c>
      <c r="D220" s="346" t="s">
        <v>4547</v>
      </c>
      <c r="E220" s="346" t="s">
        <v>4548</v>
      </c>
      <c r="F220" s="346" t="s">
        <v>4549</v>
      </c>
      <c r="G220" s="352" t="s">
        <v>4550</v>
      </c>
      <c r="H220" s="358"/>
      <c r="I220" s="358"/>
      <c r="J220" s="358"/>
      <c r="K220" s="358"/>
      <c r="L220" s="358"/>
      <c r="M220" s="358"/>
      <c r="S220" s="342" t="s">
        <v>1349</v>
      </c>
    </row>
    <row r="221" spans="1:19">
      <c r="A221" s="346" t="s">
        <v>1380</v>
      </c>
      <c r="B221" s="346" t="s">
        <v>1381</v>
      </c>
      <c r="C221" s="358" t="s">
        <v>1382</v>
      </c>
      <c r="D221" s="346" t="s">
        <v>4547</v>
      </c>
      <c r="E221" s="346" t="s">
        <v>4548</v>
      </c>
      <c r="F221" s="346" t="s">
        <v>4549</v>
      </c>
      <c r="G221" s="352" t="s">
        <v>4550</v>
      </c>
      <c r="H221" s="358"/>
      <c r="I221" s="358"/>
      <c r="J221" s="358"/>
      <c r="K221" s="358"/>
      <c r="L221" s="358"/>
      <c r="M221" s="358"/>
      <c r="S221" s="342" t="s">
        <v>1349</v>
      </c>
    </row>
    <row r="222" spans="1:19">
      <c r="A222" s="346" t="s">
        <v>1383</v>
      </c>
      <c r="B222" s="346" t="s">
        <v>1384</v>
      </c>
      <c r="C222" s="358" t="s">
        <v>1385</v>
      </c>
      <c r="D222" s="346" t="s">
        <v>4547</v>
      </c>
      <c r="E222" s="346" t="s">
        <v>4548</v>
      </c>
      <c r="F222" s="346" t="s">
        <v>4549</v>
      </c>
      <c r="G222" s="352" t="s">
        <v>4550</v>
      </c>
      <c r="H222" s="358"/>
      <c r="I222" s="358"/>
      <c r="J222" s="358"/>
      <c r="K222" s="358"/>
      <c r="L222" s="358"/>
      <c r="M222" s="358"/>
      <c r="S222" s="342" t="s">
        <v>1349</v>
      </c>
    </row>
    <row r="223" spans="1:19">
      <c r="A223" s="346" t="s">
        <v>1386</v>
      </c>
      <c r="B223" s="346" t="s">
        <v>1387</v>
      </c>
      <c r="C223" s="358" t="s">
        <v>1388</v>
      </c>
      <c r="D223" s="346" t="s">
        <v>4547</v>
      </c>
      <c r="E223" s="346" t="s">
        <v>4548</v>
      </c>
      <c r="F223" s="346" t="s">
        <v>4549</v>
      </c>
      <c r="G223" s="352" t="s">
        <v>4550</v>
      </c>
      <c r="H223" s="358"/>
      <c r="I223" s="358"/>
      <c r="J223" s="358"/>
      <c r="K223" s="358"/>
      <c r="L223" s="358"/>
      <c r="M223" s="358"/>
      <c r="S223" s="342" t="s">
        <v>1349</v>
      </c>
    </row>
    <row r="224" spans="1:19">
      <c r="A224" s="346" t="s">
        <v>1389</v>
      </c>
      <c r="B224" s="346" t="s">
        <v>1390</v>
      </c>
      <c r="C224" s="358" t="s">
        <v>1391</v>
      </c>
      <c r="D224" s="346" t="s">
        <v>4547</v>
      </c>
      <c r="E224" s="346" t="s">
        <v>4548</v>
      </c>
      <c r="F224" s="346" t="s">
        <v>4549</v>
      </c>
      <c r="G224" s="352" t="s">
        <v>4550</v>
      </c>
      <c r="H224" s="358"/>
      <c r="I224" s="358"/>
      <c r="J224" s="358"/>
      <c r="K224" s="358"/>
      <c r="L224" s="358"/>
      <c r="M224" s="358"/>
      <c r="S224" s="342" t="s">
        <v>1349</v>
      </c>
    </row>
    <row r="225" spans="1:19">
      <c r="A225" s="346" t="s">
        <v>1392</v>
      </c>
      <c r="B225" s="346" t="s">
        <v>1393</v>
      </c>
      <c r="C225" s="358" t="s">
        <v>1394</v>
      </c>
      <c r="D225" s="346" t="s">
        <v>4547</v>
      </c>
      <c r="E225" s="346" t="s">
        <v>4548</v>
      </c>
      <c r="F225" s="346" t="s">
        <v>4549</v>
      </c>
      <c r="G225" s="352" t="s">
        <v>4550</v>
      </c>
      <c r="H225" s="358"/>
      <c r="I225" s="358"/>
      <c r="J225" s="358"/>
      <c r="K225" s="358"/>
      <c r="L225" s="358"/>
      <c r="M225" s="358"/>
      <c r="S225" s="342" t="s">
        <v>1349</v>
      </c>
    </row>
    <row r="226" spans="1:19">
      <c r="A226" s="346" t="s">
        <v>1395</v>
      </c>
      <c r="B226" s="346" t="s">
        <v>1396</v>
      </c>
      <c r="C226" s="358" t="s">
        <v>1397</v>
      </c>
      <c r="D226" s="346" t="s">
        <v>4547</v>
      </c>
      <c r="E226" s="346" t="s">
        <v>4548</v>
      </c>
      <c r="F226" s="346" t="s">
        <v>4549</v>
      </c>
      <c r="G226" s="352" t="s">
        <v>4550</v>
      </c>
      <c r="H226" s="358"/>
      <c r="I226" s="358"/>
      <c r="J226" s="358"/>
      <c r="K226" s="358"/>
      <c r="L226" s="358"/>
      <c r="M226" s="358"/>
      <c r="S226" s="342" t="s">
        <v>1349</v>
      </c>
    </row>
    <row r="227" spans="1:19">
      <c r="A227" s="346" t="s">
        <v>1398</v>
      </c>
      <c r="B227" s="346" t="s">
        <v>1399</v>
      </c>
      <c r="C227" s="358" t="s">
        <v>1400</v>
      </c>
      <c r="D227" s="346" t="s">
        <v>4547</v>
      </c>
      <c r="E227" s="346" t="s">
        <v>4548</v>
      </c>
      <c r="F227" s="346" t="s">
        <v>4549</v>
      </c>
      <c r="G227" s="352" t="s">
        <v>4550</v>
      </c>
      <c r="H227" s="358"/>
      <c r="I227" s="358"/>
      <c r="J227" s="358"/>
      <c r="K227" s="358"/>
      <c r="L227" s="358"/>
      <c r="M227" s="358"/>
      <c r="S227" s="342" t="s">
        <v>1349</v>
      </c>
    </row>
    <row r="228" spans="1:19">
      <c r="A228" s="346" t="s">
        <v>1401</v>
      </c>
      <c r="B228" s="346" t="s">
        <v>1402</v>
      </c>
      <c r="C228" s="358" t="s">
        <v>1403</v>
      </c>
      <c r="D228" s="346" t="s">
        <v>4547</v>
      </c>
      <c r="E228" s="346" t="s">
        <v>4548</v>
      </c>
      <c r="F228" s="346" t="s">
        <v>4549</v>
      </c>
      <c r="G228" s="352" t="s">
        <v>4550</v>
      </c>
      <c r="H228" s="358"/>
      <c r="I228" s="358"/>
      <c r="J228" s="358"/>
      <c r="K228" s="358"/>
      <c r="L228" s="358"/>
      <c r="M228" s="358"/>
      <c r="S228" s="342" t="s">
        <v>1349</v>
      </c>
    </row>
    <row r="229" spans="1:19">
      <c r="A229" s="346" t="s">
        <v>1404</v>
      </c>
      <c r="B229" s="346" t="s">
        <v>1405</v>
      </c>
      <c r="C229" s="358" t="s">
        <v>1406</v>
      </c>
      <c r="D229" s="346" t="s">
        <v>4547</v>
      </c>
      <c r="E229" s="346" t="s">
        <v>4548</v>
      </c>
      <c r="F229" s="346" t="s">
        <v>4549</v>
      </c>
      <c r="G229" s="352" t="s">
        <v>4550</v>
      </c>
      <c r="H229" s="358"/>
      <c r="I229" s="358"/>
      <c r="J229" s="358"/>
      <c r="K229" s="358"/>
      <c r="L229" s="358"/>
      <c r="M229" s="358"/>
      <c r="S229" s="342" t="s">
        <v>1349</v>
      </c>
    </row>
    <row r="230" spans="1:19">
      <c r="A230" s="346" t="s">
        <v>1407</v>
      </c>
      <c r="B230" s="346" t="s">
        <v>1408</v>
      </c>
      <c r="C230" s="358" t="s">
        <v>1409</v>
      </c>
      <c r="D230" s="346" t="s">
        <v>4547</v>
      </c>
      <c r="E230" s="346" t="s">
        <v>4548</v>
      </c>
      <c r="F230" s="346" t="s">
        <v>4549</v>
      </c>
      <c r="G230" s="352" t="s">
        <v>4550</v>
      </c>
      <c r="H230" s="358"/>
      <c r="I230" s="358"/>
      <c r="J230" s="358"/>
      <c r="K230" s="358"/>
      <c r="L230" s="358"/>
      <c r="M230" s="358"/>
      <c r="S230" s="342" t="s">
        <v>1349</v>
      </c>
    </row>
    <row r="231" spans="1:19">
      <c r="A231" s="346" t="s">
        <v>1410</v>
      </c>
      <c r="B231" s="346" t="s">
        <v>1411</v>
      </c>
      <c r="C231" s="358" t="s">
        <v>1412</v>
      </c>
      <c r="D231" s="346" t="s">
        <v>4547</v>
      </c>
      <c r="E231" s="346" t="s">
        <v>4548</v>
      </c>
      <c r="F231" s="346" t="s">
        <v>4549</v>
      </c>
      <c r="G231" s="352" t="s">
        <v>4550</v>
      </c>
      <c r="H231" s="358"/>
      <c r="I231" s="358"/>
      <c r="J231" s="358"/>
      <c r="K231" s="358"/>
      <c r="L231" s="358"/>
      <c r="M231" s="358"/>
      <c r="S231" s="342" t="s">
        <v>1349</v>
      </c>
    </row>
    <row r="232" spans="1:19">
      <c r="A232" s="346" t="s">
        <v>1413</v>
      </c>
      <c r="B232" s="346" t="s">
        <v>1414</v>
      </c>
      <c r="C232" s="358" t="s">
        <v>1415</v>
      </c>
      <c r="D232" s="346" t="s">
        <v>4547</v>
      </c>
      <c r="E232" s="346" t="s">
        <v>4548</v>
      </c>
      <c r="F232" s="346" t="s">
        <v>4549</v>
      </c>
      <c r="G232" s="352" t="s">
        <v>4550</v>
      </c>
      <c r="H232" s="358"/>
      <c r="I232" s="358"/>
      <c r="J232" s="358"/>
      <c r="K232" s="358"/>
      <c r="L232" s="358"/>
      <c r="M232" s="358"/>
      <c r="S232" s="342" t="s">
        <v>1349</v>
      </c>
    </row>
    <row r="233" spans="1:19">
      <c r="A233" s="346" t="s">
        <v>1416</v>
      </c>
      <c r="B233" s="346" t="s">
        <v>1417</v>
      </c>
      <c r="C233" s="358" t="s">
        <v>1418</v>
      </c>
      <c r="D233" s="346" t="s">
        <v>4547</v>
      </c>
      <c r="E233" s="346" t="s">
        <v>4548</v>
      </c>
      <c r="F233" s="346" t="s">
        <v>4549</v>
      </c>
      <c r="G233" s="352" t="s">
        <v>4550</v>
      </c>
      <c r="H233" s="358"/>
      <c r="I233" s="358"/>
      <c r="J233" s="358"/>
      <c r="K233" s="358"/>
      <c r="L233" s="358"/>
      <c r="M233" s="358"/>
      <c r="S233" s="342" t="s">
        <v>1349</v>
      </c>
    </row>
    <row r="234" spans="1:19">
      <c r="A234" s="346" t="s">
        <v>1419</v>
      </c>
      <c r="B234" s="346" t="s">
        <v>1420</v>
      </c>
      <c r="C234" s="358" t="s">
        <v>1421</v>
      </c>
      <c r="D234" s="346" t="s">
        <v>4547</v>
      </c>
      <c r="E234" s="346" t="s">
        <v>4548</v>
      </c>
      <c r="F234" s="346" t="s">
        <v>4549</v>
      </c>
      <c r="G234" s="352" t="s">
        <v>4550</v>
      </c>
      <c r="H234" s="358"/>
      <c r="I234" s="358"/>
      <c r="J234" s="358"/>
      <c r="K234" s="358"/>
      <c r="L234" s="358"/>
      <c r="M234" s="358"/>
      <c r="S234" s="342" t="s">
        <v>1349</v>
      </c>
    </row>
    <row r="235" spans="1:19">
      <c r="A235" s="346" t="s">
        <v>1029</v>
      </c>
      <c r="B235" s="346" t="s">
        <v>1030</v>
      </c>
      <c r="C235" s="358" t="s">
        <v>1031</v>
      </c>
      <c r="D235" s="346" t="s">
        <v>4547</v>
      </c>
      <c r="E235" s="346" t="s">
        <v>4548</v>
      </c>
      <c r="F235" s="346" t="s">
        <v>4549</v>
      </c>
      <c r="G235" s="352" t="s">
        <v>4550</v>
      </c>
      <c r="H235" s="358"/>
      <c r="I235" s="358"/>
      <c r="J235" s="358"/>
      <c r="K235" s="358"/>
      <c r="L235" s="358"/>
      <c r="M235" s="358"/>
      <c r="S235" s="342" t="s">
        <v>1032</v>
      </c>
    </row>
    <row r="236" spans="1:19">
      <c r="A236" s="346" t="s">
        <v>1033</v>
      </c>
      <c r="B236" s="346" t="s">
        <v>1034</v>
      </c>
      <c r="C236" s="358" t="s">
        <v>1035</v>
      </c>
      <c r="D236" s="346" t="s">
        <v>4547</v>
      </c>
      <c r="E236" s="346" t="s">
        <v>4548</v>
      </c>
      <c r="F236" s="346" t="s">
        <v>4549</v>
      </c>
      <c r="G236" s="352" t="s">
        <v>4550</v>
      </c>
      <c r="H236" s="358"/>
      <c r="I236" s="358"/>
      <c r="J236" s="358"/>
      <c r="K236" s="358"/>
      <c r="L236" s="358"/>
      <c r="M236" s="358"/>
      <c r="S236" s="342" t="s">
        <v>1032</v>
      </c>
    </row>
    <row r="237" spans="1:19">
      <c r="A237" s="346" t="s">
        <v>1036</v>
      </c>
      <c r="B237" s="346" t="s">
        <v>1037</v>
      </c>
      <c r="C237" s="358" t="s">
        <v>1038</v>
      </c>
      <c r="D237" s="346" t="s">
        <v>4547</v>
      </c>
      <c r="E237" s="346" t="s">
        <v>4548</v>
      </c>
      <c r="F237" s="346" t="s">
        <v>4549</v>
      </c>
      <c r="G237" s="352" t="s">
        <v>4550</v>
      </c>
      <c r="H237" s="358"/>
      <c r="I237" s="358"/>
      <c r="J237" s="358"/>
      <c r="K237" s="358"/>
      <c r="L237" s="358"/>
      <c r="M237" s="358"/>
      <c r="S237" s="342" t="s">
        <v>1032</v>
      </c>
    </row>
    <row r="238" spans="1:19">
      <c r="A238" s="346" t="s">
        <v>1039</v>
      </c>
      <c r="B238" s="346" t="s">
        <v>1040</v>
      </c>
      <c r="C238" s="358" t="s">
        <v>1041</v>
      </c>
      <c r="D238" s="346" t="s">
        <v>4547</v>
      </c>
      <c r="E238" s="346" t="s">
        <v>4548</v>
      </c>
      <c r="F238" s="346" t="s">
        <v>4549</v>
      </c>
      <c r="G238" s="352" t="s">
        <v>4550</v>
      </c>
      <c r="H238" s="358"/>
      <c r="I238" s="358"/>
      <c r="J238" s="358"/>
      <c r="K238" s="358"/>
      <c r="L238" s="358"/>
      <c r="M238" s="358"/>
      <c r="S238" s="342" t="s">
        <v>1032</v>
      </c>
    </row>
    <row r="239" spans="1:19">
      <c r="A239" s="346" t="s">
        <v>1042</v>
      </c>
      <c r="B239" s="346" t="s">
        <v>1043</v>
      </c>
      <c r="C239" s="358" t="s">
        <v>1044</v>
      </c>
      <c r="D239" s="346" t="s">
        <v>4547</v>
      </c>
      <c r="E239" s="346" t="s">
        <v>4548</v>
      </c>
      <c r="F239" s="346" t="s">
        <v>4549</v>
      </c>
      <c r="G239" s="352" t="s">
        <v>4550</v>
      </c>
      <c r="H239" s="358"/>
      <c r="I239" s="358"/>
      <c r="J239" s="358"/>
      <c r="K239" s="358"/>
      <c r="L239" s="358"/>
      <c r="M239" s="358"/>
      <c r="S239" s="342" t="s">
        <v>1032</v>
      </c>
    </row>
    <row r="240" spans="1:19">
      <c r="A240" s="346" t="s">
        <v>1045</v>
      </c>
      <c r="B240" s="346" t="s">
        <v>1046</v>
      </c>
      <c r="C240" s="358" t="s">
        <v>1047</v>
      </c>
      <c r="D240" s="346" t="s">
        <v>4547</v>
      </c>
      <c r="E240" s="346" t="s">
        <v>4548</v>
      </c>
      <c r="F240" s="346" t="s">
        <v>4549</v>
      </c>
      <c r="G240" s="352" t="s">
        <v>4550</v>
      </c>
      <c r="H240" s="358"/>
      <c r="I240" s="358"/>
      <c r="J240" s="358"/>
      <c r="K240" s="358"/>
      <c r="L240" s="358"/>
      <c r="M240" s="358"/>
      <c r="S240" s="342" t="s">
        <v>1032</v>
      </c>
    </row>
    <row r="241" spans="1:19">
      <c r="A241" s="346" t="s">
        <v>1048</v>
      </c>
      <c r="B241" s="346" t="s">
        <v>1049</v>
      </c>
      <c r="C241" s="358" t="s">
        <v>1050</v>
      </c>
      <c r="D241" s="346" t="s">
        <v>4547</v>
      </c>
      <c r="E241" s="346" t="s">
        <v>4548</v>
      </c>
      <c r="F241" s="346" t="s">
        <v>4549</v>
      </c>
      <c r="G241" s="352" t="s">
        <v>4550</v>
      </c>
      <c r="H241" s="358"/>
      <c r="I241" s="358"/>
      <c r="J241" s="358"/>
      <c r="K241" s="358"/>
      <c r="L241" s="358"/>
      <c r="M241" s="358"/>
      <c r="S241" s="342" t="s">
        <v>1032</v>
      </c>
    </row>
    <row r="242" spans="1:19">
      <c r="A242" s="346" t="s">
        <v>948</v>
      </c>
      <c r="B242" s="346" t="s">
        <v>949</v>
      </c>
      <c r="C242" s="358" t="s">
        <v>950</v>
      </c>
      <c r="D242" s="346" t="s">
        <v>4547</v>
      </c>
      <c r="E242" s="346" t="s">
        <v>4548</v>
      </c>
      <c r="F242" s="346" t="s">
        <v>4549</v>
      </c>
      <c r="G242" s="352" t="s">
        <v>4550</v>
      </c>
      <c r="H242" s="358"/>
      <c r="I242" s="358"/>
      <c r="J242" s="358"/>
      <c r="K242" s="358"/>
      <c r="L242" s="358"/>
      <c r="M242" s="358"/>
      <c r="S242" s="342" t="s">
        <v>4551</v>
      </c>
    </row>
    <row r="243" spans="1:19">
      <c r="A243" s="346" t="s">
        <v>951</v>
      </c>
      <c r="B243" s="346" t="s">
        <v>952</v>
      </c>
      <c r="C243" s="358" t="s">
        <v>953</v>
      </c>
      <c r="D243" s="346" t="s">
        <v>4547</v>
      </c>
      <c r="E243" s="346" t="s">
        <v>4548</v>
      </c>
      <c r="F243" s="346" t="s">
        <v>4549</v>
      </c>
      <c r="G243" s="352" t="s">
        <v>4550</v>
      </c>
      <c r="H243" s="358"/>
      <c r="I243" s="358"/>
      <c r="J243" s="358"/>
      <c r="K243" s="358"/>
      <c r="L243" s="358"/>
      <c r="M243" s="358"/>
      <c r="S243" s="342" t="s">
        <v>4551</v>
      </c>
    </row>
    <row r="244" spans="1:19">
      <c r="A244" s="346" t="s">
        <v>954</v>
      </c>
      <c r="B244" s="346" t="s">
        <v>955</v>
      </c>
      <c r="C244" s="358" t="s">
        <v>956</v>
      </c>
      <c r="D244" s="346" t="s">
        <v>4547</v>
      </c>
      <c r="E244" s="346" t="s">
        <v>4548</v>
      </c>
      <c r="F244" s="346" t="s">
        <v>4549</v>
      </c>
      <c r="G244" s="352" t="s">
        <v>4550</v>
      </c>
      <c r="H244" s="358"/>
      <c r="I244" s="358"/>
      <c r="J244" s="358"/>
      <c r="K244" s="358"/>
      <c r="L244" s="358"/>
      <c r="M244" s="358"/>
      <c r="S244" s="342" t="s">
        <v>4551</v>
      </c>
    </row>
    <row r="245" spans="1:19">
      <c r="A245" s="346" t="s">
        <v>957</v>
      </c>
      <c r="B245" s="346" t="s">
        <v>958</v>
      </c>
      <c r="C245" s="358" t="s">
        <v>959</v>
      </c>
      <c r="D245" s="346" t="s">
        <v>4547</v>
      </c>
      <c r="E245" s="346" t="s">
        <v>4548</v>
      </c>
      <c r="F245" s="346" t="s">
        <v>4549</v>
      </c>
      <c r="G245" s="352" t="s">
        <v>4550</v>
      </c>
      <c r="H245" s="358"/>
      <c r="I245" s="358"/>
      <c r="J245" s="358"/>
      <c r="K245" s="358"/>
      <c r="L245" s="358"/>
      <c r="M245" s="358"/>
      <c r="S245" s="342" t="s">
        <v>4551</v>
      </c>
    </row>
    <row r="246" spans="1:19">
      <c r="A246" s="346" t="s">
        <v>960</v>
      </c>
      <c r="B246" s="346" t="s">
        <v>961</v>
      </c>
      <c r="C246" s="358" t="s">
        <v>962</v>
      </c>
      <c r="D246" s="346" t="s">
        <v>4547</v>
      </c>
      <c r="E246" s="346" t="s">
        <v>4548</v>
      </c>
      <c r="F246" s="346" t="s">
        <v>4549</v>
      </c>
      <c r="G246" s="352" t="s">
        <v>4550</v>
      </c>
      <c r="H246" s="358"/>
      <c r="I246" s="358"/>
      <c r="J246" s="358"/>
      <c r="K246" s="358"/>
      <c r="L246" s="358"/>
      <c r="M246" s="358"/>
      <c r="S246" s="342" t="s">
        <v>4551</v>
      </c>
    </row>
    <row r="247" spans="1:19">
      <c r="A247" s="346" t="s">
        <v>963</v>
      </c>
      <c r="B247" s="346" t="s">
        <v>964</v>
      </c>
      <c r="C247" s="358" t="s">
        <v>965</v>
      </c>
      <c r="D247" s="346" t="s">
        <v>4547</v>
      </c>
      <c r="E247" s="346" t="s">
        <v>4548</v>
      </c>
      <c r="F247" s="346" t="s">
        <v>4549</v>
      </c>
      <c r="G247" s="352" t="s">
        <v>4550</v>
      </c>
      <c r="H247" s="358"/>
      <c r="I247" s="358"/>
      <c r="J247" s="358"/>
      <c r="K247" s="358"/>
      <c r="L247" s="358"/>
      <c r="M247" s="358"/>
      <c r="S247" s="342" t="s">
        <v>4551</v>
      </c>
    </row>
    <row r="248" spans="1:19">
      <c r="A248" s="346" t="s">
        <v>966</v>
      </c>
      <c r="B248" s="346" t="s">
        <v>967</v>
      </c>
      <c r="C248" s="358" t="s">
        <v>968</v>
      </c>
      <c r="D248" s="346" t="s">
        <v>4547</v>
      </c>
      <c r="E248" s="346" t="s">
        <v>4548</v>
      </c>
      <c r="F248" s="346" t="s">
        <v>4549</v>
      </c>
      <c r="G248" s="352" t="s">
        <v>4550</v>
      </c>
      <c r="H248" s="358"/>
      <c r="I248" s="358"/>
      <c r="J248" s="358"/>
      <c r="K248" s="358"/>
      <c r="L248" s="358"/>
      <c r="M248" s="358"/>
      <c r="S248" s="342" t="s">
        <v>4551</v>
      </c>
    </row>
    <row r="249" spans="1:19">
      <c r="A249" s="346" t="s">
        <v>969</v>
      </c>
      <c r="B249" s="346" t="s">
        <v>970</v>
      </c>
      <c r="C249" s="358" t="s">
        <v>971</v>
      </c>
      <c r="D249" s="346" t="s">
        <v>4547</v>
      </c>
      <c r="E249" s="346" t="s">
        <v>4548</v>
      </c>
      <c r="F249" s="346" t="s">
        <v>4549</v>
      </c>
      <c r="G249" s="352" t="s">
        <v>4550</v>
      </c>
      <c r="H249" s="358"/>
      <c r="I249" s="358"/>
      <c r="J249" s="358"/>
      <c r="K249" s="358"/>
      <c r="L249" s="358"/>
      <c r="M249" s="358"/>
      <c r="S249" s="342" t="s">
        <v>4551</v>
      </c>
    </row>
    <row r="250" spans="1:19">
      <c r="A250" s="346" t="s">
        <v>972</v>
      </c>
      <c r="B250" s="346" t="s">
        <v>973</v>
      </c>
      <c r="C250" s="358" t="s">
        <v>974</v>
      </c>
      <c r="D250" s="346" t="s">
        <v>4547</v>
      </c>
      <c r="E250" s="346" t="s">
        <v>4548</v>
      </c>
      <c r="F250" s="346" t="s">
        <v>4549</v>
      </c>
      <c r="G250" s="352" t="s">
        <v>4550</v>
      </c>
      <c r="H250" s="358"/>
      <c r="I250" s="358"/>
      <c r="J250" s="358"/>
      <c r="K250" s="358"/>
      <c r="L250" s="358"/>
      <c r="M250" s="358"/>
      <c r="S250" s="342" t="s">
        <v>4551</v>
      </c>
    </row>
    <row r="251" spans="1:19">
      <c r="A251" s="346" t="s">
        <v>975</v>
      </c>
      <c r="B251" s="346" t="s">
        <v>976</v>
      </c>
      <c r="C251" s="358" t="s">
        <v>977</v>
      </c>
      <c r="D251" s="346" t="s">
        <v>4547</v>
      </c>
      <c r="E251" s="346" t="s">
        <v>4548</v>
      </c>
      <c r="F251" s="346" t="s">
        <v>4549</v>
      </c>
      <c r="G251" s="352" t="s">
        <v>4550</v>
      </c>
      <c r="H251" s="358"/>
      <c r="I251" s="358"/>
      <c r="J251" s="358"/>
      <c r="K251" s="358"/>
      <c r="L251" s="358"/>
      <c r="M251" s="358"/>
      <c r="S251" s="342" t="s">
        <v>4551</v>
      </c>
    </row>
    <row r="252" spans="1:19">
      <c r="A252" s="346" t="s">
        <v>978</v>
      </c>
      <c r="B252" s="346" t="s">
        <v>979</v>
      </c>
      <c r="C252" s="358" t="s">
        <v>980</v>
      </c>
      <c r="D252" s="346" t="s">
        <v>4547</v>
      </c>
      <c r="E252" s="346" t="s">
        <v>4548</v>
      </c>
      <c r="F252" s="346" t="s">
        <v>4549</v>
      </c>
      <c r="G252" s="352" t="s">
        <v>4550</v>
      </c>
      <c r="H252" s="358"/>
      <c r="I252" s="358"/>
      <c r="J252" s="358"/>
      <c r="K252" s="358"/>
      <c r="L252" s="358"/>
      <c r="M252" s="358"/>
      <c r="S252" s="342" t="s">
        <v>4551</v>
      </c>
    </row>
    <row r="253" spans="1:19">
      <c r="A253" s="346" t="s">
        <v>981</v>
      </c>
      <c r="B253" s="346" t="s">
        <v>982</v>
      </c>
      <c r="C253" s="358" t="s">
        <v>983</v>
      </c>
      <c r="D253" s="346" t="s">
        <v>4547</v>
      </c>
      <c r="E253" s="346" t="s">
        <v>4548</v>
      </c>
      <c r="F253" s="346" t="s">
        <v>4549</v>
      </c>
      <c r="G253" s="352" t="s">
        <v>4550</v>
      </c>
      <c r="H253" s="358"/>
      <c r="I253" s="358"/>
      <c r="J253" s="358"/>
      <c r="K253" s="358"/>
      <c r="L253" s="358"/>
      <c r="M253" s="358"/>
      <c r="S253" s="342" t="s">
        <v>4551</v>
      </c>
    </row>
    <row r="254" spans="1:19">
      <c r="A254" s="346" t="s">
        <v>984</v>
      </c>
      <c r="B254" s="346" t="s">
        <v>985</v>
      </c>
      <c r="C254" s="355" t="s">
        <v>986</v>
      </c>
      <c r="D254" s="346" t="s">
        <v>4547</v>
      </c>
      <c r="E254" s="346" t="s">
        <v>4548</v>
      </c>
      <c r="F254" s="346" t="s">
        <v>4549</v>
      </c>
      <c r="G254" s="352" t="s">
        <v>4550</v>
      </c>
      <c r="H254" s="358"/>
      <c r="I254" s="358"/>
      <c r="J254" s="358"/>
      <c r="K254" s="358"/>
      <c r="L254" s="358"/>
      <c r="M254" s="358"/>
      <c r="S254" s="342" t="s">
        <v>4551</v>
      </c>
    </row>
    <row r="255" spans="1:19">
      <c r="A255" s="346" t="s">
        <v>1051</v>
      </c>
      <c r="B255" s="346" t="s">
        <v>1052</v>
      </c>
      <c r="C255" s="355" t="s">
        <v>1053</v>
      </c>
      <c r="D255" s="346" t="s">
        <v>4547</v>
      </c>
      <c r="E255" s="346" t="s">
        <v>4548</v>
      </c>
      <c r="F255" s="346" t="s">
        <v>4549</v>
      </c>
      <c r="G255" s="352" t="s">
        <v>4550</v>
      </c>
      <c r="H255" s="358"/>
      <c r="I255" s="358"/>
      <c r="J255" s="358"/>
      <c r="K255" s="358"/>
      <c r="L255" s="358"/>
      <c r="M255" s="358"/>
      <c r="S255" s="342" t="s">
        <v>1054</v>
      </c>
    </row>
  </sheetData>
  <sheetProtection formatCells="0" formatColumns="0" formatRows="0"/>
  <mergeCells count="16">
    <mergeCell ref="M5:M6"/>
    <mergeCell ref="G5:G6"/>
    <mergeCell ref="H5:H6"/>
    <mergeCell ref="I5:I6"/>
    <mergeCell ref="J5:J6"/>
    <mergeCell ref="K5:K6"/>
    <mergeCell ref="L5:L6"/>
    <mergeCell ref="A2:F2"/>
    <mergeCell ref="A3:F3"/>
    <mergeCell ref="A4:F4"/>
    <mergeCell ref="A5:A6"/>
    <mergeCell ref="B5:B6"/>
    <mergeCell ref="C5:C6"/>
    <mergeCell ref="D5:D6"/>
    <mergeCell ref="E5:E6"/>
    <mergeCell ref="F5:F6"/>
  </mergeCells>
  <phoneticPr fontId="45" type="noConversion"/>
  <conditionalFormatting sqref="A8:B110">
    <cfRule type="cellIs" dxfId="77" priority="2" stopIfTrue="1" operator="equal">
      <formula>"tbd"</formula>
    </cfRule>
  </conditionalFormatting>
  <conditionalFormatting sqref="A5:C5 A7">
    <cfRule type="cellIs" dxfId="76" priority="4" stopIfTrue="1" operator="equal">
      <formula>"tbd"</formula>
    </cfRule>
  </conditionalFormatting>
  <conditionalFormatting sqref="C7">
    <cfRule type="cellIs" dxfId="75" priority="3" stopIfTrue="1" operator="equal">
      <formula>"tbd"</formula>
    </cfRule>
  </conditionalFormatting>
  <conditionalFormatting sqref="C69:C126">
    <cfRule type="cellIs" dxfId="74" priority="1" stopIfTrue="1" operator="equal">
      <formula>"tbd"</formula>
    </cfRule>
  </conditionalFormatting>
  <printOptions horizontalCentered="1"/>
  <pageMargins left="0.70763888888888904" right="0.70763888888888904" top="0.74791666666666701" bottom="0.74791666666666701" header="0.31388888888888899" footer="0.31388888888888899"/>
  <pageSetup paperSize="9" scale="55" orientation="landscape" horizontalDpi="300" verticalDpi="3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工作表11"/>
  <dimension ref="A1:AN84"/>
  <sheetViews>
    <sheetView zoomScaleNormal="100" workbookViewId="0">
      <selection activeCell="E20" sqref="E20"/>
    </sheetView>
  </sheetViews>
  <sheetFormatPr defaultColWidth="9" defaultRowHeight="15.75"/>
  <cols>
    <col min="1" max="1" width="8.875" style="48" customWidth="1"/>
    <col min="2" max="2" width="15" style="128" customWidth="1"/>
    <col min="3" max="3" width="24.5" style="48" customWidth="1"/>
    <col min="4" max="4" width="8.25" style="48" customWidth="1"/>
    <col min="5" max="5" width="6.75" style="126" customWidth="1"/>
    <col min="6" max="6" width="9.125" style="126" customWidth="1"/>
    <col min="7" max="7" width="9.375" style="126" customWidth="1"/>
    <col min="8" max="8" width="18.25" style="48" customWidth="1"/>
    <col min="9" max="9" width="13.5" style="48" customWidth="1"/>
    <col min="10" max="10" width="13.375" style="48" customWidth="1"/>
    <col min="11" max="11" width="6.625" style="48" customWidth="1"/>
    <col min="12" max="15" width="9.75" style="126" customWidth="1"/>
    <col min="16" max="16" width="15" style="128" customWidth="1"/>
    <col min="17" max="17" width="18.5" style="48" customWidth="1"/>
    <col min="18" max="35" width="9" style="48"/>
    <col min="36" max="40" width="9" style="48" hidden="1" customWidth="1"/>
    <col min="41" max="16384" width="9" style="48"/>
  </cols>
  <sheetData>
    <row r="1" spans="1:39" ht="18.75">
      <c r="A1" s="121" t="s">
        <v>0</v>
      </c>
      <c r="B1" s="58"/>
      <c r="C1" s="59"/>
      <c r="D1" s="60"/>
      <c r="E1" s="60"/>
      <c r="F1" s="60"/>
      <c r="G1" s="60"/>
      <c r="H1" s="61"/>
      <c r="I1" s="60"/>
      <c r="J1" s="60"/>
      <c r="K1" s="60"/>
      <c r="L1" s="60"/>
      <c r="M1" s="60"/>
      <c r="N1" s="60"/>
      <c r="O1" s="60"/>
      <c r="P1" s="58"/>
      <c r="Q1" s="62"/>
      <c r="AK1" s="122" t="s">
        <v>4444</v>
      </c>
      <c r="AM1" s="122" t="s">
        <v>4445</v>
      </c>
    </row>
    <row r="2" spans="1:39" s="18" customFormat="1" ht="15.75" customHeight="1">
      <c r="A2" s="907" t="s">
        <v>4558</v>
      </c>
      <c r="B2" s="908"/>
      <c r="C2" s="908"/>
      <c r="D2" s="908"/>
      <c r="E2" s="908"/>
      <c r="F2" s="908"/>
      <c r="G2" s="908"/>
      <c r="H2" s="908"/>
      <c r="I2" s="908"/>
      <c r="J2" s="908"/>
      <c r="K2" s="908"/>
      <c r="L2" s="908"/>
      <c r="M2" s="908"/>
      <c r="N2" s="908"/>
      <c r="O2" s="908"/>
      <c r="P2" s="908"/>
      <c r="Q2" s="908"/>
      <c r="AK2" s="123" t="s">
        <v>152</v>
      </c>
      <c r="AL2" s="48"/>
      <c r="AM2" s="123" t="s">
        <v>156</v>
      </c>
    </row>
    <row r="3" spans="1:39" s="18" customFormat="1" ht="21" customHeight="1">
      <c r="A3" s="909"/>
      <c r="B3" s="908"/>
      <c r="C3" s="908"/>
      <c r="D3" s="908"/>
      <c r="E3" s="908"/>
      <c r="F3" s="908"/>
      <c r="G3" s="908"/>
      <c r="H3" s="908"/>
      <c r="I3" s="908"/>
      <c r="J3" s="908"/>
      <c r="K3" s="908"/>
      <c r="L3" s="908"/>
      <c r="M3" s="908"/>
      <c r="N3" s="908"/>
      <c r="O3" s="908"/>
      <c r="P3" s="908"/>
      <c r="Q3" s="908"/>
      <c r="AK3" s="123" t="s">
        <v>158</v>
      </c>
      <c r="AL3" s="48"/>
      <c r="AM3" s="123" t="s">
        <v>4447</v>
      </c>
    </row>
    <row r="4" spans="1:39" s="18" customFormat="1" ht="9.75" customHeight="1">
      <c r="A4" s="63"/>
      <c r="B4" s="64"/>
      <c r="C4" s="64"/>
      <c r="D4" s="65"/>
      <c r="E4" s="65"/>
      <c r="F4" s="65"/>
      <c r="G4" s="65"/>
      <c r="H4" s="66"/>
      <c r="I4" s="67"/>
      <c r="J4" s="67"/>
      <c r="K4" s="67"/>
      <c r="L4" s="68"/>
      <c r="M4" s="68"/>
      <c r="N4" s="68"/>
      <c r="O4" s="68"/>
      <c r="P4" s="64"/>
      <c r="Q4" s="69"/>
      <c r="AK4" s="123" t="s">
        <v>161</v>
      </c>
      <c r="AL4" s="48"/>
      <c r="AM4" s="124" t="s">
        <v>4448</v>
      </c>
    </row>
    <row r="5" spans="1:39" s="19" customFormat="1" ht="31.15" customHeight="1">
      <c r="A5" s="910" t="s">
        <v>4559</v>
      </c>
      <c r="B5" s="911"/>
      <c r="C5" s="912"/>
      <c r="D5" s="912"/>
      <c r="E5" s="912"/>
      <c r="F5" s="912"/>
      <c r="G5" s="912"/>
      <c r="H5" s="912"/>
      <c r="I5" s="912"/>
      <c r="J5" s="912"/>
      <c r="K5" s="912"/>
      <c r="L5" s="912"/>
      <c r="M5" s="912"/>
      <c r="N5" s="912"/>
      <c r="O5" s="912"/>
      <c r="P5" s="912"/>
      <c r="Q5" s="913"/>
      <c r="AK5" s="124" t="s">
        <v>4450</v>
      </c>
      <c r="AL5" s="48"/>
      <c r="AM5" s="48"/>
    </row>
    <row r="6" spans="1:39" ht="27" customHeight="1">
      <c r="A6" s="914" t="s">
        <v>4451</v>
      </c>
      <c r="B6" s="915"/>
      <c r="C6" s="915"/>
      <c r="D6" s="915"/>
      <c r="E6" s="915"/>
      <c r="F6" s="915"/>
      <c r="G6" s="915"/>
      <c r="H6" s="915"/>
      <c r="I6" s="915"/>
      <c r="J6" s="915"/>
      <c r="K6" s="915"/>
      <c r="L6" s="915"/>
      <c r="M6" s="915"/>
      <c r="N6" s="915"/>
      <c r="O6" s="915"/>
      <c r="P6" s="915"/>
      <c r="Q6" s="915"/>
    </row>
    <row r="7" spans="1:39" ht="34.5" customHeight="1">
      <c r="A7" s="875" t="s">
        <v>4452</v>
      </c>
      <c r="B7" s="875" t="s">
        <v>4560</v>
      </c>
      <c r="C7" s="875" t="s">
        <v>4561</v>
      </c>
      <c r="D7" s="875" t="s">
        <v>4456</v>
      </c>
      <c r="E7" s="875" t="s">
        <v>4457</v>
      </c>
      <c r="F7" s="916" t="s">
        <v>4458</v>
      </c>
      <c r="G7" s="916" t="s">
        <v>4459</v>
      </c>
      <c r="H7" s="875" t="s">
        <v>4460</v>
      </c>
      <c r="I7" s="875" t="s">
        <v>4461</v>
      </c>
      <c r="J7" s="875" t="s">
        <v>4462</v>
      </c>
      <c r="K7" s="875" t="s">
        <v>54</v>
      </c>
      <c r="L7" s="875" t="s">
        <v>4463</v>
      </c>
      <c r="M7" s="875" t="s">
        <v>4464</v>
      </c>
      <c r="N7" s="875" t="s">
        <v>4465</v>
      </c>
      <c r="O7" s="875" t="s">
        <v>4466</v>
      </c>
      <c r="P7" s="875" t="s">
        <v>4562</v>
      </c>
      <c r="Q7" s="875" t="s">
        <v>470</v>
      </c>
    </row>
    <row r="8" spans="1:39" ht="15">
      <c r="A8" s="875"/>
      <c r="B8" s="875"/>
      <c r="C8" s="875"/>
      <c r="D8" s="875"/>
      <c r="E8" s="875"/>
      <c r="F8" s="916"/>
      <c r="G8" s="916"/>
      <c r="H8" s="875"/>
      <c r="I8" s="875"/>
      <c r="J8" s="875"/>
      <c r="K8" s="875"/>
      <c r="L8" s="875"/>
      <c r="M8" s="875"/>
      <c r="N8" s="875"/>
      <c r="O8" s="875"/>
      <c r="P8" s="875"/>
      <c r="Q8" s="917"/>
    </row>
    <row r="9" spans="1:39" s="18" customFormat="1" ht="12.95" customHeight="1">
      <c r="A9" s="26" t="s">
        <v>33</v>
      </c>
      <c r="B9" s="39" t="s">
        <v>479</v>
      </c>
      <c r="C9" s="118" t="s">
        <v>4563</v>
      </c>
      <c r="D9" s="26" t="s">
        <v>33</v>
      </c>
      <c r="E9" s="26"/>
      <c r="F9" s="26"/>
      <c r="G9" s="26"/>
      <c r="H9" s="26"/>
      <c r="I9" s="26"/>
      <c r="J9" s="26"/>
      <c r="K9" s="26"/>
      <c r="L9" s="26"/>
      <c r="M9" s="26"/>
      <c r="N9" s="26"/>
      <c r="O9" s="26"/>
      <c r="P9" s="39" t="s">
        <v>4564</v>
      </c>
      <c r="Q9" s="119" t="s">
        <v>12</v>
      </c>
    </row>
    <row r="10" spans="1:39" s="18" customFormat="1" ht="12.95" customHeight="1">
      <c r="A10" s="27"/>
      <c r="B10" s="27"/>
      <c r="C10" s="30"/>
      <c r="D10" s="27"/>
      <c r="E10" s="27" t="s">
        <v>94</v>
      </c>
      <c r="F10" s="27" t="s">
        <v>4477</v>
      </c>
      <c r="G10" s="27" t="s">
        <v>94</v>
      </c>
      <c r="H10" s="120" t="s">
        <v>4565</v>
      </c>
      <c r="I10" s="27"/>
      <c r="J10" s="27"/>
      <c r="K10" s="27" t="s">
        <v>4566</v>
      </c>
      <c r="L10" s="27" t="s">
        <v>4444</v>
      </c>
      <c r="M10" s="27"/>
      <c r="N10" s="27" t="s">
        <v>4467</v>
      </c>
      <c r="O10" s="27" t="s">
        <v>30</v>
      </c>
      <c r="P10" s="27"/>
      <c r="Q10" s="27"/>
    </row>
    <row r="11" spans="1:39" s="18" customFormat="1" ht="12.95" customHeight="1">
      <c r="A11" s="26" t="s">
        <v>36</v>
      </c>
      <c r="B11" s="39" t="s">
        <v>486</v>
      </c>
      <c r="C11" s="118" t="s">
        <v>4567</v>
      </c>
      <c r="D11" s="26" t="s">
        <v>33</v>
      </c>
      <c r="E11" s="26"/>
      <c r="F11" s="26"/>
      <c r="G11" s="26"/>
      <c r="H11" s="41"/>
      <c r="I11" s="26"/>
      <c r="J11" s="26"/>
      <c r="K11" s="26"/>
      <c r="L11" s="26"/>
      <c r="M11" s="26"/>
      <c r="N11" s="26"/>
      <c r="O11" s="26"/>
      <c r="P11" s="39" t="s">
        <v>4564</v>
      </c>
      <c r="Q11" s="119" t="s">
        <v>12</v>
      </c>
    </row>
    <row r="12" spans="1:39" s="18" customFormat="1" ht="12.95" customHeight="1">
      <c r="A12" s="27"/>
      <c r="B12" s="27"/>
      <c r="C12" s="30"/>
      <c r="D12" s="27"/>
      <c r="E12" s="27" t="s">
        <v>94</v>
      </c>
      <c r="F12" s="27" t="s">
        <v>4477</v>
      </c>
      <c r="G12" s="27" t="s">
        <v>94</v>
      </c>
      <c r="H12" s="29" t="s">
        <v>4568</v>
      </c>
      <c r="I12" s="27"/>
      <c r="J12" s="27"/>
      <c r="K12" s="27" t="s">
        <v>4566</v>
      </c>
      <c r="L12" s="27" t="s">
        <v>4444</v>
      </c>
      <c r="M12" s="27"/>
      <c r="N12" s="27" t="s">
        <v>4467</v>
      </c>
      <c r="O12" s="27" t="s">
        <v>30</v>
      </c>
      <c r="P12" s="27"/>
      <c r="Q12" s="27"/>
    </row>
    <row r="13" spans="1:39" s="18" customFormat="1" ht="12.95" customHeight="1">
      <c r="A13" s="26"/>
      <c r="B13" s="26"/>
      <c r="C13" s="40"/>
      <c r="D13" s="26"/>
      <c r="E13" s="26"/>
      <c r="F13" s="26"/>
      <c r="G13" s="26"/>
      <c r="H13" s="41"/>
      <c r="I13" s="26"/>
      <c r="J13" s="26"/>
      <c r="K13" s="26"/>
      <c r="L13" s="26"/>
      <c r="M13" s="26"/>
      <c r="N13" s="26"/>
      <c r="O13" s="26"/>
      <c r="P13" s="26"/>
      <c r="Q13" s="26"/>
    </row>
    <row r="14" spans="1:39" s="18" customFormat="1" ht="12.95" customHeight="1">
      <c r="A14" s="27"/>
      <c r="B14" s="28"/>
      <c r="C14" s="30"/>
      <c r="D14" s="27"/>
      <c r="E14" s="27"/>
      <c r="F14" s="27"/>
      <c r="G14" s="27"/>
      <c r="H14" s="29"/>
      <c r="I14" s="27"/>
      <c r="J14" s="27"/>
      <c r="K14" s="27"/>
      <c r="L14" s="27"/>
      <c r="M14" s="27"/>
      <c r="N14" s="27"/>
      <c r="O14" s="27"/>
      <c r="P14" s="28"/>
      <c r="Q14" s="27"/>
    </row>
    <row r="15" spans="1:39" s="18" customFormat="1" ht="12.95" customHeight="1">
      <c r="A15" s="27"/>
      <c r="B15" s="28"/>
      <c r="C15" s="30"/>
      <c r="D15" s="27"/>
      <c r="E15" s="27"/>
      <c r="F15" s="27"/>
      <c r="G15" s="27"/>
      <c r="H15" s="29"/>
      <c r="I15" s="27"/>
      <c r="J15" s="27"/>
      <c r="K15" s="27"/>
      <c r="L15" s="27"/>
      <c r="M15" s="27"/>
      <c r="N15" s="27"/>
      <c r="O15" s="27"/>
      <c r="P15" s="28"/>
      <c r="Q15" s="27"/>
    </row>
    <row r="16" spans="1:39" s="18" customFormat="1" ht="12.95" customHeight="1">
      <c r="A16" s="27"/>
      <c r="B16" s="28"/>
      <c r="C16" s="30"/>
      <c r="D16" s="27"/>
      <c r="E16" s="27"/>
      <c r="F16" s="27"/>
      <c r="G16" s="27"/>
      <c r="H16" s="29"/>
      <c r="I16" s="27"/>
      <c r="J16" s="27"/>
      <c r="K16" s="27"/>
      <c r="L16" s="27"/>
      <c r="M16" s="27"/>
      <c r="N16" s="27"/>
      <c r="O16" s="27"/>
      <c r="P16" s="28"/>
      <c r="Q16" s="27"/>
    </row>
    <row r="17" spans="1:17" s="18" customFormat="1" ht="12.95" customHeight="1">
      <c r="A17" s="27"/>
      <c r="B17" s="28"/>
      <c r="C17" s="30"/>
      <c r="D17" s="27"/>
      <c r="E17" s="27"/>
      <c r="F17" s="27"/>
      <c r="G17" s="27"/>
      <c r="H17" s="29"/>
      <c r="I17" s="27"/>
      <c r="J17" s="27"/>
      <c r="K17" s="27"/>
      <c r="L17" s="27"/>
      <c r="M17" s="27"/>
      <c r="N17" s="27"/>
      <c r="O17" s="27"/>
      <c r="P17" s="28"/>
      <c r="Q17" s="27"/>
    </row>
    <row r="18" spans="1:17" s="18" customFormat="1" ht="12.95" customHeight="1">
      <c r="A18" s="27"/>
      <c r="B18" s="28"/>
      <c r="C18" s="30"/>
      <c r="D18" s="27"/>
      <c r="E18" s="27"/>
      <c r="F18" s="27"/>
      <c r="G18" s="27"/>
      <c r="H18" s="29"/>
      <c r="I18" s="27"/>
      <c r="J18" s="27"/>
      <c r="K18" s="27"/>
      <c r="L18" s="27"/>
      <c r="M18" s="27"/>
      <c r="N18" s="27"/>
      <c r="O18" s="27"/>
      <c r="P18" s="28"/>
      <c r="Q18" s="27"/>
    </row>
    <row r="19" spans="1:17" s="18" customFormat="1" ht="12.95" customHeight="1">
      <c r="A19" s="27"/>
      <c r="B19" s="28"/>
      <c r="C19" s="30"/>
      <c r="D19" s="27"/>
      <c r="E19" s="27"/>
      <c r="F19" s="27"/>
      <c r="G19" s="27"/>
      <c r="H19" s="29"/>
      <c r="I19" s="27"/>
      <c r="J19" s="27"/>
      <c r="K19" s="27"/>
      <c r="L19" s="27"/>
      <c r="M19" s="27"/>
      <c r="N19" s="27"/>
      <c r="O19" s="27"/>
      <c r="P19" s="28"/>
      <c r="Q19" s="27"/>
    </row>
    <row r="20" spans="1:17" ht="12.95" customHeight="1">
      <c r="A20" s="27"/>
      <c r="B20" s="28"/>
      <c r="C20" s="30"/>
      <c r="D20" s="27"/>
      <c r="E20" s="27"/>
      <c r="F20" s="27"/>
      <c r="G20" s="27"/>
      <c r="H20" s="29"/>
      <c r="I20" s="27"/>
      <c r="J20" s="27"/>
      <c r="K20" s="30"/>
      <c r="L20" s="27"/>
      <c r="M20" s="27"/>
      <c r="N20" s="27"/>
      <c r="O20" s="27"/>
      <c r="P20" s="28"/>
      <c r="Q20" s="27"/>
    </row>
    <row r="21" spans="1:17" ht="12.95" customHeight="1">
      <c r="A21" s="27"/>
      <c r="B21" s="28"/>
      <c r="C21" s="30"/>
      <c r="D21" s="27"/>
      <c r="E21" s="27"/>
      <c r="F21" s="27"/>
      <c r="G21" s="27"/>
      <c r="H21" s="29"/>
      <c r="I21" s="27"/>
      <c r="J21" s="27"/>
      <c r="K21" s="27"/>
      <c r="L21" s="27"/>
      <c r="M21" s="27"/>
      <c r="N21" s="27"/>
      <c r="O21" s="27"/>
      <c r="P21" s="28"/>
      <c r="Q21" s="27"/>
    </row>
    <row r="22" spans="1:17" ht="12.95" customHeight="1">
      <c r="A22" s="27"/>
      <c r="B22" s="28"/>
      <c r="C22" s="30"/>
      <c r="D22" s="27"/>
      <c r="E22" s="27"/>
      <c r="F22" s="27"/>
      <c r="G22" s="27"/>
      <c r="H22" s="29"/>
      <c r="I22" s="27"/>
      <c r="J22" s="27"/>
      <c r="K22" s="27"/>
      <c r="L22" s="27"/>
      <c r="M22" s="27"/>
      <c r="N22" s="27"/>
      <c r="O22" s="27"/>
      <c r="P22" s="256"/>
      <c r="Q22" s="27"/>
    </row>
    <row r="23" spans="1:17" ht="12.95" customHeight="1">
      <c r="A23" s="27"/>
      <c r="B23" s="28"/>
      <c r="C23" s="30"/>
      <c r="D23" s="27"/>
      <c r="E23" s="27"/>
      <c r="F23" s="27"/>
      <c r="G23" s="27"/>
      <c r="H23" s="29"/>
      <c r="I23" s="27"/>
      <c r="J23" s="27"/>
      <c r="K23" s="27"/>
      <c r="L23" s="27"/>
      <c r="M23" s="27"/>
      <c r="N23" s="27"/>
      <c r="O23" s="27"/>
      <c r="P23" s="28"/>
      <c r="Q23" s="27"/>
    </row>
    <row r="24" spans="1:17" ht="12.95" customHeight="1">
      <c r="A24" s="27"/>
      <c r="B24" s="28"/>
      <c r="C24" s="30"/>
      <c r="D24" s="27"/>
      <c r="E24" s="27"/>
      <c r="F24" s="27"/>
      <c r="G24" s="27"/>
      <c r="H24" s="29"/>
      <c r="I24" s="27"/>
      <c r="J24" s="27"/>
      <c r="K24" s="27"/>
      <c r="L24" s="27"/>
      <c r="M24" s="27"/>
      <c r="N24" s="27"/>
      <c r="O24" s="27"/>
      <c r="P24" s="28"/>
      <c r="Q24" s="27"/>
    </row>
    <row r="25" spans="1:17" ht="12.95" customHeight="1">
      <c r="A25" s="27"/>
      <c r="B25" s="28"/>
      <c r="C25" s="30"/>
      <c r="D25" s="27"/>
      <c r="E25" s="27"/>
      <c r="F25" s="27"/>
      <c r="G25" s="27"/>
      <c r="H25" s="29"/>
      <c r="I25" s="27"/>
      <c r="J25" s="27"/>
      <c r="K25" s="27"/>
      <c r="L25" s="27"/>
      <c r="M25" s="27"/>
      <c r="N25" s="27"/>
      <c r="O25" s="27"/>
      <c r="P25" s="28"/>
      <c r="Q25" s="27"/>
    </row>
    <row r="26" spans="1:17" ht="12.95" customHeight="1">
      <c r="A26" s="27"/>
      <c r="B26" s="28"/>
      <c r="C26" s="30"/>
      <c r="D26" s="27"/>
      <c r="E26" s="27"/>
      <c r="F26" s="27"/>
      <c r="G26" s="27"/>
      <c r="H26" s="29"/>
      <c r="I26" s="30"/>
      <c r="J26" s="30"/>
      <c r="K26" s="30"/>
      <c r="L26" s="27"/>
      <c r="M26" s="27"/>
      <c r="N26" s="27"/>
      <c r="O26" s="27"/>
      <c r="P26" s="28"/>
      <c r="Q26" s="27"/>
    </row>
    <row r="27" spans="1:17" ht="12.95" customHeight="1">
      <c r="A27" s="27"/>
      <c r="B27" s="28"/>
      <c r="C27" s="30"/>
      <c r="D27" s="27"/>
      <c r="E27" s="27"/>
      <c r="F27" s="27"/>
      <c r="G27" s="27"/>
      <c r="H27" s="29"/>
      <c r="I27" s="30"/>
      <c r="J27" s="30"/>
      <c r="K27" s="30"/>
      <c r="L27" s="27"/>
      <c r="M27" s="27"/>
      <c r="N27" s="27"/>
      <c r="O27" s="27"/>
      <c r="P27" s="28"/>
      <c r="Q27" s="27"/>
    </row>
    <row r="28" spans="1:17" ht="12.95" customHeight="1">
      <c r="A28" s="27"/>
      <c r="B28" s="28"/>
      <c r="C28" s="30"/>
      <c r="D28" s="27"/>
      <c r="E28" s="27"/>
      <c r="F28" s="27"/>
      <c r="G28" s="27"/>
      <c r="H28" s="29"/>
      <c r="I28" s="30"/>
      <c r="J28" s="30"/>
      <c r="K28" s="30"/>
      <c r="L28" s="27"/>
      <c r="M28" s="27"/>
      <c r="N28" s="27"/>
      <c r="O28" s="27"/>
      <c r="P28" s="28"/>
      <c r="Q28" s="27"/>
    </row>
    <row r="29" spans="1:17" ht="12.95" customHeight="1">
      <c r="A29" s="27"/>
      <c r="B29" s="28"/>
      <c r="C29" s="30"/>
      <c r="D29" s="27"/>
      <c r="E29" s="27"/>
      <c r="F29" s="27"/>
      <c r="G29" s="27"/>
      <c r="H29" s="29"/>
      <c r="I29" s="30"/>
      <c r="J29" s="30"/>
      <c r="K29" s="30"/>
      <c r="L29" s="27"/>
      <c r="M29" s="27"/>
      <c r="N29" s="27"/>
      <c r="O29" s="27"/>
      <c r="P29" s="28"/>
      <c r="Q29" s="27"/>
    </row>
    <row r="30" spans="1:17" ht="12.95" customHeight="1">
      <c r="A30" s="27"/>
      <c r="B30" s="28"/>
      <c r="C30" s="30"/>
      <c r="D30" s="27"/>
      <c r="E30" s="27"/>
      <c r="F30" s="27"/>
      <c r="G30" s="27"/>
      <c r="H30" s="29"/>
      <c r="I30" s="30"/>
      <c r="J30" s="30"/>
      <c r="K30" s="30"/>
      <c r="L30" s="27"/>
      <c r="M30" s="27"/>
      <c r="N30" s="27"/>
      <c r="O30" s="27"/>
      <c r="P30" s="28"/>
      <c r="Q30" s="27"/>
    </row>
    <row r="31" spans="1:17" s="18" customFormat="1" ht="12.95" customHeight="1">
      <c r="A31" s="27"/>
      <c r="B31" s="28"/>
      <c r="C31" s="30"/>
      <c r="D31" s="27"/>
      <c r="E31" s="27"/>
      <c r="F31" s="27"/>
      <c r="G31" s="27"/>
      <c r="H31" s="29"/>
      <c r="I31" s="27"/>
      <c r="J31" s="27"/>
      <c r="K31" s="27"/>
      <c r="L31" s="27"/>
      <c r="M31" s="27"/>
      <c r="N31" s="27"/>
      <c r="O31" s="27"/>
      <c r="P31" s="28"/>
      <c r="Q31" s="27"/>
    </row>
    <row r="32" spans="1:17" s="18" customFormat="1" ht="12.95" customHeight="1">
      <c r="A32" s="27"/>
      <c r="B32" s="28"/>
      <c r="C32" s="30"/>
      <c r="D32" s="27"/>
      <c r="E32" s="27"/>
      <c r="F32" s="27"/>
      <c r="G32" s="27"/>
      <c r="H32" s="29"/>
      <c r="I32" s="27"/>
      <c r="J32" s="27"/>
      <c r="K32" s="27"/>
      <c r="L32" s="27"/>
      <c r="M32" s="27"/>
      <c r="N32" s="27"/>
      <c r="O32" s="27"/>
      <c r="P32" s="28"/>
      <c r="Q32" s="27"/>
    </row>
    <row r="33" spans="1:17" s="18" customFormat="1" ht="12.95" customHeight="1">
      <c r="A33" s="27"/>
      <c r="B33" s="28"/>
      <c r="C33" s="30"/>
      <c r="D33" s="27"/>
      <c r="E33" s="27"/>
      <c r="F33" s="27"/>
      <c r="G33" s="27"/>
      <c r="H33" s="29"/>
      <c r="I33" s="27"/>
      <c r="J33" s="27"/>
      <c r="K33" s="27"/>
      <c r="L33" s="27"/>
      <c r="M33" s="27"/>
      <c r="N33" s="27"/>
      <c r="O33" s="27"/>
      <c r="P33" s="28"/>
      <c r="Q33" s="27"/>
    </row>
    <row r="34" spans="1:17" s="18" customFormat="1" ht="12.95" customHeight="1">
      <c r="A34" s="27"/>
      <c r="B34" s="28"/>
      <c r="C34" s="30"/>
      <c r="D34" s="27"/>
      <c r="E34" s="27"/>
      <c r="F34" s="27"/>
      <c r="G34" s="27"/>
      <c r="H34" s="29"/>
      <c r="I34" s="27"/>
      <c r="J34" s="27"/>
      <c r="K34" s="27"/>
      <c r="L34" s="27"/>
      <c r="M34" s="27"/>
      <c r="N34" s="27"/>
      <c r="O34" s="27"/>
      <c r="P34" s="28"/>
      <c r="Q34" s="27"/>
    </row>
    <row r="35" spans="1:17" s="18" customFormat="1" ht="12.95" customHeight="1">
      <c r="A35" s="27"/>
      <c r="B35" s="28"/>
      <c r="C35" s="30"/>
      <c r="D35" s="27"/>
      <c r="E35" s="27"/>
      <c r="F35" s="27"/>
      <c r="G35" s="27"/>
      <c r="H35" s="29"/>
      <c r="I35" s="27"/>
      <c r="J35" s="27"/>
      <c r="K35" s="27"/>
      <c r="L35" s="27"/>
      <c r="M35" s="27"/>
      <c r="N35" s="27"/>
      <c r="O35" s="27"/>
      <c r="P35" s="28"/>
      <c r="Q35" s="27"/>
    </row>
    <row r="36" spans="1:17" s="18" customFormat="1" ht="12.95" customHeight="1">
      <c r="A36" s="27"/>
      <c r="B36" s="28"/>
      <c r="C36" s="30"/>
      <c r="D36" s="27"/>
      <c r="E36" s="27"/>
      <c r="F36" s="27"/>
      <c r="G36" s="27"/>
      <c r="H36" s="29"/>
      <c r="I36" s="27"/>
      <c r="J36" s="27"/>
      <c r="K36" s="27"/>
      <c r="L36" s="27"/>
      <c r="M36" s="27"/>
      <c r="N36" s="27"/>
      <c r="O36" s="27"/>
      <c r="P36" s="28"/>
      <c r="Q36" s="27"/>
    </row>
    <row r="37" spans="1:17" ht="12.95" customHeight="1">
      <c r="A37" s="27"/>
      <c r="B37" s="28"/>
      <c r="C37" s="30"/>
      <c r="D37" s="27"/>
      <c r="E37" s="27"/>
      <c r="F37" s="27"/>
      <c r="G37" s="27"/>
      <c r="H37" s="29"/>
      <c r="I37" s="27"/>
      <c r="J37" s="27"/>
      <c r="K37" s="30"/>
      <c r="L37" s="27"/>
      <c r="M37" s="27"/>
      <c r="N37" s="27"/>
      <c r="O37" s="27"/>
      <c r="P37" s="28"/>
      <c r="Q37" s="27"/>
    </row>
    <row r="38" spans="1:17" ht="12.95" customHeight="1">
      <c r="A38" s="27"/>
      <c r="B38" s="28"/>
      <c r="C38" s="30"/>
      <c r="D38" s="27"/>
      <c r="E38" s="27"/>
      <c r="F38" s="27"/>
      <c r="G38" s="27"/>
      <c r="H38" s="29"/>
      <c r="I38" s="27"/>
      <c r="J38" s="27"/>
      <c r="K38" s="27"/>
      <c r="L38" s="27"/>
      <c r="M38" s="27"/>
      <c r="N38" s="27"/>
      <c r="O38" s="27"/>
      <c r="P38" s="28"/>
      <c r="Q38" s="27"/>
    </row>
    <row r="39" spans="1:17" ht="12.95" customHeight="1">
      <c r="A39" s="27"/>
      <c r="B39" s="28"/>
      <c r="C39" s="30"/>
      <c r="D39" s="27"/>
      <c r="E39" s="27"/>
      <c r="F39" s="27"/>
      <c r="G39" s="27"/>
      <c r="H39" s="29"/>
      <c r="I39" s="27"/>
      <c r="J39" s="27"/>
      <c r="K39" s="27"/>
      <c r="L39" s="27"/>
      <c r="M39" s="27"/>
      <c r="N39" s="27"/>
      <c r="O39" s="27"/>
      <c r="P39" s="28"/>
      <c r="Q39" s="27"/>
    </row>
    <row r="40" spans="1:17" ht="12.95" customHeight="1">
      <c r="A40" s="27"/>
      <c r="B40" s="28"/>
      <c r="C40" s="30"/>
      <c r="D40" s="27"/>
      <c r="E40" s="27"/>
      <c r="F40" s="27"/>
      <c r="G40" s="27"/>
      <c r="H40" s="29"/>
      <c r="I40" s="27"/>
      <c r="J40" s="27"/>
      <c r="K40" s="27"/>
      <c r="L40" s="27"/>
      <c r="M40" s="27"/>
      <c r="N40" s="27"/>
      <c r="O40" s="27"/>
      <c r="P40" s="28"/>
      <c r="Q40" s="27"/>
    </row>
    <row r="41" spans="1:17" ht="12.95" customHeight="1">
      <c r="A41" s="27"/>
      <c r="B41" s="28"/>
      <c r="C41" s="30"/>
      <c r="D41" s="27"/>
      <c r="E41" s="27"/>
      <c r="F41" s="27"/>
      <c r="G41" s="27"/>
      <c r="H41" s="29"/>
      <c r="I41" s="27"/>
      <c r="J41" s="27"/>
      <c r="K41" s="27"/>
      <c r="L41" s="27"/>
      <c r="M41" s="27"/>
      <c r="N41" s="27"/>
      <c r="O41" s="27"/>
      <c r="P41" s="28"/>
      <c r="Q41" s="27"/>
    </row>
    <row r="42" spans="1:17" ht="12.95" customHeight="1">
      <c r="A42" s="27"/>
      <c r="B42" s="28"/>
      <c r="C42" s="30"/>
      <c r="D42" s="27"/>
      <c r="E42" s="27"/>
      <c r="F42" s="27"/>
      <c r="G42" s="27"/>
      <c r="H42" s="29"/>
      <c r="I42" s="27"/>
      <c r="J42" s="27"/>
      <c r="K42" s="27"/>
      <c r="L42" s="27"/>
      <c r="M42" s="27"/>
      <c r="N42" s="27"/>
      <c r="O42" s="27"/>
      <c r="P42" s="28"/>
      <c r="Q42" s="27"/>
    </row>
    <row r="43" spans="1:17" ht="12.95" customHeight="1">
      <c r="A43" s="27"/>
      <c r="B43" s="28"/>
      <c r="C43" s="30"/>
      <c r="D43" s="27"/>
      <c r="E43" s="27"/>
      <c r="F43" s="27"/>
      <c r="G43" s="27"/>
      <c r="H43" s="29"/>
      <c r="I43" s="30"/>
      <c r="J43" s="30"/>
      <c r="K43" s="30"/>
      <c r="L43" s="27"/>
      <c r="M43" s="27"/>
      <c r="N43" s="27"/>
      <c r="O43" s="27"/>
      <c r="P43" s="28"/>
      <c r="Q43" s="27"/>
    </row>
    <row r="44" spans="1:17" ht="12.95" customHeight="1">
      <c r="A44" s="27"/>
      <c r="B44" s="28"/>
      <c r="C44" s="30"/>
      <c r="D44" s="27"/>
      <c r="E44" s="27"/>
      <c r="F44" s="27"/>
      <c r="G44" s="27"/>
      <c r="H44" s="29"/>
      <c r="I44" s="30"/>
      <c r="J44" s="30"/>
      <c r="K44" s="30"/>
      <c r="L44" s="27"/>
      <c r="M44" s="27"/>
      <c r="N44" s="27"/>
      <c r="O44" s="27"/>
      <c r="P44" s="28"/>
      <c r="Q44" s="27"/>
    </row>
    <row r="45" spans="1:17" ht="12.95" customHeight="1">
      <c r="A45" s="27"/>
      <c r="B45" s="28"/>
      <c r="C45" s="30"/>
      <c r="D45" s="27"/>
      <c r="E45" s="27"/>
      <c r="F45" s="27"/>
      <c r="G45" s="27"/>
      <c r="H45" s="29"/>
      <c r="I45" s="30"/>
      <c r="J45" s="30"/>
      <c r="K45" s="30"/>
      <c r="L45" s="27"/>
      <c r="M45" s="27"/>
      <c r="N45" s="27"/>
      <c r="O45" s="27"/>
      <c r="P45" s="28"/>
      <c r="Q45" s="27"/>
    </row>
    <row r="46" spans="1:17" ht="12.95" customHeight="1">
      <c r="A46" s="27"/>
      <c r="B46" s="28"/>
      <c r="C46" s="30"/>
      <c r="D46" s="27"/>
      <c r="E46" s="27"/>
      <c r="F46" s="27"/>
      <c r="G46" s="27"/>
      <c r="H46" s="29"/>
      <c r="I46" s="30"/>
      <c r="J46" s="30"/>
      <c r="K46" s="30"/>
      <c r="L46" s="27"/>
      <c r="M46" s="27"/>
      <c r="N46" s="27"/>
      <c r="O46" s="27"/>
      <c r="P46" s="28"/>
      <c r="Q46" s="27"/>
    </row>
    <row r="47" spans="1:17" ht="12.95" customHeight="1">
      <c r="A47" s="27"/>
      <c r="B47" s="28"/>
      <c r="C47" s="30"/>
      <c r="D47" s="27"/>
      <c r="E47" s="27"/>
      <c r="F47" s="27"/>
      <c r="G47" s="27"/>
      <c r="H47" s="29"/>
      <c r="I47" s="30"/>
      <c r="J47" s="30"/>
      <c r="K47" s="30"/>
      <c r="L47" s="27"/>
      <c r="M47" s="27"/>
      <c r="N47" s="27"/>
      <c r="O47" s="27"/>
      <c r="P47" s="28"/>
      <c r="Q47" s="27"/>
    </row>
    <row r="48" spans="1:17" s="18" customFormat="1" ht="12.95" customHeight="1">
      <c r="A48" s="27"/>
      <c r="B48" s="28"/>
      <c r="C48" s="30"/>
      <c r="D48" s="27"/>
      <c r="E48" s="27"/>
      <c r="F48" s="27"/>
      <c r="G48" s="27"/>
      <c r="H48" s="29"/>
      <c r="I48" s="27"/>
      <c r="J48" s="27"/>
      <c r="K48" s="27"/>
      <c r="L48" s="27"/>
      <c r="M48" s="27"/>
      <c r="N48" s="27"/>
      <c r="O48" s="27"/>
      <c r="P48" s="28"/>
      <c r="Q48" s="27"/>
    </row>
    <row r="49" spans="1:17" s="18" customFormat="1" ht="12.95" customHeight="1">
      <c r="A49" s="27"/>
      <c r="B49" s="28"/>
      <c r="C49" s="30"/>
      <c r="D49" s="27"/>
      <c r="E49" s="27"/>
      <c r="F49" s="27"/>
      <c r="G49" s="27"/>
      <c r="H49" s="29"/>
      <c r="I49" s="27"/>
      <c r="J49" s="27"/>
      <c r="K49" s="27"/>
      <c r="L49" s="27"/>
      <c r="M49" s="27"/>
      <c r="N49" s="27"/>
      <c r="O49" s="27"/>
      <c r="P49" s="28"/>
      <c r="Q49" s="27"/>
    </row>
    <row r="50" spans="1:17" s="18" customFormat="1" ht="12.95" customHeight="1">
      <c r="A50" s="27"/>
      <c r="B50" s="28"/>
      <c r="C50" s="30"/>
      <c r="D50" s="27"/>
      <c r="E50" s="27"/>
      <c r="F50" s="27"/>
      <c r="G50" s="27"/>
      <c r="H50" s="29"/>
      <c r="I50" s="27"/>
      <c r="J50" s="27"/>
      <c r="K50" s="27"/>
      <c r="L50" s="27"/>
      <c r="M50" s="27"/>
      <c r="N50" s="27"/>
      <c r="O50" s="27"/>
      <c r="P50" s="28"/>
      <c r="Q50" s="27"/>
    </row>
    <row r="51" spans="1:17" s="18" customFormat="1" ht="12.95" customHeight="1">
      <c r="A51" s="27"/>
      <c r="B51" s="28"/>
      <c r="C51" s="30"/>
      <c r="D51" s="27"/>
      <c r="E51" s="27"/>
      <c r="F51" s="27"/>
      <c r="G51" s="27"/>
      <c r="H51" s="29"/>
      <c r="I51" s="27"/>
      <c r="J51" s="27"/>
      <c r="K51" s="27"/>
      <c r="L51" s="27"/>
      <c r="M51" s="27"/>
      <c r="N51" s="27"/>
      <c r="O51" s="27"/>
      <c r="P51" s="28"/>
      <c r="Q51" s="27"/>
    </row>
    <row r="52" spans="1:17" s="18" customFormat="1" ht="12.95" customHeight="1">
      <c r="A52" s="27"/>
      <c r="B52" s="28"/>
      <c r="C52" s="30"/>
      <c r="D52" s="27"/>
      <c r="E52" s="27"/>
      <c r="F52" s="27"/>
      <c r="G52" s="27"/>
      <c r="H52" s="29"/>
      <c r="I52" s="27"/>
      <c r="J52" s="27"/>
      <c r="K52" s="27"/>
      <c r="L52" s="27"/>
      <c r="M52" s="27"/>
      <c r="N52" s="27"/>
      <c r="O52" s="27"/>
      <c r="P52" s="28"/>
      <c r="Q52" s="27"/>
    </row>
    <row r="53" spans="1:17" ht="12.95" customHeight="1">
      <c r="A53" s="27"/>
      <c r="B53" s="28"/>
      <c r="C53" s="30"/>
      <c r="D53" s="27"/>
      <c r="E53" s="27"/>
      <c r="F53" s="27"/>
      <c r="G53" s="27"/>
      <c r="H53" s="29"/>
      <c r="I53" s="27"/>
      <c r="J53" s="27"/>
      <c r="K53" s="30"/>
      <c r="L53" s="27"/>
      <c r="M53" s="27"/>
      <c r="N53" s="27"/>
      <c r="O53" s="27"/>
      <c r="P53" s="28"/>
      <c r="Q53" s="27"/>
    </row>
    <row r="54" spans="1:17" ht="12.95" customHeight="1">
      <c r="A54" s="27"/>
      <c r="B54" s="28"/>
      <c r="C54" s="30"/>
      <c r="D54" s="27"/>
      <c r="E54" s="27"/>
      <c r="F54" s="27"/>
      <c r="G54" s="27"/>
      <c r="H54" s="29"/>
      <c r="I54" s="27"/>
      <c r="J54" s="27"/>
      <c r="K54" s="27"/>
      <c r="L54" s="27"/>
      <c r="M54" s="27"/>
      <c r="N54" s="27"/>
      <c r="O54" s="27"/>
      <c r="P54" s="28"/>
      <c r="Q54" s="27"/>
    </row>
    <row r="55" spans="1:17" ht="12.95" customHeight="1">
      <c r="A55" s="27"/>
      <c r="B55" s="28"/>
      <c r="C55" s="30"/>
      <c r="D55" s="27"/>
      <c r="E55" s="27"/>
      <c r="F55" s="27"/>
      <c r="G55" s="27"/>
      <c r="H55" s="29"/>
      <c r="I55" s="27"/>
      <c r="J55" s="27"/>
      <c r="K55" s="27"/>
      <c r="L55" s="27"/>
      <c r="M55" s="27"/>
      <c r="N55" s="27"/>
      <c r="O55" s="27"/>
      <c r="P55" s="28"/>
      <c r="Q55" s="27"/>
    </row>
    <row r="56" spans="1:17" ht="12.95" customHeight="1">
      <c r="A56" s="27"/>
      <c r="B56" s="28"/>
      <c r="C56" s="30"/>
      <c r="D56" s="27"/>
      <c r="E56" s="27"/>
      <c r="F56" s="27"/>
      <c r="G56" s="27"/>
      <c r="H56" s="29"/>
      <c r="I56" s="27"/>
      <c r="J56" s="27"/>
      <c r="K56" s="27"/>
      <c r="L56" s="27"/>
      <c r="M56" s="27"/>
      <c r="N56" s="27"/>
      <c r="O56" s="27"/>
      <c r="P56" s="28"/>
      <c r="Q56" s="27"/>
    </row>
    <row r="57" spans="1:17" ht="12.95" customHeight="1">
      <c r="A57" s="27"/>
      <c r="B57" s="28"/>
      <c r="C57" s="30"/>
      <c r="D57" s="27"/>
      <c r="E57" s="27"/>
      <c r="F57" s="27"/>
      <c r="G57" s="27"/>
      <c r="H57" s="29"/>
      <c r="I57" s="27"/>
      <c r="J57" s="27"/>
      <c r="K57" s="27"/>
      <c r="L57" s="27"/>
      <c r="M57" s="27"/>
      <c r="N57" s="27"/>
      <c r="O57" s="27"/>
      <c r="P57" s="28"/>
      <c r="Q57" s="27"/>
    </row>
    <row r="58" spans="1:17" ht="12.95" customHeight="1">
      <c r="A58" s="27"/>
      <c r="B58" s="28"/>
      <c r="C58" s="30"/>
      <c r="D58" s="27"/>
      <c r="E58" s="27"/>
      <c r="F58" s="27"/>
      <c r="G58" s="27"/>
      <c r="H58" s="29"/>
      <c r="I58" s="27"/>
      <c r="J58" s="27"/>
      <c r="K58" s="27"/>
      <c r="L58" s="27"/>
      <c r="M58" s="27"/>
      <c r="N58" s="27"/>
      <c r="O58" s="27"/>
      <c r="P58" s="28"/>
      <c r="Q58" s="27"/>
    </row>
    <row r="59" spans="1:17" ht="12.95" customHeight="1">
      <c r="A59" s="27"/>
      <c r="B59" s="28"/>
      <c r="C59" s="30"/>
      <c r="D59" s="27"/>
      <c r="E59" s="27"/>
      <c r="F59" s="27"/>
      <c r="G59" s="27"/>
      <c r="H59" s="29"/>
      <c r="I59" s="30"/>
      <c r="J59" s="30"/>
      <c r="K59" s="30"/>
      <c r="L59" s="27"/>
      <c r="M59" s="27"/>
      <c r="N59" s="27"/>
      <c r="O59" s="27"/>
      <c r="P59" s="28"/>
      <c r="Q59" s="27"/>
    </row>
    <row r="60" spans="1:17" ht="12.95" customHeight="1">
      <c r="A60" s="27"/>
      <c r="B60" s="28"/>
      <c r="C60" s="30"/>
      <c r="D60" s="27"/>
      <c r="E60" s="27"/>
      <c r="F60" s="27"/>
      <c r="G60" s="27"/>
      <c r="H60" s="29"/>
      <c r="I60" s="30"/>
      <c r="J60" s="30"/>
      <c r="K60" s="30"/>
      <c r="L60" s="27"/>
      <c r="M60" s="27"/>
      <c r="N60" s="27"/>
      <c r="O60" s="27"/>
      <c r="P60" s="28"/>
      <c r="Q60" s="27"/>
    </row>
    <row r="61" spans="1:17" ht="12.95" customHeight="1">
      <c r="A61" s="27"/>
      <c r="B61" s="28"/>
      <c r="C61" s="30"/>
      <c r="D61" s="27"/>
      <c r="E61" s="27"/>
      <c r="F61" s="27"/>
      <c r="G61" s="27"/>
      <c r="H61" s="29"/>
      <c r="I61" s="30"/>
      <c r="J61" s="30"/>
      <c r="K61" s="30"/>
      <c r="L61" s="27"/>
      <c r="M61" s="27"/>
      <c r="N61" s="27"/>
      <c r="O61" s="27"/>
      <c r="P61" s="28"/>
      <c r="Q61" s="27"/>
    </row>
    <row r="62" spans="1:17" ht="12.95" customHeight="1">
      <c r="A62" s="27"/>
      <c r="B62" s="28"/>
      <c r="C62" s="30"/>
      <c r="D62" s="27"/>
      <c r="E62" s="27"/>
      <c r="F62" s="27"/>
      <c r="G62" s="27"/>
      <c r="H62" s="29"/>
      <c r="I62" s="30"/>
      <c r="J62" s="30"/>
      <c r="K62" s="30"/>
      <c r="L62" s="27"/>
      <c r="M62" s="27"/>
      <c r="N62" s="27"/>
      <c r="O62" s="27"/>
      <c r="P62" s="28"/>
      <c r="Q62" s="27"/>
    </row>
    <row r="63" spans="1:17" ht="12.95" customHeight="1">
      <c r="A63" s="27"/>
      <c r="B63" s="28"/>
      <c r="C63" s="30"/>
      <c r="D63" s="27"/>
      <c r="E63" s="27"/>
      <c r="F63" s="27"/>
      <c r="G63" s="27"/>
      <c r="H63" s="29"/>
      <c r="I63" s="30"/>
      <c r="J63" s="30"/>
      <c r="K63" s="30"/>
      <c r="L63" s="27"/>
      <c r="M63" s="27"/>
      <c r="N63" s="27"/>
      <c r="O63" s="27"/>
      <c r="P63" s="28"/>
      <c r="Q63" s="27"/>
    </row>
    <row r="64" spans="1:17" s="18" customFormat="1" ht="12.95" customHeight="1">
      <c r="A64" s="27"/>
      <c r="B64" s="28"/>
      <c r="C64" s="30"/>
      <c r="D64" s="27"/>
      <c r="E64" s="27"/>
      <c r="F64" s="27"/>
      <c r="G64" s="27"/>
      <c r="H64" s="29"/>
      <c r="I64" s="27"/>
      <c r="J64" s="27"/>
      <c r="K64" s="27"/>
      <c r="L64" s="27"/>
      <c r="M64" s="27"/>
      <c r="N64" s="27"/>
      <c r="O64" s="27"/>
      <c r="P64" s="28"/>
      <c r="Q64" s="27"/>
    </row>
    <row r="65" spans="1:17" s="18" customFormat="1" ht="12.95" customHeight="1">
      <c r="A65" s="27"/>
      <c r="B65" s="28"/>
      <c r="C65" s="30"/>
      <c r="D65" s="27"/>
      <c r="E65" s="27"/>
      <c r="F65" s="27"/>
      <c r="G65" s="27"/>
      <c r="H65" s="29"/>
      <c r="I65" s="27"/>
      <c r="J65" s="27"/>
      <c r="K65" s="27"/>
      <c r="L65" s="27"/>
      <c r="M65" s="27"/>
      <c r="N65" s="27"/>
      <c r="O65" s="27"/>
      <c r="P65" s="28"/>
      <c r="Q65" s="27"/>
    </row>
    <row r="66" spans="1:17" s="18" customFormat="1" ht="12.95" customHeight="1">
      <c r="A66" s="27"/>
      <c r="B66" s="28"/>
      <c r="C66" s="30"/>
      <c r="D66" s="27"/>
      <c r="E66" s="27"/>
      <c r="F66" s="27"/>
      <c r="G66" s="27"/>
      <c r="H66" s="29"/>
      <c r="I66" s="27"/>
      <c r="J66" s="27"/>
      <c r="K66" s="27"/>
      <c r="L66" s="27"/>
      <c r="M66" s="27"/>
      <c r="N66" s="27"/>
      <c r="O66" s="27"/>
      <c r="P66" s="28"/>
      <c r="Q66" s="27"/>
    </row>
    <row r="67" spans="1:17" s="18" customFormat="1" ht="12.95" customHeight="1">
      <c r="A67" s="27"/>
      <c r="B67" s="28"/>
      <c r="C67" s="30"/>
      <c r="D67" s="27"/>
      <c r="E67" s="27"/>
      <c r="F67" s="27"/>
      <c r="G67" s="27"/>
      <c r="H67" s="29"/>
      <c r="I67" s="27"/>
      <c r="J67" s="27"/>
      <c r="K67" s="27"/>
      <c r="L67" s="27"/>
      <c r="M67" s="27"/>
      <c r="N67" s="27"/>
      <c r="O67" s="27"/>
      <c r="P67" s="28"/>
      <c r="Q67" s="27"/>
    </row>
    <row r="68" spans="1:17" s="18" customFormat="1" ht="12.95" customHeight="1">
      <c r="A68" s="27"/>
      <c r="B68" s="28"/>
      <c r="C68" s="30"/>
      <c r="D68" s="27"/>
      <c r="E68" s="27"/>
      <c r="F68" s="27"/>
      <c r="G68" s="27"/>
      <c r="H68" s="29"/>
      <c r="I68" s="27"/>
      <c r="J68" s="27"/>
      <c r="K68" s="27"/>
      <c r="L68" s="27"/>
      <c r="M68" s="27"/>
      <c r="N68" s="27"/>
      <c r="O68" s="27"/>
      <c r="P68" s="28"/>
      <c r="Q68" s="27"/>
    </row>
    <row r="69" spans="1:17" s="18" customFormat="1" ht="12.95" customHeight="1">
      <c r="A69" s="27"/>
      <c r="B69" s="28"/>
      <c r="C69" s="30"/>
      <c r="D69" s="27"/>
      <c r="E69" s="27"/>
      <c r="F69" s="27"/>
      <c r="G69" s="27"/>
      <c r="H69" s="29"/>
      <c r="I69" s="27"/>
      <c r="J69" s="27"/>
      <c r="K69" s="27"/>
      <c r="L69" s="27"/>
      <c r="M69" s="27"/>
      <c r="N69" s="27"/>
      <c r="O69" s="27"/>
      <c r="P69" s="28"/>
      <c r="Q69" s="27"/>
    </row>
    <row r="70" spans="1:17" ht="12.95" customHeight="1">
      <c r="A70" s="27"/>
      <c r="B70" s="28"/>
      <c r="C70" s="30"/>
      <c r="D70" s="27"/>
      <c r="E70" s="27"/>
      <c r="F70" s="27"/>
      <c r="G70" s="27"/>
      <c r="H70" s="29"/>
      <c r="I70" s="27"/>
      <c r="J70" s="27"/>
      <c r="K70" s="30"/>
      <c r="L70" s="27"/>
      <c r="M70" s="27"/>
      <c r="N70" s="27"/>
      <c r="O70" s="27"/>
      <c r="P70" s="28"/>
      <c r="Q70" s="27"/>
    </row>
    <row r="71" spans="1:17" ht="12.95" customHeight="1">
      <c r="A71" s="27"/>
      <c r="B71" s="28"/>
      <c r="C71" s="30"/>
      <c r="D71" s="27"/>
      <c r="E71" s="27"/>
      <c r="F71" s="27"/>
      <c r="G71" s="27"/>
      <c r="H71" s="29"/>
      <c r="I71" s="27"/>
      <c r="J71" s="27"/>
      <c r="K71" s="27"/>
      <c r="L71" s="27"/>
      <c r="M71" s="27"/>
      <c r="N71" s="27"/>
      <c r="O71" s="27"/>
      <c r="P71" s="28"/>
      <c r="Q71" s="27"/>
    </row>
    <row r="72" spans="1:17" ht="12.95" customHeight="1">
      <c r="A72" s="27"/>
      <c r="B72" s="28"/>
      <c r="C72" s="30"/>
      <c r="D72" s="27"/>
      <c r="E72" s="27"/>
      <c r="F72" s="27"/>
      <c r="G72" s="27"/>
      <c r="H72" s="29"/>
      <c r="I72" s="27"/>
      <c r="J72" s="27"/>
      <c r="K72" s="27"/>
      <c r="L72" s="27"/>
      <c r="M72" s="27"/>
      <c r="N72" s="27"/>
      <c r="O72" s="27"/>
      <c r="P72" s="28"/>
      <c r="Q72" s="27"/>
    </row>
    <row r="73" spans="1:17" ht="12.95" customHeight="1">
      <c r="A73" s="27"/>
      <c r="B73" s="28"/>
      <c r="C73" s="30"/>
      <c r="D73" s="27"/>
      <c r="E73" s="27"/>
      <c r="F73" s="27"/>
      <c r="G73" s="27"/>
      <c r="H73" s="29"/>
      <c r="I73" s="27"/>
      <c r="J73" s="27"/>
      <c r="K73" s="27"/>
      <c r="L73" s="27"/>
      <c r="M73" s="27"/>
      <c r="N73" s="27"/>
      <c r="O73" s="27"/>
      <c r="P73" s="28"/>
      <c r="Q73" s="27"/>
    </row>
    <row r="74" spans="1:17" ht="12.95" customHeight="1">
      <c r="A74" s="27"/>
      <c r="B74" s="28"/>
      <c r="C74" s="30"/>
      <c r="D74" s="27"/>
      <c r="E74" s="27"/>
      <c r="F74" s="27"/>
      <c r="G74" s="27"/>
      <c r="H74" s="29"/>
      <c r="I74" s="27"/>
      <c r="J74" s="27"/>
      <c r="K74" s="27"/>
      <c r="L74" s="27"/>
      <c r="M74" s="27"/>
      <c r="N74" s="27"/>
      <c r="O74" s="27"/>
      <c r="P74" s="28"/>
      <c r="Q74" s="27"/>
    </row>
    <row r="75" spans="1:17" ht="12.95" customHeight="1">
      <c r="A75" s="27"/>
      <c r="B75" s="28"/>
      <c r="C75" s="30"/>
      <c r="D75" s="27"/>
      <c r="E75" s="27"/>
      <c r="F75" s="27"/>
      <c r="G75" s="27"/>
      <c r="H75" s="29"/>
      <c r="I75" s="27"/>
      <c r="J75" s="27"/>
      <c r="K75" s="27"/>
      <c r="L75" s="27"/>
      <c r="M75" s="27"/>
      <c r="N75" s="27"/>
      <c r="O75" s="27"/>
      <c r="P75" s="28"/>
      <c r="Q75" s="27"/>
    </row>
    <row r="76" spans="1:17" ht="12.95" customHeight="1">
      <c r="A76" s="27"/>
      <c r="B76" s="28"/>
      <c r="C76" s="30"/>
      <c r="D76" s="27"/>
      <c r="E76" s="27"/>
      <c r="F76" s="27"/>
      <c r="G76" s="27"/>
      <c r="H76" s="29"/>
      <c r="I76" s="30"/>
      <c r="J76" s="30"/>
      <c r="K76" s="30"/>
      <c r="L76" s="27"/>
      <c r="M76" s="27"/>
      <c r="N76" s="27"/>
      <c r="O76" s="27"/>
      <c r="P76" s="28"/>
      <c r="Q76" s="27"/>
    </row>
    <row r="77" spans="1:17" ht="12.95" customHeight="1">
      <c r="A77" s="27"/>
      <c r="B77" s="28"/>
      <c r="C77" s="30"/>
      <c r="D77" s="27"/>
      <c r="E77" s="27"/>
      <c r="F77" s="27"/>
      <c r="G77" s="27"/>
      <c r="H77" s="29"/>
      <c r="I77" s="30"/>
      <c r="J77" s="30"/>
      <c r="K77" s="30"/>
      <c r="L77" s="27"/>
      <c r="M77" s="27"/>
      <c r="N77" s="27"/>
      <c r="O77" s="27"/>
      <c r="P77" s="28"/>
      <c r="Q77" s="27"/>
    </row>
    <row r="78" spans="1:17" ht="12.95" customHeight="1">
      <c r="A78" s="27"/>
      <c r="B78" s="28"/>
      <c r="C78" s="30"/>
      <c r="D78" s="27"/>
      <c r="E78" s="27"/>
      <c r="F78" s="27"/>
      <c r="G78" s="27"/>
      <c r="H78" s="29"/>
      <c r="I78" s="30"/>
      <c r="J78" s="30"/>
      <c r="K78" s="30"/>
      <c r="L78" s="27"/>
      <c r="M78" s="27"/>
      <c r="N78" s="27"/>
      <c r="O78" s="27"/>
      <c r="P78" s="28"/>
      <c r="Q78" s="27"/>
    </row>
    <row r="79" spans="1:17" ht="12.95" customHeight="1">
      <c r="A79" s="27"/>
      <c r="B79" s="28"/>
      <c r="C79" s="30"/>
      <c r="D79" s="27"/>
      <c r="E79" s="27"/>
      <c r="F79" s="27"/>
      <c r="G79" s="27"/>
      <c r="H79" s="29"/>
      <c r="I79" s="30"/>
      <c r="J79" s="30"/>
      <c r="K79" s="30"/>
      <c r="L79" s="27"/>
      <c r="M79" s="27"/>
      <c r="N79" s="27"/>
      <c r="O79" s="27"/>
      <c r="P79" s="28"/>
      <c r="Q79" s="27"/>
    </row>
    <row r="80" spans="1:17" ht="12.95" customHeight="1">
      <c r="A80" s="27"/>
      <c r="B80" s="28"/>
      <c r="C80" s="30"/>
      <c r="D80" s="27"/>
      <c r="E80" s="27"/>
      <c r="F80" s="27"/>
      <c r="G80" s="27"/>
      <c r="H80" s="29"/>
      <c r="I80" s="30"/>
      <c r="J80" s="30"/>
      <c r="K80" s="30"/>
      <c r="L80" s="27"/>
      <c r="M80" s="27"/>
      <c r="N80" s="27"/>
      <c r="O80" s="27"/>
      <c r="P80" s="28"/>
      <c r="Q80" s="27"/>
    </row>
    <row r="81" spans="1:17" ht="12.95" customHeight="1">
      <c r="A81" s="27"/>
      <c r="B81" s="28"/>
      <c r="C81" s="30"/>
      <c r="D81" s="27"/>
      <c r="E81" s="27"/>
      <c r="F81" s="27"/>
      <c r="G81" s="27"/>
      <c r="H81" s="29"/>
      <c r="I81" s="30"/>
      <c r="J81" s="30"/>
      <c r="K81" s="30"/>
      <c r="L81" s="27"/>
      <c r="M81" s="27"/>
      <c r="N81" s="27"/>
      <c r="O81" s="27"/>
      <c r="P81" s="28"/>
      <c r="Q81" s="27"/>
    </row>
    <row r="82" spans="1:17" ht="12.95" customHeight="1">
      <c r="A82" s="27"/>
      <c r="B82" s="28"/>
      <c r="C82" s="30"/>
      <c r="D82" s="27"/>
      <c r="E82" s="27"/>
      <c r="F82" s="27"/>
      <c r="G82" s="27"/>
      <c r="H82" s="29"/>
      <c r="I82" s="30"/>
      <c r="J82" s="30"/>
      <c r="K82" s="30"/>
      <c r="L82" s="27"/>
      <c r="M82" s="27"/>
      <c r="N82" s="27"/>
      <c r="O82" s="27"/>
      <c r="P82" s="28"/>
      <c r="Q82" s="27"/>
    </row>
    <row r="83" spans="1:17" ht="12.95" customHeight="1">
      <c r="A83" s="27"/>
      <c r="B83" s="28"/>
      <c r="C83" s="30"/>
      <c r="D83" s="27"/>
      <c r="E83" s="27"/>
      <c r="F83" s="27"/>
      <c r="G83" s="27"/>
      <c r="H83" s="29"/>
      <c r="I83" s="30"/>
      <c r="J83" s="30"/>
      <c r="K83" s="30"/>
      <c r="L83" s="27"/>
      <c r="M83" s="27"/>
      <c r="N83" s="27"/>
      <c r="O83" s="27"/>
      <c r="P83" s="28"/>
      <c r="Q83" s="27"/>
    </row>
    <row r="84" spans="1:17" ht="12.95" customHeight="1">
      <c r="A84" s="27"/>
      <c r="B84" s="28"/>
      <c r="C84" s="30"/>
      <c r="D84" s="27"/>
      <c r="E84" s="27"/>
      <c r="F84" s="27"/>
      <c r="G84" s="27"/>
      <c r="H84" s="29"/>
      <c r="I84" s="30"/>
      <c r="J84" s="30"/>
      <c r="K84" s="30"/>
      <c r="L84" s="27"/>
      <c r="M84" s="27"/>
      <c r="N84" s="27"/>
      <c r="O84" s="27"/>
      <c r="P84" s="28"/>
      <c r="Q84" s="27"/>
    </row>
  </sheetData>
  <sheetProtection formatCells="0" formatColumns="0" formatRows="0"/>
  <mergeCells count="22">
    <mergeCell ref="O7:O8"/>
    <mergeCell ref="Q7:Q8"/>
    <mergeCell ref="K7:K8"/>
    <mergeCell ref="L7:L8"/>
    <mergeCell ref="M7:M8"/>
    <mergeCell ref="N7:N8"/>
    <mergeCell ref="P7:P8"/>
    <mergeCell ref="H7:H8"/>
    <mergeCell ref="I7:I8"/>
    <mergeCell ref="J7:J8"/>
    <mergeCell ref="F7:F8"/>
    <mergeCell ref="G7:G8"/>
    <mergeCell ref="A7:A8"/>
    <mergeCell ref="B7:B8"/>
    <mergeCell ref="C7:C8"/>
    <mergeCell ref="D7:D8"/>
    <mergeCell ref="E7:E8"/>
    <mergeCell ref="A2:Q2"/>
    <mergeCell ref="A3:Q3"/>
    <mergeCell ref="A5:H5"/>
    <mergeCell ref="I5:Q5"/>
    <mergeCell ref="A6:Q6"/>
  </mergeCells>
  <phoneticPr fontId="28" type="noConversion"/>
  <conditionalFormatting sqref="E7 I7:O7">
    <cfRule type="cellIs" dxfId="73" priority="1" stopIfTrue="1" operator="equal">
      <formula>"tbd"</formula>
    </cfRule>
  </conditionalFormatting>
  <hyperlinks>
    <hyperlink ref="A1" location="_0x06_ReportDTCExtendedDataRecordByDTCNumber_0x06_通过DTC报告扩展数据记录" display="Return" xr:uid="{00000000-0004-0000-0900-000000000000}"/>
  </hyperlinks>
  <pageMargins left="0.69930555555555596" right="0.69930555555555596" top="0.75" bottom="0.75" header="0.3" footer="0.3"/>
  <pageSetup paperSize="9" orientation="portrait" horizontalDpi="300" verticalDpi="300" r:id="rId1"/>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Cover!$X$1:$X$5</xm:f>
          </x14:formula1>
          <xm:sqref>L2:L3 L5:L6 L9:L1048576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工作表12">
    <tabColor rgb="FFFFFF00"/>
  </sheetPr>
  <dimension ref="A2:AB167"/>
  <sheetViews>
    <sheetView tabSelected="1" zoomScaleNormal="100" workbookViewId="0">
      <pane xSplit="28" ySplit="6" topLeftCell="AC127" activePane="bottomRight" state="frozen"/>
      <selection pane="topRight" activeCell="AB1" sqref="AB1"/>
      <selection pane="bottomLeft" activeCell="A7" sqref="A7"/>
      <selection pane="bottomRight" activeCell="AB113" sqref="AB107:AB113"/>
    </sheetView>
  </sheetViews>
  <sheetFormatPr defaultColWidth="9" defaultRowHeight="15"/>
  <cols>
    <col min="1" max="1" width="11.75" style="55" customWidth="1"/>
    <col min="2" max="2" width="39.5" style="18" bestFit="1" customWidth="1"/>
    <col min="3" max="3" width="9" style="18"/>
    <col min="4" max="5" width="11.75" style="55" customWidth="1"/>
    <col min="6" max="7" width="4.25" style="55" bestFit="1" customWidth="1"/>
    <col min="8" max="8" width="4.375" style="55" bestFit="1" customWidth="1"/>
    <col min="9" max="10" width="4.25" style="55" bestFit="1" customWidth="1"/>
    <col min="11" max="11" width="4.5" style="55" bestFit="1" customWidth="1"/>
    <col min="12" max="12" width="6.75" style="55" bestFit="1" customWidth="1"/>
    <col min="13" max="13" width="8.625" style="55" bestFit="1" customWidth="1"/>
    <col min="14" max="14" width="9.125" style="55" bestFit="1" customWidth="1"/>
    <col min="15" max="15" width="5.5" style="55" bestFit="1" customWidth="1"/>
    <col min="16" max="16" width="5.375" style="55" bestFit="1" customWidth="1"/>
    <col min="17" max="17" width="7.25" style="55" customWidth="1"/>
    <col min="18" max="18" width="5.625" style="18" customWidth="1"/>
    <col min="19" max="19" width="6.125" style="18" customWidth="1"/>
    <col min="20" max="20" width="10.625" style="18" hidden="1" customWidth="1"/>
    <col min="21" max="21" width="9" hidden="1" customWidth="1"/>
    <col min="22" max="26" width="9" style="18" hidden="1" customWidth="1"/>
    <col min="27" max="27" width="14.25" style="18" bestFit="1" customWidth="1"/>
    <col min="28" max="28" width="9" style="55"/>
    <col min="29" max="16384" width="9" style="18"/>
  </cols>
  <sheetData>
    <row r="2" spans="1:28" ht="18" customHeight="1">
      <c r="A2" s="874" t="s">
        <v>4569</v>
      </c>
      <c r="B2" s="874"/>
      <c r="C2" s="874"/>
      <c r="D2" s="874"/>
      <c r="E2" s="874"/>
      <c r="F2" s="874"/>
      <c r="G2" s="874"/>
      <c r="H2" s="874"/>
      <c r="I2" s="874"/>
      <c r="J2" s="874"/>
      <c r="K2" s="874"/>
      <c r="L2" s="874"/>
      <c r="M2" s="874"/>
    </row>
    <row r="3" spans="1:28" ht="18" customHeight="1">
      <c r="A3" s="874"/>
      <c r="B3" s="874"/>
      <c r="C3" s="874"/>
      <c r="D3" s="874"/>
      <c r="E3" s="874"/>
      <c r="F3" s="874"/>
      <c r="G3" s="874"/>
      <c r="H3" s="874"/>
      <c r="I3" s="874"/>
      <c r="J3" s="874"/>
      <c r="K3" s="874"/>
      <c r="L3" s="874"/>
      <c r="M3" s="874"/>
    </row>
    <row r="4" spans="1:28" ht="9.75" customHeight="1">
      <c r="A4" s="874"/>
      <c r="B4" s="874"/>
      <c r="C4" s="874"/>
      <c r="D4" s="874"/>
      <c r="E4" s="874"/>
      <c r="F4" s="874"/>
      <c r="G4" s="874"/>
      <c r="H4" s="874"/>
      <c r="I4" s="874"/>
      <c r="J4" s="874"/>
      <c r="K4" s="874"/>
      <c r="L4" s="874"/>
      <c r="M4" s="874"/>
    </row>
    <row r="5" spans="1:28" s="87" customFormat="1" ht="35.25" customHeight="1">
      <c r="A5" s="875" t="s">
        <v>4570</v>
      </c>
      <c r="B5" s="875" t="s">
        <v>4571</v>
      </c>
      <c r="C5" s="902" t="s">
        <v>7</v>
      </c>
      <c r="D5" s="902" t="s">
        <v>610</v>
      </c>
      <c r="E5" s="902" t="s">
        <v>611</v>
      </c>
      <c r="F5" s="921" t="s">
        <v>4572</v>
      </c>
      <c r="G5" s="922"/>
      <c r="H5" s="922"/>
      <c r="I5" s="922"/>
      <c r="J5" s="922"/>
      <c r="K5" s="923"/>
      <c r="L5" s="875" t="s">
        <v>552</v>
      </c>
      <c r="M5" s="875"/>
      <c r="N5" s="875"/>
      <c r="O5" s="875"/>
      <c r="P5" s="875"/>
      <c r="Q5" s="875"/>
      <c r="R5" s="875"/>
      <c r="S5" s="920"/>
      <c r="AA5" s="924" t="s">
        <v>4573</v>
      </c>
      <c r="AB5" s="919" t="s">
        <v>4574</v>
      </c>
    </row>
    <row r="6" spans="1:28" s="87" customFormat="1" ht="22.5" customHeight="1">
      <c r="A6" s="875"/>
      <c r="B6" s="875"/>
      <c r="C6" s="902"/>
      <c r="D6" s="902"/>
      <c r="E6" s="902"/>
      <c r="F6" s="89" t="s">
        <v>4575</v>
      </c>
      <c r="G6" s="89" t="s">
        <v>4576</v>
      </c>
      <c r="H6" s="89" t="s">
        <v>4577</v>
      </c>
      <c r="I6" s="89" t="s">
        <v>4578</v>
      </c>
      <c r="J6" s="89" t="s">
        <v>4579</v>
      </c>
      <c r="K6" s="89" t="s">
        <v>4580</v>
      </c>
      <c r="L6" s="56" t="s">
        <v>560</v>
      </c>
      <c r="M6" s="86" t="s">
        <v>561</v>
      </c>
      <c r="N6" s="86" t="s">
        <v>562</v>
      </c>
      <c r="O6" s="86" t="s">
        <v>563</v>
      </c>
      <c r="P6" s="86" t="s">
        <v>564</v>
      </c>
      <c r="Q6" s="86" t="s">
        <v>565</v>
      </c>
      <c r="R6" s="86"/>
      <c r="S6" s="86"/>
      <c r="AA6" s="925"/>
      <c r="AB6" s="919"/>
    </row>
    <row r="7" spans="1:28" ht="14.25" customHeight="1">
      <c r="A7" s="24" t="s">
        <v>4581</v>
      </c>
      <c r="B7" s="23" t="s">
        <v>4582</v>
      </c>
      <c r="C7" s="88" t="s">
        <v>211</v>
      </c>
      <c r="D7" s="88" t="s">
        <v>11</v>
      </c>
      <c r="E7" s="24" t="s">
        <v>145</v>
      </c>
      <c r="F7" s="24" t="s">
        <v>148</v>
      </c>
      <c r="G7" s="24" t="s">
        <v>145</v>
      </c>
      <c r="H7" s="24" t="s">
        <v>145</v>
      </c>
      <c r="I7" s="24" t="s">
        <v>145</v>
      </c>
      <c r="J7" s="24" t="s">
        <v>145</v>
      </c>
      <c r="K7" s="24" t="s">
        <v>145</v>
      </c>
      <c r="L7" s="24" t="s">
        <v>145</v>
      </c>
      <c r="M7" s="24" t="s">
        <v>145</v>
      </c>
      <c r="N7" s="24" t="s">
        <v>145</v>
      </c>
      <c r="O7" s="24" t="s">
        <v>145</v>
      </c>
      <c r="P7" s="24" t="s">
        <v>145</v>
      </c>
      <c r="Q7" s="24" t="s">
        <v>145</v>
      </c>
      <c r="R7" s="24"/>
      <c r="S7" s="24"/>
      <c r="U7" s="745"/>
      <c r="AA7" s="746" t="s">
        <v>4583</v>
      </c>
      <c r="AB7" s="747" t="s">
        <v>4584</v>
      </c>
    </row>
    <row r="8" spans="1:28" ht="14.25" customHeight="1">
      <c r="A8" s="42" t="s">
        <v>4585</v>
      </c>
      <c r="B8" s="46" t="s">
        <v>4586</v>
      </c>
      <c r="C8" s="88" t="s">
        <v>211</v>
      </c>
      <c r="D8" s="88" t="s">
        <v>24</v>
      </c>
      <c r="E8" s="42" t="s">
        <v>24</v>
      </c>
      <c r="F8" s="42" t="s">
        <v>148</v>
      </c>
      <c r="G8" s="24" t="s">
        <v>145</v>
      </c>
      <c r="H8" s="24" t="s">
        <v>145</v>
      </c>
      <c r="I8" s="24" t="s">
        <v>145</v>
      </c>
      <c r="J8" s="24" t="s">
        <v>145</v>
      </c>
      <c r="K8" s="24" t="s">
        <v>145</v>
      </c>
      <c r="L8" s="42" t="s">
        <v>24</v>
      </c>
      <c r="M8" s="42" t="s">
        <v>24</v>
      </c>
      <c r="N8" s="42" t="s">
        <v>24</v>
      </c>
      <c r="O8" s="42" t="s">
        <v>24</v>
      </c>
      <c r="P8" s="42" t="s">
        <v>24</v>
      </c>
      <c r="Q8" s="24" t="s">
        <v>145</v>
      </c>
      <c r="R8" s="42"/>
      <c r="S8" s="42"/>
      <c r="AA8" s="149"/>
      <c r="AB8" s="747" t="s">
        <v>4584</v>
      </c>
    </row>
    <row r="9" spans="1:28" ht="14.25" customHeight="1">
      <c r="A9" s="24" t="s">
        <v>4587</v>
      </c>
      <c r="B9" s="23" t="s">
        <v>4588</v>
      </c>
      <c r="C9" s="88" t="s">
        <v>211</v>
      </c>
      <c r="D9" s="88" t="s">
        <v>24</v>
      </c>
      <c r="E9" s="24" t="s">
        <v>24</v>
      </c>
      <c r="F9" s="24" t="s">
        <v>148</v>
      </c>
      <c r="G9" s="24" t="s">
        <v>145</v>
      </c>
      <c r="H9" s="24" t="s">
        <v>145</v>
      </c>
      <c r="I9" s="24" t="s">
        <v>145</v>
      </c>
      <c r="J9" s="24" t="s">
        <v>145</v>
      </c>
      <c r="K9" s="24" t="s">
        <v>145</v>
      </c>
      <c r="L9" s="24" t="s">
        <v>24</v>
      </c>
      <c r="M9" s="24" t="s">
        <v>24</v>
      </c>
      <c r="N9" s="24" t="s">
        <v>24</v>
      </c>
      <c r="O9" s="24" t="s">
        <v>24</v>
      </c>
      <c r="P9" s="24" t="s">
        <v>24</v>
      </c>
      <c r="Q9" s="24" t="s">
        <v>145</v>
      </c>
      <c r="R9" s="24"/>
      <c r="S9" s="24"/>
      <c r="U9" s="745"/>
      <c r="AA9" s="149"/>
      <c r="AB9" s="747" t="s">
        <v>4584</v>
      </c>
    </row>
    <row r="10" spans="1:28" ht="14.25" customHeight="1">
      <c r="A10" s="24" t="s">
        <v>4589</v>
      </c>
      <c r="B10" s="23" t="s">
        <v>4590</v>
      </c>
      <c r="C10" s="88" t="s">
        <v>211</v>
      </c>
      <c r="D10" s="88" t="s">
        <v>24</v>
      </c>
      <c r="E10" s="24" t="s">
        <v>24</v>
      </c>
      <c r="F10" s="24" t="s">
        <v>148</v>
      </c>
      <c r="G10" s="24" t="s">
        <v>145</v>
      </c>
      <c r="H10" s="24" t="s">
        <v>145</v>
      </c>
      <c r="I10" s="24" t="s">
        <v>145</v>
      </c>
      <c r="J10" s="24" t="s">
        <v>145</v>
      </c>
      <c r="K10" s="24" t="s">
        <v>145</v>
      </c>
      <c r="L10" s="24" t="s">
        <v>24</v>
      </c>
      <c r="M10" s="24" t="s">
        <v>24</v>
      </c>
      <c r="N10" s="24" t="s">
        <v>24</v>
      </c>
      <c r="O10" s="24" t="s">
        <v>24</v>
      </c>
      <c r="P10" s="24" t="s">
        <v>24</v>
      </c>
      <c r="Q10" s="24" t="s">
        <v>145</v>
      </c>
      <c r="R10" s="24"/>
      <c r="S10" s="24"/>
      <c r="U10" s="745"/>
      <c r="AA10" s="149"/>
      <c r="AB10" s="747" t="s">
        <v>4584</v>
      </c>
    </row>
    <row r="11" spans="1:28" ht="14.25" customHeight="1">
      <c r="A11" s="24" t="s">
        <v>4591</v>
      </c>
      <c r="B11" s="23" t="s">
        <v>4592</v>
      </c>
      <c r="C11" s="88" t="s">
        <v>218</v>
      </c>
      <c r="D11" s="88" t="s">
        <v>11</v>
      </c>
      <c r="E11" s="24" t="s">
        <v>145</v>
      </c>
      <c r="F11" s="24"/>
      <c r="G11" s="24" t="s">
        <v>145</v>
      </c>
      <c r="H11" s="24" t="s">
        <v>145</v>
      </c>
      <c r="I11" s="24" t="s">
        <v>145</v>
      </c>
      <c r="J11" s="24" t="s">
        <v>145</v>
      </c>
      <c r="K11" s="24" t="s">
        <v>145</v>
      </c>
      <c r="L11" s="24" t="s">
        <v>145</v>
      </c>
      <c r="M11" s="24" t="s">
        <v>145</v>
      </c>
      <c r="N11" s="24" t="s">
        <v>145</v>
      </c>
      <c r="O11" s="24" t="s">
        <v>145</v>
      </c>
      <c r="P11" s="24" t="s">
        <v>145</v>
      </c>
      <c r="Q11" s="24" t="s">
        <v>145</v>
      </c>
      <c r="R11" s="24"/>
      <c r="S11" s="24"/>
      <c r="U11" s="745"/>
      <c r="AA11" s="149"/>
      <c r="AB11" s="747" t="s">
        <v>4584</v>
      </c>
    </row>
    <row r="12" spans="1:28" ht="14.25" customHeight="1">
      <c r="A12" s="24" t="s">
        <v>4593</v>
      </c>
      <c r="B12" s="23" t="s">
        <v>4594</v>
      </c>
      <c r="C12" s="88" t="s">
        <v>211</v>
      </c>
      <c r="D12" s="88" t="s">
        <v>24</v>
      </c>
      <c r="E12" s="24" t="s">
        <v>24</v>
      </c>
      <c r="F12" s="24" t="s">
        <v>148</v>
      </c>
      <c r="G12" s="24" t="s">
        <v>145</v>
      </c>
      <c r="H12" s="24" t="s">
        <v>145</v>
      </c>
      <c r="I12" s="24" t="s">
        <v>145</v>
      </c>
      <c r="J12" s="24" t="s">
        <v>145</v>
      </c>
      <c r="K12" s="24" t="s">
        <v>145</v>
      </c>
      <c r="L12" s="24" t="s">
        <v>24</v>
      </c>
      <c r="M12" s="24" t="s">
        <v>24</v>
      </c>
      <c r="N12" s="24" t="s">
        <v>24</v>
      </c>
      <c r="O12" s="24" t="s">
        <v>24</v>
      </c>
      <c r="P12" s="24" t="s">
        <v>24</v>
      </c>
      <c r="Q12" s="24" t="s">
        <v>145</v>
      </c>
      <c r="R12" s="24"/>
      <c r="S12" s="24"/>
      <c r="U12" s="745"/>
      <c r="AA12" s="149"/>
      <c r="AB12" s="747" t="s">
        <v>4584</v>
      </c>
    </row>
    <row r="13" spans="1:28" ht="14.25" customHeight="1">
      <c r="A13" s="24" t="s">
        <v>4595</v>
      </c>
      <c r="B13" s="23" t="s">
        <v>4596</v>
      </c>
      <c r="C13" s="88" t="s">
        <v>218</v>
      </c>
      <c r="D13" s="88" t="s">
        <v>11</v>
      </c>
      <c r="E13" s="24" t="s">
        <v>145</v>
      </c>
      <c r="F13" s="24"/>
      <c r="G13" s="24" t="s">
        <v>145</v>
      </c>
      <c r="H13" s="24" t="s">
        <v>145</v>
      </c>
      <c r="I13" s="24" t="s">
        <v>145</v>
      </c>
      <c r="J13" s="24" t="s">
        <v>145</v>
      </c>
      <c r="K13" s="24" t="s">
        <v>145</v>
      </c>
      <c r="L13" s="24" t="s">
        <v>145</v>
      </c>
      <c r="M13" s="24" t="s">
        <v>145</v>
      </c>
      <c r="N13" s="24" t="s">
        <v>145</v>
      </c>
      <c r="O13" s="24" t="s">
        <v>145</v>
      </c>
      <c r="P13" s="24" t="s">
        <v>145</v>
      </c>
      <c r="Q13" s="24" t="s">
        <v>145</v>
      </c>
      <c r="R13" s="24"/>
      <c r="S13" s="24"/>
      <c r="U13" s="745"/>
      <c r="AA13" s="149"/>
      <c r="AB13" s="747" t="s">
        <v>4584</v>
      </c>
    </row>
    <row r="14" spans="1:28" ht="14.25" customHeight="1">
      <c r="A14" s="24" t="s">
        <v>4597</v>
      </c>
      <c r="B14" s="23" t="s">
        <v>4598</v>
      </c>
      <c r="C14" s="88" t="s">
        <v>211</v>
      </c>
      <c r="D14" s="88" t="s">
        <v>24</v>
      </c>
      <c r="E14" s="24" t="s">
        <v>24</v>
      </c>
      <c r="F14" s="24" t="s">
        <v>148</v>
      </c>
      <c r="G14" s="24" t="s">
        <v>145</v>
      </c>
      <c r="H14" s="24" t="s">
        <v>145</v>
      </c>
      <c r="I14" s="24" t="s">
        <v>145</v>
      </c>
      <c r="J14" s="24" t="s">
        <v>145</v>
      </c>
      <c r="K14" s="24" t="s">
        <v>145</v>
      </c>
      <c r="L14" s="24" t="s">
        <v>24</v>
      </c>
      <c r="M14" s="24" t="s">
        <v>24</v>
      </c>
      <c r="N14" s="24" t="s">
        <v>24</v>
      </c>
      <c r="O14" s="24" t="s">
        <v>24</v>
      </c>
      <c r="P14" s="24" t="s">
        <v>24</v>
      </c>
      <c r="Q14" s="24" t="s">
        <v>145</v>
      </c>
      <c r="R14" s="24"/>
      <c r="S14" s="24"/>
      <c r="U14" s="745"/>
      <c r="AA14" s="149"/>
      <c r="AB14" s="747" t="s">
        <v>4584</v>
      </c>
    </row>
    <row r="15" spans="1:28" ht="14.25" customHeight="1">
      <c r="A15" s="24" t="s">
        <v>4599</v>
      </c>
      <c r="B15" s="23" t="s">
        <v>4600</v>
      </c>
      <c r="C15" s="88" t="s">
        <v>211</v>
      </c>
      <c r="D15" s="88" t="s">
        <v>24</v>
      </c>
      <c r="E15" s="24" t="s">
        <v>24</v>
      </c>
      <c r="F15" s="24" t="s">
        <v>148</v>
      </c>
      <c r="G15" s="24" t="s">
        <v>148</v>
      </c>
      <c r="H15" s="24" t="s">
        <v>145</v>
      </c>
      <c r="I15" s="24" t="s">
        <v>145</v>
      </c>
      <c r="J15" s="24" t="s">
        <v>145</v>
      </c>
      <c r="K15" s="24" t="s">
        <v>145</v>
      </c>
      <c r="L15" s="24" t="s">
        <v>24</v>
      </c>
      <c r="M15" s="24" t="s">
        <v>24</v>
      </c>
      <c r="N15" s="24" t="s">
        <v>24</v>
      </c>
      <c r="O15" s="24" t="s">
        <v>24</v>
      </c>
      <c r="P15" s="24" t="s">
        <v>24</v>
      </c>
      <c r="Q15" s="24" t="s">
        <v>145</v>
      </c>
      <c r="R15" s="24"/>
      <c r="S15" s="24"/>
      <c r="U15" s="745"/>
      <c r="AA15" s="149"/>
      <c r="AB15" s="747" t="s">
        <v>4584</v>
      </c>
    </row>
    <row r="16" spans="1:28" ht="14.25" customHeight="1">
      <c r="A16" s="24" t="s">
        <v>4601</v>
      </c>
      <c r="B16" s="23" t="s">
        <v>4602</v>
      </c>
      <c r="C16" s="88" t="s">
        <v>211</v>
      </c>
      <c r="D16" s="88" t="s">
        <v>24</v>
      </c>
      <c r="E16" s="24" t="s">
        <v>24</v>
      </c>
      <c r="F16" s="24" t="s">
        <v>148</v>
      </c>
      <c r="G16" s="24" t="s">
        <v>148</v>
      </c>
      <c r="H16" s="24" t="s">
        <v>145</v>
      </c>
      <c r="I16" s="24" t="s">
        <v>145</v>
      </c>
      <c r="J16" s="24" t="s">
        <v>145</v>
      </c>
      <c r="K16" s="24" t="s">
        <v>145</v>
      </c>
      <c r="L16" s="24" t="s">
        <v>24</v>
      </c>
      <c r="M16" s="24" t="s">
        <v>24</v>
      </c>
      <c r="N16" s="24" t="s">
        <v>24</v>
      </c>
      <c r="O16" s="24" t="s">
        <v>24</v>
      </c>
      <c r="P16" s="24" t="s">
        <v>24</v>
      </c>
      <c r="Q16" s="24" t="s">
        <v>145</v>
      </c>
      <c r="R16" s="24"/>
      <c r="S16" s="24"/>
      <c r="U16" s="745"/>
      <c r="AA16" s="149"/>
      <c r="AB16" s="747" t="s">
        <v>4584</v>
      </c>
    </row>
    <row r="17" spans="1:28" ht="14.25" customHeight="1">
      <c r="A17" s="24" t="s">
        <v>4603</v>
      </c>
      <c r="B17" s="23" t="s">
        <v>4604</v>
      </c>
      <c r="C17" s="88" t="s">
        <v>211</v>
      </c>
      <c r="D17" s="88" t="s">
        <v>24</v>
      </c>
      <c r="E17" s="24" t="s">
        <v>24</v>
      </c>
      <c r="F17" s="24" t="s">
        <v>148</v>
      </c>
      <c r="G17" s="24" t="s">
        <v>145</v>
      </c>
      <c r="H17" s="24" t="s">
        <v>145</v>
      </c>
      <c r="I17" s="24" t="s">
        <v>145</v>
      </c>
      <c r="J17" s="24" t="s">
        <v>145</v>
      </c>
      <c r="K17" s="24" t="s">
        <v>145</v>
      </c>
      <c r="L17" s="24" t="s">
        <v>24</v>
      </c>
      <c r="M17" s="24" t="s">
        <v>24</v>
      </c>
      <c r="N17" s="24" t="s">
        <v>24</v>
      </c>
      <c r="O17" s="24" t="s">
        <v>24</v>
      </c>
      <c r="P17" s="24" t="s">
        <v>24</v>
      </c>
      <c r="Q17" s="24" t="s">
        <v>145</v>
      </c>
      <c r="R17" s="24"/>
      <c r="S17" s="24"/>
      <c r="U17" s="745"/>
      <c r="AA17" s="149"/>
      <c r="AB17" s="747" t="s">
        <v>4584</v>
      </c>
    </row>
    <row r="18" spans="1:28" ht="14.25" customHeight="1">
      <c r="A18" s="24" t="s">
        <v>4605</v>
      </c>
      <c r="B18" s="23" t="s">
        <v>4472</v>
      </c>
      <c r="C18" s="88" t="s">
        <v>211</v>
      </c>
      <c r="D18" s="88" t="s">
        <v>148</v>
      </c>
      <c r="E18" s="24" t="s">
        <v>24</v>
      </c>
      <c r="F18" s="24" t="s">
        <v>148</v>
      </c>
      <c r="G18" s="24" t="s">
        <v>145</v>
      </c>
      <c r="H18" s="24" t="s">
        <v>145</v>
      </c>
      <c r="I18" s="24" t="s">
        <v>145</v>
      </c>
      <c r="J18" s="24" t="s">
        <v>145</v>
      </c>
      <c r="K18" s="24" t="s">
        <v>145</v>
      </c>
      <c r="L18" s="24" t="s">
        <v>24</v>
      </c>
      <c r="M18" s="24" t="s">
        <v>24</v>
      </c>
      <c r="N18" s="24" t="s">
        <v>24</v>
      </c>
      <c r="O18" s="24" t="s">
        <v>24</v>
      </c>
      <c r="P18" s="24" t="s">
        <v>24</v>
      </c>
      <c r="Q18" s="24" t="s">
        <v>145</v>
      </c>
      <c r="R18" s="24"/>
      <c r="S18" s="24"/>
      <c r="U18" s="745"/>
      <c r="AA18" s="149"/>
      <c r="AB18" s="747" t="s">
        <v>4584</v>
      </c>
    </row>
    <row r="19" spans="1:28" ht="14.25" customHeight="1">
      <c r="A19" s="24" t="s">
        <v>4548</v>
      </c>
      <c r="B19" s="23" t="s">
        <v>4606</v>
      </c>
      <c r="C19" s="88" t="s">
        <v>211</v>
      </c>
      <c r="D19" s="88" t="s">
        <v>148</v>
      </c>
      <c r="E19" s="24" t="s">
        <v>24</v>
      </c>
      <c r="F19" s="24" t="s">
        <v>148</v>
      </c>
      <c r="G19" s="24" t="s">
        <v>145</v>
      </c>
      <c r="H19" s="24" t="s">
        <v>145</v>
      </c>
      <c r="I19" s="24" t="s">
        <v>145</v>
      </c>
      <c r="J19" s="24" t="s">
        <v>145</v>
      </c>
      <c r="K19" s="24" t="s">
        <v>145</v>
      </c>
      <c r="L19" s="24" t="s">
        <v>24</v>
      </c>
      <c r="M19" s="24" t="s">
        <v>24</v>
      </c>
      <c r="N19" s="24" t="s">
        <v>24</v>
      </c>
      <c r="O19" s="24" t="s">
        <v>24</v>
      </c>
      <c r="P19" s="24" t="s">
        <v>24</v>
      </c>
      <c r="Q19" s="24" t="s">
        <v>145</v>
      </c>
      <c r="R19" s="24"/>
      <c r="S19" s="24"/>
      <c r="U19" s="745"/>
      <c r="AA19" s="149"/>
      <c r="AB19" s="747" t="s">
        <v>4584</v>
      </c>
    </row>
    <row r="20" spans="1:28" ht="14.25" customHeight="1">
      <c r="A20" s="24" t="s">
        <v>4549</v>
      </c>
      <c r="B20" s="23" t="s">
        <v>4607</v>
      </c>
      <c r="C20" s="88" t="s">
        <v>211</v>
      </c>
      <c r="D20" s="88" t="s">
        <v>148</v>
      </c>
      <c r="E20" s="24" t="s">
        <v>24</v>
      </c>
      <c r="F20" s="24" t="s">
        <v>148</v>
      </c>
      <c r="G20" s="24" t="s">
        <v>145</v>
      </c>
      <c r="H20" s="24" t="s">
        <v>145</v>
      </c>
      <c r="I20" s="24" t="s">
        <v>145</v>
      </c>
      <c r="J20" s="24" t="s">
        <v>145</v>
      </c>
      <c r="K20" s="24" t="s">
        <v>145</v>
      </c>
      <c r="L20" s="24" t="s">
        <v>24</v>
      </c>
      <c r="M20" s="24" t="s">
        <v>24</v>
      </c>
      <c r="N20" s="24" t="s">
        <v>24</v>
      </c>
      <c r="O20" s="24" t="s">
        <v>24</v>
      </c>
      <c r="P20" s="24" t="s">
        <v>24</v>
      </c>
      <c r="Q20" s="24" t="s">
        <v>145</v>
      </c>
      <c r="R20" s="24"/>
      <c r="S20" s="24"/>
      <c r="U20" s="745"/>
      <c r="AA20" s="149"/>
      <c r="AB20" s="747" t="s">
        <v>4584</v>
      </c>
    </row>
    <row r="21" spans="1:28" ht="14.25" customHeight="1">
      <c r="A21" s="24" t="s">
        <v>4608</v>
      </c>
      <c r="B21" s="23" t="s">
        <v>4609</v>
      </c>
      <c r="C21" s="88" t="s">
        <v>211</v>
      </c>
      <c r="D21" s="88" t="s">
        <v>148</v>
      </c>
      <c r="E21" s="24" t="s">
        <v>24</v>
      </c>
      <c r="F21" s="24" t="s">
        <v>148</v>
      </c>
      <c r="G21" s="24" t="s">
        <v>145</v>
      </c>
      <c r="H21" s="24" t="s">
        <v>145</v>
      </c>
      <c r="I21" s="24" t="s">
        <v>145</v>
      </c>
      <c r="J21" s="24" t="s">
        <v>145</v>
      </c>
      <c r="K21" s="24" t="s">
        <v>145</v>
      </c>
      <c r="L21" s="24" t="s">
        <v>24</v>
      </c>
      <c r="M21" s="24" t="s">
        <v>24</v>
      </c>
      <c r="N21" s="24" t="s">
        <v>24</v>
      </c>
      <c r="O21" s="24" t="s">
        <v>24</v>
      </c>
      <c r="P21" s="24" t="s">
        <v>24</v>
      </c>
      <c r="Q21" s="24" t="s">
        <v>145</v>
      </c>
      <c r="R21" s="24"/>
      <c r="S21" s="24"/>
      <c r="U21" s="745"/>
      <c r="AA21" s="149"/>
      <c r="AB21" s="747" t="s">
        <v>4584</v>
      </c>
    </row>
    <row r="22" spans="1:28" ht="14.25" customHeight="1">
      <c r="A22" s="24" t="s">
        <v>4610</v>
      </c>
      <c r="B22" s="23" t="s">
        <v>4611</v>
      </c>
      <c r="C22" s="88" t="s">
        <v>211</v>
      </c>
      <c r="D22" s="88" t="s">
        <v>148</v>
      </c>
      <c r="E22" s="24" t="s">
        <v>24</v>
      </c>
      <c r="F22" s="24" t="s">
        <v>148</v>
      </c>
      <c r="G22" s="24" t="s">
        <v>148</v>
      </c>
      <c r="H22" s="24" t="s">
        <v>145</v>
      </c>
      <c r="I22" s="24" t="s">
        <v>145</v>
      </c>
      <c r="J22" s="24" t="s">
        <v>145</v>
      </c>
      <c r="K22" s="24" t="s">
        <v>145</v>
      </c>
      <c r="L22" s="24" t="s">
        <v>24</v>
      </c>
      <c r="M22" s="24" t="s">
        <v>24</v>
      </c>
      <c r="N22" s="24" t="s">
        <v>24</v>
      </c>
      <c r="O22" s="24" t="s">
        <v>24</v>
      </c>
      <c r="P22" s="24" t="s">
        <v>24</v>
      </c>
      <c r="Q22" s="24" t="s">
        <v>145</v>
      </c>
      <c r="R22" s="24"/>
      <c r="S22" s="24"/>
      <c r="U22" s="745"/>
      <c r="AA22" s="149"/>
      <c r="AB22" s="747" t="s">
        <v>4584</v>
      </c>
    </row>
    <row r="23" spans="1:28" ht="14.25" customHeight="1">
      <c r="A23" s="24" t="s">
        <v>4612</v>
      </c>
      <c r="B23" s="23" t="s">
        <v>4613</v>
      </c>
      <c r="C23" s="88" t="s">
        <v>211</v>
      </c>
      <c r="D23" s="88" t="s">
        <v>148</v>
      </c>
      <c r="E23" s="24" t="s">
        <v>24</v>
      </c>
      <c r="F23" s="24" t="s">
        <v>148</v>
      </c>
      <c r="G23" s="24" t="s">
        <v>148</v>
      </c>
      <c r="H23" s="24" t="s">
        <v>145</v>
      </c>
      <c r="I23" s="24" t="s">
        <v>145</v>
      </c>
      <c r="J23" s="24" t="s">
        <v>145</v>
      </c>
      <c r="K23" s="24" t="s">
        <v>145</v>
      </c>
      <c r="L23" s="24" t="s">
        <v>24</v>
      </c>
      <c r="M23" s="24" t="s">
        <v>24</v>
      </c>
      <c r="N23" s="24" t="s">
        <v>24</v>
      </c>
      <c r="O23" s="24" t="s">
        <v>24</v>
      </c>
      <c r="P23" s="24" t="s">
        <v>24</v>
      </c>
      <c r="Q23" s="24" t="s">
        <v>145</v>
      </c>
      <c r="R23" s="24"/>
      <c r="S23" s="24"/>
      <c r="U23" s="745"/>
      <c r="AA23" s="149"/>
      <c r="AB23" s="747" t="s">
        <v>4584</v>
      </c>
    </row>
    <row r="24" spans="1:28" ht="14.25" customHeight="1">
      <c r="A24" s="24" t="s">
        <v>4614</v>
      </c>
      <c r="B24" s="23" t="s">
        <v>4615</v>
      </c>
      <c r="C24" s="149"/>
      <c r="D24" s="88" t="s">
        <v>24</v>
      </c>
      <c r="E24" s="88" t="s">
        <v>24</v>
      </c>
      <c r="F24" s="88" t="s">
        <v>148</v>
      </c>
      <c r="G24" s="88" t="s">
        <v>148</v>
      </c>
      <c r="H24" s="24" t="s">
        <v>145</v>
      </c>
      <c r="I24" s="24" t="s">
        <v>145</v>
      </c>
      <c r="J24" s="24" t="s">
        <v>145</v>
      </c>
      <c r="K24" s="24" t="s">
        <v>145</v>
      </c>
      <c r="L24" s="24" t="s">
        <v>145</v>
      </c>
      <c r="M24" s="24" t="s">
        <v>24</v>
      </c>
      <c r="N24" s="24" t="s">
        <v>24</v>
      </c>
      <c r="O24" s="24" t="s">
        <v>24</v>
      </c>
      <c r="P24" s="24" t="s">
        <v>145</v>
      </c>
      <c r="Q24" s="24" t="s">
        <v>145</v>
      </c>
      <c r="R24" s="24"/>
      <c r="S24" s="24"/>
      <c r="U24" s="745"/>
      <c r="AA24" s="149"/>
      <c r="AB24" s="88" t="s">
        <v>4616</v>
      </c>
    </row>
    <row r="25" spans="1:28" ht="14.25" customHeight="1">
      <c r="A25" s="24" t="s">
        <v>4617</v>
      </c>
      <c r="B25" s="23" t="s">
        <v>4618</v>
      </c>
      <c r="C25" s="149"/>
      <c r="D25" s="88" t="s">
        <v>24</v>
      </c>
      <c r="E25" s="88" t="s">
        <v>24</v>
      </c>
      <c r="F25" s="88" t="s">
        <v>148</v>
      </c>
      <c r="G25" s="88" t="s">
        <v>148</v>
      </c>
      <c r="H25" s="24" t="s">
        <v>145</v>
      </c>
      <c r="I25" s="24" t="s">
        <v>145</v>
      </c>
      <c r="J25" s="24" t="s">
        <v>145</v>
      </c>
      <c r="K25" s="24" t="s">
        <v>145</v>
      </c>
      <c r="L25" s="24" t="s">
        <v>145</v>
      </c>
      <c r="M25" s="24" t="s">
        <v>24</v>
      </c>
      <c r="N25" s="24" t="s">
        <v>24</v>
      </c>
      <c r="O25" s="24" t="s">
        <v>24</v>
      </c>
      <c r="P25" s="24" t="s">
        <v>145</v>
      </c>
      <c r="Q25" s="24" t="s">
        <v>145</v>
      </c>
      <c r="R25" s="24"/>
      <c r="S25" s="24"/>
      <c r="U25" s="745"/>
      <c r="AA25" s="149"/>
      <c r="AB25" s="88" t="s">
        <v>4616</v>
      </c>
    </row>
    <row r="26" spans="1:28" ht="14.25" customHeight="1">
      <c r="A26" s="24" t="s">
        <v>4619</v>
      </c>
      <c r="B26" s="23" t="s">
        <v>4620</v>
      </c>
      <c r="C26" s="149"/>
      <c r="D26" s="88" t="s">
        <v>24</v>
      </c>
      <c r="E26" s="88" t="s">
        <v>24</v>
      </c>
      <c r="F26" s="88" t="s">
        <v>148</v>
      </c>
      <c r="G26" s="88" t="s">
        <v>148</v>
      </c>
      <c r="H26" s="24" t="s">
        <v>145</v>
      </c>
      <c r="I26" s="24" t="s">
        <v>145</v>
      </c>
      <c r="J26" s="24" t="s">
        <v>145</v>
      </c>
      <c r="K26" s="24" t="s">
        <v>145</v>
      </c>
      <c r="L26" s="24" t="s">
        <v>145</v>
      </c>
      <c r="M26" s="24" t="s">
        <v>24</v>
      </c>
      <c r="N26" s="24" t="s">
        <v>24</v>
      </c>
      <c r="O26" s="24" t="s">
        <v>24</v>
      </c>
      <c r="P26" s="24" t="s">
        <v>145</v>
      </c>
      <c r="Q26" s="24" t="s">
        <v>145</v>
      </c>
      <c r="R26" s="24"/>
      <c r="S26" s="24"/>
      <c r="U26" s="745"/>
      <c r="AA26" s="149"/>
      <c r="AB26" s="88" t="s">
        <v>4616</v>
      </c>
    </row>
    <row r="27" spans="1:28" ht="14.25" customHeight="1">
      <c r="A27" s="24" t="s">
        <v>4621</v>
      </c>
      <c r="B27" s="23" t="s">
        <v>4622</v>
      </c>
      <c r="C27" s="149"/>
      <c r="D27" s="88" t="s">
        <v>24</v>
      </c>
      <c r="E27" s="88" t="s">
        <v>24</v>
      </c>
      <c r="F27" s="88" t="s">
        <v>148</v>
      </c>
      <c r="G27" s="88" t="s">
        <v>148</v>
      </c>
      <c r="H27" s="24" t="s">
        <v>145</v>
      </c>
      <c r="I27" s="24" t="s">
        <v>145</v>
      </c>
      <c r="J27" s="24" t="s">
        <v>145</v>
      </c>
      <c r="K27" s="24" t="s">
        <v>145</v>
      </c>
      <c r="L27" s="24" t="s">
        <v>145</v>
      </c>
      <c r="M27" s="24" t="s">
        <v>24</v>
      </c>
      <c r="N27" s="24" t="s">
        <v>24</v>
      </c>
      <c r="O27" s="24" t="s">
        <v>24</v>
      </c>
      <c r="P27" s="24" t="s">
        <v>145</v>
      </c>
      <c r="Q27" s="24" t="s">
        <v>145</v>
      </c>
      <c r="R27" s="24"/>
      <c r="S27" s="24"/>
      <c r="U27" s="745"/>
      <c r="AA27" s="149"/>
      <c r="AB27" s="88" t="s">
        <v>4616</v>
      </c>
    </row>
    <row r="28" spans="1:28" ht="14.25" customHeight="1">
      <c r="A28" s="24" t="s">
        <v>4623</v>
      </c>
      <c r="B28" s="23" t="s">
        <v>4624</v>
      </c>
      <c r="C28" s="149"/>
      <c r="D28" s="88" t="s">
        <v>24</v>
      </c>
      <c r="E28" s="88" t="s">
        <v>24</v>
      </c>
      <c r="F28" s="88" t="s">
        <v>148</v>
      </c>
      <c r="G28" s="88" t="s">
        <v>148</v>
      </c>
      <c r="H28" s="24" t="s">
        <v>145</v>
      </c>
      <c r="I28" s="24" t="s">
        <v>145</v>
      </c>
      <c r="J28" s="24" t="s">
        <v>145</v>
      </c>
      <c r="K28" s="24" t="s">
        <v>145</v>
      </c>
      <c r="L28" s="24" t="s">
        <v>145</v>
      </c>
      <c r="M28" s="24" t="s">
        <v>24</v>
      </c>
      <c r="N28" s="24" t="s">
        <v>24</v>
      </c>
      <c r="O28" s="24" t="s">
        <v>24</v>
      </c>
      <c r="P28" s="24" t="s">
        <v>24</v>
      </c>
      <c r="Q28" s="24" t="s">
        <v>145</v>
      </c>
      <c r="R28" s="24"/>
      <c r="S28" s="24"/>
      <c r="U28" s="745"/>
      <c r="AA28" s="149"/>
      <c r="AB28" s="88" t="s">
        <v>4616</v>
      </c>
    </row>
    <row r="29" spans="1:28" ht="14.25" customHeight="1">
      <c r="A29" s="24" t="s">
        <v>4625</v>
      </c>
      <c r="B29" s="23" t="s">
        <v>4626</v>
      </c>
      <c r="C29" s="149"/>
      <c r="D29" s="88" t="s">
        <v>24</v>
      </c>
      <c r="E29" s="88" t="s">
        <v>24</v>
      </c>
      <c r="F29" s="88" t="s">
        <v>148</v>
      </c>
      <c r="G29" s="88" t="s">
        <v>148</v>
      </c>
      <c r="H29" s="24" t="s">
        <v>145</v>
      </c>
      <c r="I29" s="24" t="s">
        <v>145</v>
      </c>
      <c r="J29" s="24" t="s">
        <v>145</v>
      </c>
      <c r="K29" s="24" t="s">
        <v>145</v>
      </c>
      <c r="L29" s="24" t="s">
        <v>145</v>
      </c>
      <c r="M29" s="24" t="s">
        <v>24</v>
      </c>
      <c r="N29" s="24" t="s">
        <v>24</v>
      </c>
      <c r="O29" s="24" t="s">
        <v>24</v>
      </c>
      <c r="P29" s="24" t="s">
        <v>24</v>
      </c>
      <c r="Q29" s="24" t="s">
        <v>145</v>
      </c>
      <c r="R29" s="24"/>
      <c r="S29" s="24"/>
      <c r="U29" s="745"/>
      <c r="AA29" s="149"/>
      <c r="AB29" s="88" t="s">
        <v>4616</v>
      </c>
    </row>
    <row r="30" spans="1:28" ht="14.25" customHeight="1">
      <c r="A30" s="24" t="s">
        <v>4627</v>
      </c>
      <c r="B30" s="23" t="s">
        <v>4628</v>
      </c>
      <c r="C30" s="149"/>
      <c r="D30" s="88" t="s">
        <v>24</v>
      </c>
      <c r="E30" s="88" t="s">
        <v>24</v>
      </c>
      <c r="F30" s="88" t="s">
        <v>148</v>
      </c>
      <c r="G30" s="88" t="s">
        <v>148</v>
      </c>
      <c r="H30" s="24" t="s">
        <v>145</v>
      </c>
      <c r="I30" s="24" t="s">
        <v>145</v>
      </c>
      <c r="J30" s="24" t="s">
        <v>145</v>
      </c>
      <c r="K30" s="24" t="s">
        <v>145</v>
      </c>
      <c r="L30" s="24" t="s">
        <v>145</v>
      </c>
      <c r="M30" s="24" t="s">
        <v>24</v>
      </c>
      <c r="N30" s="24" t="s">
        <v>24</v>
      </c>
      <c r="O30" s="24" t="s">
        <v>24</v>
      </c>
      <c r="P30" s="24" t="s">
        <v>24</v>
      </c>
      <c r="Q30" s="24" t="s">
        <v>145</v>
      </c>
      <c r="R30" s="24"/>
      <c r="S30" s="24"/>
      <c r="U30" s="745"/>
      <c r="AA30" s="149"/>
      <c r="AB30" s="88" t="s">
        <v>4616</v>
      </c>
    </row>
    <row r="31" spans="1:28" ht="14.25" customHeight="1">
      <c r="A31" s="599" t="s">
        <v>4629</v>
      </c>
      <c r="B31" s="748" t="s">
        <v>4630</v>
      </c>
      <c r="C31" s="749"/>
      <c r="D31" s="600" t="s">
        <v>24</v>
      </c>
      <c r="E31" s="600" t="s">
        <v>24</v>
      </c>
      <c r="F31" s="88" t="s">
        <v>148</v>
      </c>
      <c r="G31" s="88" t="s">
        <v>148</v>
      </c>
      <c r="H31" s="24" t="s">
        <v>145</v>
      </c>
      <c r="I31" s="24" t="s">
        <v>145</v>
      </c>
      <c r="J31" s="24" t="s">
        <v>145</v>
      </c>
      <c r="K31" s="24" t="s">
        <v>145</v>
      </c>
      <c r="L31" s="599" t="s">
        <v>11</v>
      </c>
      <c r="M31" s="599" t="s">
        <v>24</v>
      </c>
      <c r="N31" s="599" t="s">
        <v>24</v>
      </c>
      <c r="O31" s="599" t="s">
        <v>24</v>
      </c>
      <c r="P31" s="599" t="s">
        <v>24</v>
      </c>
      <c r="Q31" s="24" t="s">
        <v>145</v>
      </c>
      <c r="R31" s="599"/>
      <c r="S31" s="599"/>
      <c r="T31" s="750"/>
      <c r="U31" s="751"/>
      <c r="V31" s="750"/>
      <c r="W31" s="750"/>
      <c r="X31" s="750"/>
      <c r="Y31" s="750"/>
      <c r="Z31" s="750"/>
      <c r="AA31" s="749"/>
      <c r="AB31" s="88" t="s">
        <v>4616</v>
      </c>
    </row>
    <row r="32" spans="1:28" ht="14.25" customHeight="1">
      <c r="A32" s="599" t="s">
        <v>4631</v>
      </c>
      <c r="B32" s="748" t="s">
        <v>4632</v>
      </c>
      <c r="C32" s="749"/>
      <c r="D32" s="600" t="s">
        <v>11</v>
      </c>
      <c r="E32" s="600" t="s">
        <v>24</v>
      </c>
      <c r="F32" s="88" t="s">
        <v>148</v>
      </c>
      <c r="G32" s="88" t="s">
        <v>148</v>
      </c>
      <c r="H32" s="24" t="s">
        <v>145</v>
      </c>
      <c r="I32" s="24" t="s">
        <v>145</v>
      </c>
      <c r="J32" s="24" t="s">
        <v>145</v>
      </c>
      <c r="K32" s="24" t="s">
        <v>145</v>
      </c>
      <c r="L32" s="599" t="s">
        <v>11</v>
      </c>
      <c r="M32" s="599" t="s">
        <v>24</v>
      </c>
      <c r="N32" s="599" t="s">
        <v>24</v>
      </c>
      <c r="O32" s="599" t="s">
        <v>24</v>
      </c>
      <c r="P32" s="599" t="s">
        <v>24</v>
      </c>
      <c r="Q32" s="24" t="s">
        <v>145</v>
      </c>
      <c r="R32" s="599"/>
      <c r="S32" s="599"/>
      <c r="T32" s="750"/>
      <c r="U32" s="751"/>
      <c r="V32" s="750"/>
      <c r="W32" s="750"/>
      <c r="X32" s="750"/>
      <c r="Y32" s="750"/>
      <c r="Z32" s="750"/>
      <c r="AA32" s="749"/>
      <c r="AB32" s="88" t="s">
        <v>4616</v>
      </c>
    </row>
    <row r="33" spans="1:28" ht="14.25" customHeight="1">
      <c r="A33" s="599" t="s">
        <v>4633</v>
      </c>
      <c r="B33" s="748" t="s">
        <v>4634</v>
      </c>
      <c r="C33" s="749"/>
      <c r="D33" s="600" t="s">
        <v>11</v>
      </c>
      <c r="E33" s="600" t="s">
        <v>24</v>
      </c>
      <c r="F33" s="88" t="s">
        <v>148</v>
      </c>
      <c r="G33" s="88" t="s">
        <v>148</v>
      </c>
      <c r="H33" s="24" t="s">
        <v>145</v>
      </c>
      <c r="I33" s="24" t="s">
        <v>145</v>
      </c>
      <c r="J33" s="24" t="s">
        <v>145</v>
      </c>
      <c r="K33" s="24" t="s">
        <v>145</v>
      </c>
      <c r="L33" s="599" t="s">
        <v>11</v>
      </c>
      <c r="M33" s="599" t="s">
        <v>24</v>
      </c>
      <c r="N33" s="599" t="s">
        <v>24</v>
      </c>
      <c r="O33" s="599" t="s">
        <v>24</v>
      </c>
      <c r="P33" s="599" t="s">
        <v>24</v>
      </c>
      <c r="Q33" s="24" t="s">
        <v>145</v>
      </c>
      <c r="R33" s="599"/>
      <c r="S33" s="599"/>
      <c r="T33" s="750"/>
      <c r="U33" s="751"/>
      <c r="V33" s="750"/>
      <c r="W33" s="750"/>
      <c r="X33" s="750"/>
      <c r="Y33" s="750"/>
      <c r="Z33" s="750"/>
      <c r="AA33" s="749"/>
      <c r="AB33" s="88" t="s">
        <v>4616</v>
      </c>
    </row>
    <row r="34" spans="1:28" ht="14.25" customHeight="1">
      <c r="A34" s="24" t="s">
        <v>4635</v>
      </c>
      <c r="B34" s="23" t="s">
        <v>4636</v>
      </c>
      <c r="C34" s="149"/>
      <c r="D34" s="88" t="s">
        <v>24</v>
      </c>
      <c r="E34" s="88" t="s">
        <v>24</v>
      </c>
      <c r="F34" s="88" t="s">
        <v>148</v>
      </c>
      <c r="G34" s="88" t="s">
        <v>148</v>
      </c>
      <c r="H34" s="24" t="s">
        <v>145</v>
      </c>
      <c r="I34" s="24" t="s">
        <v>145</v>
      </c>
      <c r="J34" s="24" t="s">
        <v>145</v>
      </c>
      <c r="K34" s="24" t="s">
        <v>145</v>
      </c>
      <c r="L34" s="24" t="s">
        <v>24</v>
      </c>
      <c r="M34" s="24" t="s">
        <v>24</v>
      </c>
      <c r="N34" s="24" t="s">
        <v>24</v>
      </c>
      <c r="O34" s="24" t="s">
        <v>24</v>
      </c>
      <c r="P34" s="24" t="s">
        <v>24</v>
      </c>
      <c r="Q34" s="24" t="s">
        <v>145</v>
      </c>
      <c r="R34" s="24"/>
      <c r="S34" s="24"/>
      <c r="U34" s="745"/>
      <c r="AA34" s="149"/>
      <c r="AB34" s="88" t="s">
        <v>4637</v>
      </c>
    </row>
    <row r="35" spans="1:28" ht="14.25" customHeight="1">
      <c r="A35" s="24" t="s">
        <v>6474</v>
      </c>
      <c r="B35" s="23" t="s">
        <v>6475</v>
      </c>
      <c r="C35" s="149"/>
      <c r="D35" s="88" t="s">
        <v>24</v>
      </c>
      <c r="E35" s="88" t="s">
        <v>24</v>
      </c>
      <c r="F35" s="88" t="s">
        <v>148</v>
      </c>
      <c r="G35" s="88" t="s">
        <v>148</v>
      </c>
      <c r="H35" s="24" t="s">
        <v>145</v>
      </c>
      <c r="I35" s="24" t="s">
        <v>145</v>
      </c>
      <c r="J35" s="24" t="s">
        <v>145</v>
      </c>
      <c r="K35" s="24" t="s">
        <v>145</v>
      </c>
      <c r="L35" s="24" t="s">
        <v>24</v>
      </c>
      <c r="M35" s="24" t="s">
        <v>24</v>
      </c>
      <c r="N35" s="24" t="s">
        <v>24</v>
      </c>
      <c r="O35" s="24" t="s">
        <v>24</v>
      </c>
      <c r="P35" s="24" t="s">
        <v>24</v>
      </c>
      <c r="Q35" s="770" t="s">
        <v>148</v>
      </c>
      <c r="R35" s="24"/>
      <c r="S35" s="24"/>
      <c r="U35" s="745"/>
      <c r="AA35" s="149"/>
      <c r="AB35" s="88" t="s">
        <v>4637</v>
      </c>
    </row>
    <row r="36" spans="1:28" ht="14.25" customHeight="1">
      <c r="A36" s="24" t="s">
        <v>4640</v>
      </c>
      <c r="B36" s="23" t="s">
        <v>4641</v>
      </c>
      <c r="C36" s="149"/>
      <c r="D36" s="88" t="s">
        <v>11</v>
      </c>
      <c r="E36" s="88" t="s">
        <v>24</v>
      </c>
      <c r="F36" s="88" t="s">
        <v>148</v>
      </c>
      <c r="G36" s="88" t="s">
        <v>148</v>
      </c>
      <c r="H36" s="24" t="s">
        <v>145</v>
      </c>
      <c r="I36" s="24" t="s">
        <v>145</v>
      </c>
      <c r="J36" s="24" t="s">
        <v>145</v>
      </c>
      <c r="K36" s="24" t="s">
        <v>145</v>
      </c>
      <c r="L36" s="24" t="s">
        <v>24</v>
      </c>
      <c r="M36" s="24" t="s">
        <v>24</v>
      </c>
      <c r="N36" s="24" t="s">
        <v>24</v>
      </c>
      <c r="O36" s="24" t="s">
        <v>24</v>
      </c>
      <c r="P36" s="24" t="s">
        <v>24</v>
      </c>
      <c r="Q36" s="24" t="s">
        <v>145</v>
      </c>
      <c r="R36" s="24"/>
      <c r="S36" s="24"/>
      <c r="U36" s="745"/>
      <c r="AA36" s="149"/>
      <c r="AB36" s="88" t="s">
        <v>4637</v>
      </c>
    </row>
    <row r="37" spans="1:28" ht="11.25">
      <c r="A37" s="551" t="s">
        <v>4642</v>
      </c>
      <c r="B37" s="552" t="s">
        <v>4643</v>
      </c>
      <c r="C37" s="149"/>
      <c r="D37" s="24" t="s">
        <v>145</v>
      </c>
      <c r="E37" s="24" t="s">
        <v>145</v>
      </c>
      <c r="F37" s="24" t="s">
        <v>145</v>
      </c>
      <c r="G37" s="24" t="s">
        <v>145</v>
      </c>
      <c r="H37" s="24" t="s">
        <v>145</v>
      </c>
      <c r="I37" s="88" t="s">
        <v>148</v>
      </c>
      <c r="J37" s="24" t="s">
        <v>145</v>
      </c>
      <c r="K37" s="24" t="s">
        <v>145</v>
      </c>
      <c r="L37" s="24" t="s">
        <v>24</v>
      </c>
      <c r="M37" s="24" t="s">
        <v>24</v>
      </c>
      <c r="N37" s="24" t="s">
        <v>24</v>
      </c>
      <c r="O37" s="24" t="s">
        <v>24</v>
      </c>
      <c r="P37" s="24" t="s">
        <v>24</v>
      </c>
      <c r="Q37" s="24" t="s">
        <v>145</v>
      </c>
      <c r="R37" s="149"/>
      <c r="S37" s="149"/>
      <c r="U37" s="18"/>
      <c r="AA37" s="149"/>
      <c r="AB37" s="88" t="s">
        <v>4637</v>
      </c>
    </row>
    <row r="38" spans="1:28" ht="11.25">
      <c r="A38" s="551" t="s">
        <v>4644</v>
      </c>
      <c r="B38" s="752" t="s">
        <v>4645</v>
      </c>
      <c r="C38" s="149"/>
      <c r="D38" s="24" t="s">
        <v>145</v>
      </c>
      <c r="E38" s="24" t="s">
        <v>145</v>
      </c>
      <c r="F38" s="24" t="s">
        <v>145</v>
      </c>
      <c r="G38" s="24" t="s">
        <v>145</v>
      </c>
      <c r="H38" s="24" t="s">
        <v>145</v>
      </c>
      <c r="I38" s="88" t="s">
        <v>148</v>
      </c>
      <c r="J38" s="24" t="s">
        <v>145</v>
      </c>
      <c r="K38" s="24" t="s">
        <v>145</v>
      </c>
      <c r="L38" s="24" t="s">
        <v>145</v>
      </c>
      <c r="M38" s="24" t="s">
        <v>24</v>
      </c>
      <c r="N38" s="24" t="s">
        <v>24</v>
      </c>
      <c r="O38" s="24" t="s">
        <v>24</v>
      </c>
      <c r="P38" s="24" t="s">
        <v>24</v>
      </c>
      <c r="Q38" s="24" t="s">
        <v>145</v>
      </c>
      <c r="R38" s="149"/>
      <c r="S38" s="149"/>
      <c r="U38" s="18"/>
      <c r="AA38" s="149"/>
      <c r="AB38" s="88" t="s">
        <v>4637</v>
      </c>
    </row>
    <row r="39" spans="1:28">
      <c r="A39" s="551" t="s">
        <v>4646</v>
      </c>
      <c r="B39" s="552" t="s">
        <v>4647</v>
      </c>
      <c r="C39" s="749"/>
      <c r="D39" s="599" t="s">
        <v>24</v>
      </c>
      <c r="E39" s="599" t="s">
        <v>24</v>
      </c>
      <c r="F39" s="599" t="s">
        <v>24</v>
      </c>
      <c r="G39" s="599" t="s">
        <v>11</v>
      </c>
      <c r="H39" s="599" t="s">
        <v>11</v>
      </c>
      <c r="I39" s="599" t="s">
        <v>11</v>
      </c>
      <c r="J39" s="599" t="s">
        <v>11</v>
      </c>
      <c r="K39" s="599" t="s">
        <v>11</v>
      </c>
      <c r="L39" s="599" t="s">
        <v>145</v>
      </c>
      <c r="M39" s="599" t="s">
        <v>24</v>
      </c>
      <c r="N39" s="599" t="s">
        <v>24</v>
      </c>
      <c r="O39" s="599" t="s">
        <v>24</v>
      </c>
      <c r="P39" s="599" t="s">
        <v>24</v>
      </c>
      <c r="Q39" s="24" t="s">
        <v>145</v>
      </c>
      <c r="R39" s="749"/>
      <c r="S39" s="749"/>
      <c r="T39" s="751"/>
      <c r="U39" s="750"/>
      <c r="V39" s="751"/>
      <c r="W39" s="751"/>
      <c r="X39" s="751"/>
      <c r="Y39" s="751"/>
      <c r="Z39" s="751"/>
      <c r="AA39" s="749"/>
      <c r="AB39" s="599" t="s">
        <v>4637</v>
      </c>
    </row>
    <row r="40" spans="1:28">
      <c r="A40" s="551" t="s">
        <v>4648</v>
      </c>
      <c r="B40" s="552" t="s">
        <v>4649</v>
      </c>
      <c r="C40" s="749"/>
      <c r="D40" s="599" t="s">
        <v>24</v>
      </c>
      <c r="E40" s="599" t="s">
        <v>24</v>
      </c>
      <c r="F40" s="599" t="s">
        <v>24</v>
      </c>
      <c r="G40" s="599" t="s">
        <v>11</v>
      </c>
      <c r="H40" s="599" t="s">
        <v>11</v>
      </c>
      <c r="I40" s="599" t="s">
        <v>11</v>
      </c>
      <c r="J40" s="599" t="s">
        <v>11</v>
      </c>
      <c r="K40" s="599" t="s">
        <v>11</v>
      </c>
      <c r="L40" s="599" t="s">
        <v>145</v>
      </c>
      <c r="M40" s="599" t="s">
        <v>24</v>
      </c>
      <c r="N40" s="599" t="s">
        <v>24</v>
      </c>
      <c r="O40" s="599" t="s">
        <v>24</v>
      </c>
      <c r="P40" s="599" t="s">
        <v>24</v>
      </c>
      <c r="Q40" s="24" t="s">
        <v>145</v>
      </c>
      <c r="R40" s="749"/>
      <c r="S40" s="749"/>
      <c r="T40" s="751"/>
      <c r="U40" s="750"/>
      <c r="V40" s="751"/>
      <c r="W40" s="751"/>
      <c r="X40" s="751"/>
      <c r="Y40" s="751"/>
      <c r="Z40" s="751"/>
      <c r="AA40" s="749"/>
      <c r="AB40" s="599" t="s">
        <v>4637</v>
      </c>
    </row>
    <row r="41" spans="1:28" ht="14.25" customHeight="1">
      <c r="A41" s="24" t="s">
        <v>4651</v>
      </c>
      <c r="B41" s="23" t="s">
        <v>4652</v>
      </c>
      <c r="C41" s="149"/>
      <c r="D41" s="88" t="s">
        <v>24</v>
      </c>
      <c r="E41" s="88" t="s">
        <v>24</v>
      </c>
      <c r="F41" s="88" t="s">
        <v>148</v>
      </c>
      <c r="G41" s="88" t="s">
        <v>148</v>
      </c>
      <c r="H41" s="24" t="s">
        <v>145</v>
      </c>
      <c r="I41" s="24" t="s">
        <v>145</v>
      </c>
      <c r="J41" s="24" t="s">
        <v>145</v>
      </c>
      <c r="K41" s="24" t="s">
        <v>145</v>
      </c>
      <c r="L41" s="24" t="s">
        <v>24</v>
      </c>
      <c r="M41" s="24" t="s">
        <v>24</v>
      </c>
      <c r="N41" s="24" t="s">
        <v>24</v>
      </c>
      <c r="O41" s="24" t="s">
        <v>24</v>
      </c>
      <c r="P41" s="24" t="s">
        <v>24</v>
      </c>
      <c r="Q41" s="24" t="s">
        <v>145</v>
      </c>
      <c r="R41" s="24"/>
      <c r="S41" s="24"/>
      <c r="U41" s="745"/>
      <c r="AA41" s="149"/>
      <c r="AB41" s="88" t="s">
        <v>4653</v>
      </c>
    </row>
    <row r="42" spans="1:28" ht="14.25" customHeight="1">
      <c r="A42" s="24" t="s">
        <v>4654</v>
      </c>
      <c r="B42" s="23" t="s">
        <v>4655</v>
      </c>
      <c r="C42" s="149"/>
      <c r="D42" s="88" t="s">
        <v>24</v>
      </c>
      <c r="E42" s="88" t="s">
        <v>24</v>
      </c>
      <c r="F42" s="88" t="s">
        <v>148</v>
      </c>
      <c r="G42" s="24" t="s">
        <v>145</v>
      </c>
      <c r="H42" s="24" t="s">
        <v>145</v>
      </c>
      <c r="I42" s="24" t="s">
        <v>145</v>
      </c>
      <c r="J42" s="24" t="s">
        <v>145</v>
      </c>
      <c r="K42" s="24" t="s">
        <v>145</v>
      </c>
      <c r="L42" s="24" t="s">
        <v>24</v>
      </c>
      <c r="M42" s="24" t="s">
        <v>24</v>
      </c>
      <c r="N42" s="24" t="s">
        <v>24</v>
      </c>
      <c r="O42" s="24" t="s">
        <v>24</v>
      </c>
      <c r="P42" s="24" t="s">
        <v>24</v>
      </c>
      <c r="Q42" s="24" t="s">
        <v>145</v>
      </c>
      <c r="R42" s="24"/>
      <c r="S42" s="24"/>
      <c r="U42" s="745"/>
      <c r="AA42" s="149"/>
      <c r="AB42" s="88" t="s">
        <v>4653</v>
      </c>
    </row>
    <row r="43" spans="1:28" ht="14.25" customHeight="1">
      <c r="A43" s="24" t="s">
        <v>4552</v>
      </c>
      <c r="B43" s="23" t="s">
        <v>4507</v>
      </c>
      <c r="C43" s="149"/>
      <c r="D43" s="88" t="s">
        <v>24</v>
      </c>
      <c r="E43" s="88" t="s">
        <v>24</v>
      </c>
      <c r="F43" s="88" t="s">
        <v>148</v>
      </c>
      <c r="G43" s="24" t="s">
        <v>145</v>
      </c>
      <c r="H43" s="24" t="s">
        <v>145</v>
      </c>
      <c r="I43" s="24" t="s">
        <v>145</v>
      </c>
      <c r="J43" s="24" t="s">
        <v>145</v>
      </c>
      <c r="K43" s="24" t="s">
        <v>145</v>
      </c>
      <c r="L43" s="24" t="s">
        <v>24</v>
      </c>
      <c r="M43" s="24" t="s">
        <v>24</v>
      </c>
      <c r="N43" s="24" t="s">
        <v>24</v>
      </c>
      <c r="O43" s="24" t="s">
        <v>24</v>
      </c>
      <c r="P43" s="24" t="s">
        <v>24</v>
      </c>
      <c r="Q43" s="24" t="s">
        <v>145</v>
      </c>
      <c r="R43" s="24"/>
      <c r="S43" s="24"/>
      <c r="U43" s="745"/>
      <c r="AA43" s="149"/>
      <c r="AB43" s="88" t="s">
        <v>4653</v>
      </c>
    </row>
    <row r="44" spans="1:28" ht="14.25" customHeight="1">
      <c r="A44" s="24" t="s">
        <v>4656</v>
      </c>
      <c r="B44" s="23" t="s">
        <v>4657</v>
      </c>
      <c r="C44" s="149"/>
      <c r="D44" s="88" t="s">
        <v>24</v>
      </c>
      <c r="E44" s="88" t="s">
        <v>24</v>
      </c>
      <c r="F44" s="88" t="s">
        <v>148</v>
      </c>
      <c r="G44" s="24" t="s">
        <v>145</v>
      </c>
      <c r="H44" s="24" t="s">
        <v>145</v>
      </c>
      <c r="I44" s="24" t="s">
        <v>145</v>
      </c>
      <c r="J44" s="24" t="s">
        <v>145</v>
      </c>
      <c r="K44" s="24" t="s">
        <v>145</v>
      </c>
      <c r="L44" s="24" t="s">
        <v>24</v>
      </c>
      <c r="M44" s="24" t="s">
        <v>24</v>
      </c>
      <c r="N44" s="24" t="s">
        <v>24</v>
      </c>
      <c r="O44" s="24" t="s">
        <v>24</v>
      </c>
      <c r="P44" s="24" t="s">
        <v>24</v>
      </c>
      <c r="Q44" s="24" t="s">
        <v>145</v>
      </c>
      <c r="R44" s="24"/>
      <c r="S44" s="24"/>
      <c r="U44" s="745"/>
      <c r="AA44" s="149"/>
      <c r="AB44" s="88" t="s">
        <v>4653</v>
      </c>
    </row>
    <row r="45" spans="1:28" ht="14.25" customHeight="1">
      <c r="A45" s="24" t="s">
        <v>4658</v>
      </c>
      <c r="B45" s="23" t="s">
        <v>4659</v>
      </c>
      <c r="C45" s="149"/>
      <c r="D45" s="88" t="s">
        <v>145</v>
      </c>
      <c r="E45" s="88" t="s">
        <v>145</v>
      </c>
      <c r="F45" s="88" t="s">
        <v>148</v>
      </c>
      <c r="G45" s="24" t="s">
        <v>145</v>
      </c>
      <c r="H45" s="24" t="s">
        <v>145</v>
      </c>
      <c r="I45" s="24" t="s">
        <v>145</v>
      </c>
      <c r="J45" s="24" t="s">
        <v>145</v>
      </c>
      <c r="K45" s="24" t="s">
        <v>145</v>
      </c>
      <c r="L45" s="24" t="s">
        <v>24</v>
      </c>
      <c r="M45" s="24" t="s">
        <v>24</v>
      </c>
      <c r="N45" s="24" t="s">
        <v>24</v>
      </c>
      <c r="O45" s="24" t="s">
        <v>24</v>
      </c>
      <c r="P45" s="24" t="s">
        <v>24</v>
      </c>
      <c r="Q45" s="24" t="s">
        <v>145</v>
      </c>
      <c r="R45" s="24"/>
      <c r="S45" s="24"/>
      <c r="U45" s="745"/>
      <c r="AA45" s="149"/>
      <c r="AB45" s="88" t="s">
        <v>4653</v>
      </c>
    </row>
    <row r="46" spans="1:28" ht="14.25" customHeight="1">
      <c r="A46" s="24" t="s">
        <v>4660</v>
      </c>
      <c r="B46" s="23" t="s">
        <v>4661</v>
      </c>
      <c r="C46" s="149"/>
      <c r="D46" s="88" t="s">
        <v>145</v>
      </c>
      <c r="E46" s="88" t="s">
        <v>145</v>
      </c>
      <c r="F46" s="88" t="s">
        <v>148</v>
      </c>
      <c r="G46" s="88" t="s">
        <v>148</v>
      </c>
      <c r="H46" s="24" t="s">
        <v>145</v>
      </c>
      <c r="I46" s="24" t="s">
        <v>145</v>
      </c>
      <c r="J46" s="24" t="s">
        <v>145</v>
      </c>
      <c r="K46" s="24" t="s">
        <v>145</v>
      </c>
      <c r="L46" s="24" t="s">
        <v>24</v>
      </c>
      <c r="M46" s="24" t="s">
        <v>24</v>
      </c>
      <c r="N46" s="24" t="s">
        <v>24</v>
      </c>
      <c r="O46" s="24" t="s">
        <v>24</v>
      </c>
      <c r="P46" s="24" t="s">
        <v>24</v>
      </c>
      <c r="Q46" s="24" t="s">
        <v>145</v>
      </c>
      <c r="R46" s="24"/>
      <c r="S46" s="24"/>
      <c r="U46" s="745"/>
      <c r="AA46" s="149"/>
      <c r="AB46" s="88" t="s">
        <v>4653</v>
      </c>
    </row>
    <row r="47" spans="1:28" ht="14.25" customHeight="1">
      <c r="A47" s="24" t="s">
        <v>4662</v>
      </c>
      <c r="B47" s="23" t="s">
        <v>4663</v>
      </c>
      <c r="C47" s="149"/>
      <c r="D47" s="88" t="s">
        <v>145</v>
      </c>
      <c r="E47" s="88" t="s">
        <v>145</v>
      </c>
      <c r="F47" s="88" t="s">
        <v>148</v>
      </c>
      <c r="G47" s="24" t="s">
        <v>145</v>
      </c>
      <c r="H47" s="24" t="s">
        <v>145</v>
      </c>
      <c r="I47" s="24" t="s">
        <v>145</v>
      </c>
      <c r="J47" s="24" t="s">
        <v>145</v>
      </c>
      <c r="K47" s="24" t="s">
        <v>145</v>
      </c>
      <c r="L47" s="24" t="s">
        <v>24</v>
      </c>
      <c r="M47" s="24" t="s">
        <v>24</v>
      </c>
      <c r="N47" s="24" t="s">
        <v>24</v>
      </c>
      <c r="O47" s="24" t="s">
        <v>24</v>
      </c>
      <c r="P47" s="24" t="s">
        <v>24</v>
      </c>
      <c r="Q47" s="24" t="s">
        <v>145</v>
      </c>
      <c r="R47" s="24"/>
      <c r="S47" s="24"/>
      <c r="U47" s="745"/>
      <c r="AA47" s="149"/>
      <c r="AB47" s="88" t="s">
        <v>4653</v>
      </c>
    </row>
    <row r="48" spans="1:28" ht="14.25" customHeight="1">
      <c r="A48" s="24" t="s">
        <v>4664</v>
      </c>
      <c r="B48" s="23" t="s">
        <v>4665</v>
      </c>
      <c r="C48" s="149"/>
      <c r="D48" s="88" t="s">
        <v>145</v>
      </c>
      <c r="E48" s="88" t="s">
        <v>145</v>
      </c>
      <c r="F48" s="88" t="s">
        <v>148</v>
      </c>
      <c r="G48" s="88" t="s">
        <v>148</v>
      </c>
      <c r="H48" s="24" t="s">
        <v>145</v>
      </c>
      <c r="I48" s="24" t="s">
        <v>145</v>
      </c>
      <c r="J48" s="24" t="s">
        <v>145</v>
      </c>
      <c r="K48" s="24" t="s">
        <v>145</v>
      </c>
      <c r="L48" s="24" t="s">
        <v>24</v>
      </c>
      <c r="M48" s="24" t="s">
        <v>24</v>
      </c>
      <c r="N48" s="24" t="s">
        <v>24</v>
      </c>
      <c r="O48" s="24" t="s">
        <v>24</v>
      </c>
      <c r="P48" s="24" t="s">
        <v>24</v>
      </c>
      <c r="Q48" s="24" t="s">
        <v>145</v>
      </c>
      <c r="R48" s="24"/>
      <c r="S48" s="24"/>
      <c r="U48" s="745"/>
      <c r="AA48" s="149"/>
      <c r="AB48" s="88" t="s">
        <v>4653</v>
      </c>
    </row>
    <row r="49" spans="1:28" ht="14.25" customHeight="1">
      <c r="A49" s="24" t="s">
        <v>4666</v>
      </c>
      <c r="B49" s="23" t="s">
        <v>4667</v>
      </c>
      <c r="C49" s="149"/>
      <c r="D49" s="88" t="s">
        <v>145</v>
      </c>
      <c r="E49" s="88" t="s">
        <v>145</v>
      </c>
      <c r="F49" s="88" t="s">
        <v>148</v>
      </c>
      <c r="G49" s="24" t="s">
        <v>145</v>
      </c>
      <c r="H49" s="24" t="s">
        <v>145</v>
      </c>
      <c r="I49" s="24" t="s">
        <v>145</v>
      </c>
      <c r="J49" s="24" t="s">
        <v>145</v>
      </c>
      <c r="K49" s="24" t="s">
        <v>145</v>
      </c>
      <c r="L49" s="24" t="s">
        <v>24</v>
      </c>
      <c r="M49" s="24" t="s">
        <v>24</v>
      </c>
      <c r="N49" s="24" t="s">
        <v>24</v>
      </c>
      <c r="O49" s="24" t="s">
        <v>24</v>
      </c>
      <c r="P49" s="24" t="s">
        <v>24</v>
      </c>
      <c r="Q49" s="24" t="s">
        <v>145</v>
      </c>
      <c r="R49" s="24"/>
      <c r="S49" s="24"/>
      <c r="U49" s="745"/>
      <c r="AA49" s="149"/>
      <c r="AB49" s="88" t="s">
        <v>4653</v>
      </c>
    </row>
    <row r="50" spans="1:28" ht="14.25" customHeight="1">
      <c r="A50" s="24" t="s">
        <v>4668</v>
      </c>
      <c r="B50" s="23" t="s">
        <v>4669</v>
      </c>
      <c r="C50" s="149"/>
      <c r="D50" s="88" t="s">
        <v>145</v>
      </c>
      <c r="E50" s="88" t="s">
        <v>145</v>
      </c>
      <c r="F50" s="88" t="s">
        <v>148</v>
      </c>
      <c r="G50" s="88" t="s">
        <v>148</v>
      </c>
      <c r="H50" s="24" t="s">
        <v>145</v>
      </c>
      <c r="I50" s="24" t="s">
        <v>145</v>
      </c>
      <c r="J50" s="24" t="s">
        <v>145</v>
      </c>
      <c r="K50" s="24" t="s">
        <v>145</v>
      </c>
      <c r="L50" s="24" t="s">
        <v>24</v>
      </c>
      <c r="M50" s="24" t="s">
        <v>24</v>
      </c>
      <c r="N50" s="24" t="s">
        <v>24</v>
      </c>
      <c r="O50" s="24" t="s">
        <v>24</v>
      </c>
      <c r="P50" s="24" t="s">
        <v>24</v>
      </c>
      <c r="Q50" s="24" t="s">
        <v>145</v>
      </c>
      <c r="R50" s="24"/>
      <c r="S50" s="24"/>
      <c r="U50" s="745"/>
      <c r="AA50" s="149"/>
      <c r="AB50" s="88" t="s">
        <v>4653</v>
      </c>
    </row>
    <row r="51" spans="1:28" ht="14.25" customHeight="1">
      <c r="A51" s="24" t="s">
        <v>4670</v>
      </c>
      <c r="B51" s="23" t="s">
        <v>4671</v>
      </c>
      <c r="C51" s="149"/>
      <c r="D51" s="88" t="s">
        <v>145</v>
      </c>
      <c r="E51" s="88" t="s">
        <v>24</v>
      </c>
      <c r="F51" s="88" t="s">
        <v>148</v>
      </c>
      <c r="G51" s="88" t="s">
        <v>148</v>
      </c>
      <c r="H51" s="24" t="s">
        <v>145</v>
      </c>
      <c r="I51" s="24" t="s">
        <v>145</v>
      </c>
      <c r="J51" s="24" t="s">
        <v>145</v>
      </c>
      <c r="K51" s="24" t="s">
        <v>145</v>
      </c>
      <c r="L51" s="24" t="s">
        <v>24</v>
      </c>
      <c r="M51" s="24" t="s">
        <v>24</v>
      </c>
      <c r="N51" s="24" t="s">
        <v>24</v>
      </c>
      <c r="O51" s="24" t="s">
        <v>24</v>
      </c>
      <c r="P51" s="24" t="s">
        <v>24</v>
      </c>
      <c r="Q51" s="24" t="s">
        <v>145</v>
      </c>
      <c r="R51" s="24"/>
      <c r="S51" s="24"/>
      <c r="U51" s="745"/>
      <c r="AA51" s="149"/>
      <c r="AB51" s="88" t="s">
        <v>4653</v>
      </c>
    </row>
    <row r="52" spans="1:28" ht="14.25" customHeight="1">
      <c r="A52" s="24" t="s">
        <v>4672</v>
      </c>
      <c r="B52" s="23" t="s">
        <v>4673</v>
      </c>
      <c r="C52" s="149"/>
      <c r="D52" s="24" t="s">
        <v>145</v>
      </c>
      <c r="E52" s="24" t="s">
        <v>145</v>
      </c>
      <c r="F52" s="24" t="s">
        <v>145</v>
      </c>
      <c r="G52" s="24" t="s">
        <v>145</v>
      </c>
      <c r="H52" s="24" t="s">
        <v>145</v>
      </c>
      <c r="I52" s="24" t="s">
        <v>145</v>
      </c>
      <c r="J52" s="24" t="s">
        <v>145</v>
      </c>
      <c r="K52" s="24" t="s">
        <v>145</v>
      </c>
      <c r="L52" s="24" t="s">
        <v>145</v>
      </c>
      <c r="M52" s="24" t="s">
        <v>145</v>
      </c>
      <c r="N52" s="24" t="s">
        <v>145</v>
      </c>
      <c r="O52" s="24" t="s">
        <v>145</v>
      </c>
      <c r="P52" s="24" t="s">
        <v>145</v>
      </c>
      <c r="Q52" s="24" t="s">
        <v>145</v>
      </c>
      <c r="R52" s="24"/>
      <c r="S52" s="24"/>
      <c r="U52" s="745"/>
      <c r="AA52" s="149"/>
      <c r="AB52" s="88" t="s">
        <v>4653</v>
      </c>
    </row>
    <row r="53" spans="1:28" ht="14.25" customHeight="1">
      <c r="A53" s="24" t="s">
        <v>4674</v>
      </c>
      <c r="B53" s="23" t="s">
        <v>4519</v>
      </c>
      <c r="C53" s="149"/>
      <c r="D53" s="88" t="s">
        <v>24</v>
      </c>
      <c r="E53" s="88" t="s">
        <v>24</v>
      </c>
      <c r="F53" s="88" t="s">
        <v>148</v>
      </c>
      <c r="G53" s="24" t="s">
        <v>145</v>
      </c>
      <c r="H53" s="24" t="s">
        <v>145</v>
      </c>
      <c r="I53" s="24" t="s">
        <v>145</v>
      </c>
      <c r="J53" s="24" t="s">
        <v>145</v>
      </c>
      <c r="K53" s="24" t="s">
        <v>145</v>
      </c>
      <c r="L53" s="24" t="s">
        <v>24</v>
      </c>
      <c r="M53" s="24" t="s">
        <v>24</v>
      </c>
      <c r="N53" s="24" t="s">
        <v>24</v>
      </c>
      <c r="O53" s="24" t="s">
        <v>24</v>
      </c>
      <c r="P53" s="24" t="s">
        <v>24</v>
      </c>
      <c r="Q53" s="24" t="s">
        <v>145</v>
      </c>
      <c r="R53" s="24"/>
      <c r="S53" s="24"/>
      <c r="U53" s="745"/>
      <c r="AA53" s="149"/>
      <c r="AB53" s="88" t="s">
        <v>4653</v>
      </c>
    </row>
    <row r="54" spans="1:28" ht="14.25" customHeight="1">
      <c r="A54" s="24" t="s">
        <v>4675</v>
      </c>
      <c r="B54" s="23" t="s">
        <v>4676</v>
      </c>
      <c r="C54" s="149"/>
      <c r="D54" s="88" t="s">
        <v>145</v>
      </c>
      <c r="E54" s="88" t="s">
        <v>145</v>
      </c>
      <c r="F54" s="88" t="s">
        <v>148</v>
      </c>
      <c r="G54" s="24" t="s">
        <v>145</v>
      </c>
      <c r="H54" s="24" t="s">
        <v>145</v>
      </c>
      <c r="I54" s="24" t="s">
        <v>145</v>
      </c>
      <c r="J54" s="24" t="s">
        <v>145</v>
      </c>
      <c r="K54" s="24" t="s">
        <v>145</v>
      </c>
      <c r="L54" s="24" t="s">
        <v>24</v>
      </c>
      <c r="M54" s="24" t="s">
        <v>24</v>
      </c>
      <c r="N54" s="24" t="s">
        <v>24</v>
      </c>
      <c r="O54" s="24" t="s">
        <v>24</v>
      </c>
      <c r="P54" s="24" t="s">
        <v>24</v>
      </c>
      <c r="Q54" s="24" t="s">
        <v>145</v>
      </c>
      <c r="R54" s="24"/>
      <c r="S54" s="24"/>
      <c r="U54" s="745"/>
      <c r="AA54" s="149"/>
      <c r="AB54" s="88" t="s">
        <v>4677</v>
      </c>
    </row>
    <row r="55" spans="1:28" ht="14.25" customHeight="1">
      <c r="A55" s="24" t="s">
        <v>4678</v>
      </c>
      <c r="B55" s="23" t="s">
        <v>4679</v>
      </c>
      <c r="C55" s="149"/>
      <c r="D55" s="88" t="s">
        <v>145</v>
      </c>
      <c r="E55" s="88" t="s">
        <v>145</v>
      </c>
      <c r="F55" s="88" t="s">
        <v>148</v>
      </c>
      <c r="G55" s="88" t="s">
        <v>148</v>
      </c>
      <c r="H55" s="24" t="s">
        <v>145</v>
      </c>
      <c r="I55" s="24" t="s">
        <v>145</v>
      </c>
      <c r="J55" s="24" t="s">
        <v>145</v>
      </c>
      <c r="K55" s="24" t="s">
        <v>145</v>
      </c>
      <c r="L55" s="24" t="s">
        <v>24</v>
      </c>
      <c r="M55" s="24" t="s">
        <v>24</v>
      </c>
      <c r="N55" s="24" t="s">
        <v>24</v>
      </c>
      <c r="O55" s="24" t="s">
        <v>24</v>
      </c>
      <c r="P55" s="24" t="s">
        <v>24</v>
      </c>
      <c r="Q55" s="24" t="s">
        <v>145</v>
      </c>
      <c r="R55" s="24"/>
      <c r="S55" s="24"/>
      <c r="U55" s="745"/>
      <c r="AA55" s="149"/>
      <c r="AB55" s="88" t="s">
        <v>4677</v>
      </c>
    </row>
    <row r="56" spans="1:28" ht="14.25" customHeight="1">
      <c r="A56" s="24" t="s">
        <v>4680</v>
      </c>
      <c r="B56" s="23" t="s">
        <v>4681</v>
      </c>
      <c r="C56" s="149"/>
      <c r="D56" s="88" t="s">
        <v>24</v>
      </c>
      <c r="E56" s="88" t="s">
        <v>24</v>
      </c>
      <c r="F56" s="88" t="s">
        <v>148</v>
      </c>
      <c r="G56" s="88" t="s">
        <v>148</v>
      </c>
      <c r="H56" s="24" t="s">
        <v>145</v>
      </c>
      <c r="I56" s="24" t="s">
        <v>145</v>
      </c>
      <c r="J56" s="24" t="s">
        <v>145</v>
      </c>
      <c r="K56" s="24" t="s">
        <v>145</v>
      </c>
      <c r="L56" s="24" t="s">
        <v>24</v>
      </c>
      <c r="M56" s="24" t="s">
        <v>24</v>
      </c>
      <c r="N56" s="24" t="s">
        <v>24</v>
      </c>
      <c r="O56" s="24" t="s">
        <v>24</v>
      </c>
      <c r="P56" s="24" t="s">
        <v>24</v>
      </c>
      <c r="Q56" s="24" t="s">
        <v>145</v>
      </c>
      <c r="R56" s="24"/>
      <c r="S56" s="24"/>
      <c r="U56" s="745"/>
      <c r="AA56" s="149"/>
      <c r="AB56" s="88" t="s">
        <v>4677</v>
      </c>
    </row>
    <row r="57" spans="1:28" ht="14.25" customHeight="1">
      <c r="A57" s="24" t="s">
        <v>4682</v>
      </c>
      <c r="B57" s="23" t="s">
        <v>4683</v>
      </c>
      <c r="C57" s="149"/>
      <c r="D57" s="88" t="s">
        <v>24</v>
      </c>
      <c r="E57" s="88" t="s">
        <v>24</v>
      </c>
      <c r="F57" s="88" t="s">
        <v>148</v>
      </c>
      <c r="G57" s="88" t="s">
        <v>148</v>
      </c>
      <c r="H57" s="24" t="s">
        <v>145</v>
      </c>
      <c r="I57" s="24" t="s">
        <v>145</v>
      </c>
      <c r="J57" s="24" t="s">
        <v>145</v>
      </c>
      <c r="K57" s="24" t="s">
        <v>145</v>
      </c>
      <c r="L57" s="24" t="s">
        <v>24</v>
      </c>
      <c r="M57" s="24" t="s">
        <v>24</v>
      </c>
      <c r="N57" s="24" t="s">
        <v>24</v>
      </c>
      <c r="O57" s="24" t="s">
        <v>24</v>
      </c>
      <c r="P57" s="24" t="s">
        <v>24</v>
      </c>
      <c r="Q57" s="24" t="s">
        <v>145</v>
      </c>
      <c r="R57" s="24"/>
      <c r="S57" s="24"/>
      <c r="U57" s="745"/>
      <c r="AA57" s="149"/>
      <c r="AB57" s="88" t="s">
        <v>4677</v>
      </c>
    </row>
    <row r="58" spans="1:28" ht="14.25" customHeight="1">
      <c r="A58" s="24" t="s">
        <v>4684</v>
      </c>
      <c r="B58" s="23" t="s">
        <v>4685</v>
      </c>
      <c r="C58" s="149"/>
      <c r="D58" s="88" t="s">
        <v>145</v>
      </c>
      <c r="E58" s="88" t="s">
        <v>145</v>
      </c>
      <c r="F58" s="88" t="s">
        <v>148</v>
      </c>
      <c r="G58" s="24" t="s">
        <v>145</v>
      </c>
      <c r="H58" s="24" t="s">
        <v>145</v>
      </c>
      <c r="I58" s="24" t="s">
        <v>145</v>
      </c>
      <c r="J58" s="24" t="s">
        <v>145</v>
      </c>
      <c r="K58" s="24" t="s">
        <v>145</v>
      </c>
      <c r="L58" s="24" t="s">
        <v>24</v>
      </c>
      <c r="M58" s="24" t="s">
        <v>24</v>
      </c>
      <c r="N58" s="24" t="s">
        <v>24</v>
      </c>
      <c r="O58" s="24" t="s">
        <v>24</v>
      </c>
      <c r="P58" s="24" t="s">
        <v>24</v>
      </c>
      <c r="Q58" s="24" t="s">
        <v>145</v>
      </c>
      <c r="R58" s="24"/>
      <c r="S58" s="24"/>
      <c r="U58" s="745"/>
      <c r="AA58" s="149"/>
      <c r="AB58" s="88" t="s">
        <v>4686</v>
      </c>
    </row>
    <row r="59" spans="1:28" ht="14.25" customHeight="1">
      <c r="A59" s="24" t="s">
        <v>4687</v>
      </c>
      <c r="B59" s="23" t="s">
        <v>4688</v>
      </c>
      <c r="C59" s="149"/>
      <c r="D59" s="88" t="s">
        <v>145</v>
      </c>
      <c r="E59" s="88" t="s">
        <v>145</v>
      </c>
      <c r="F59" s="88" t="s">
        <v>148</v>
      </c>
      <c r="G59" s="88" t="s">
        <v>148</v>
      </c>
      <c r="H59" s="24" t="s">
        <v>145</v>
      </c>
      <c r="I59" s="24" t="s">
        <v>145</v>
      </c>
      <c r="J59" s="24" t="s">
        <v>145</v>
      </c>
      <c r="K59" s="24" t="s">
        <v>145</v>
      </c>
      <c r="L59" s="24" t="s">
        <v>24</v>
      </c>
      <c r="M59" s="24" t="s">
        <v>24</v>
      </c>
      <c r="N59" s="24" t="s">
        <v>24</v>
      </c>
      <c r="O59" s="24" t="s">
        <v>24</v>
      </c>
      <c r="P59" s="24" t="s">
        <v>24</v>
      </c>
      <c r="Q59" s="24" t="s">
        <v>145</v>
      </c>
      <c r="R59" s="24"/>
      <c r="S59" s="24"/>
      <c r="U59" s="745"/>
      <c r="AA59" s="149"/>
      <c r="AB59" s="88" t="s">
        <v>4686</v>
      </c>
    </row>
    <row r="60" spans="1:28" ht="14.25" customHeight="1">
      <c r="A60" s="24" t="s">
        <v>4689</v>
      </c>
      <c r="B60" s="23" t="s">
        <v>4690</v>
      </c>
      <c r="C60" s="149"/>
      <c r="D60" s="88" t="s">
        <v>145</v>
      </c>
      <c r="E60" s="88" t="s">
        <v>145</v>
      </c>
      <c r="F60" s="88" t="s">
        <v>148</v>
      </c>
      <c r="G60" s="88" t="s">
        <v>148</v>
      </c>
      <c r="H60" s="24" t="s">
        <v>145</v>
      </c>
      <c r="I60" s="24" t="s">
        <v>145</v>
      </c>
      <c r="J60" s="24" t="s">
        <v>145</v>
      </c>
      <c r="K60" s="24" t="s">
        <v>145</v>
      </c>
      <c r="L60" s="24" t="s">
        <v>24</v>
      </c>
      <c r="M60" s="24" t="s">
        <v>24</v>
      </c>
      <c r="N60" s="24" t="s">
        <v>24</v>
      </c>
      <c r="O60" s="24" t="s">
        <v>24</v>
      </c>
      <c r="P60" s="24" t="s">
        <v>24</v>
      </c>
      <c r="Q60" s="24" t="s">
        <v>145</v>
      </c>
      <c r="R60" s="24"/>
      <c r="S60" s="24"/>
      <c r="U60" s="745"/>
      <c r="AA60" s="149"/>
      <c r="AB60" s="88" t="s">
        <v>4691</v>
      </c>
    </row>
    <row r="61" spans="1:28" ht="11.25">
      <c r="A61" s="600" t="s">
        <v>4692</v>
      </c>
      <c r="B61" s="654" t="s">
        <v>4693</v>
      </c>
      <c r="C61" s="149"/>
      <c r="D61" s="88" t="s">
        <v>145</v>
      </c>
      <c r="E61" s="24" t="s">
        <v>145</v>
      </c>
      <c r="F61" s="24" t="s">
        <v>145</v>
      </c>
      <c r="G61" s="24" t="s">
        <v>148</v>
      </c>
      <c r="H61" s="24" t="s">
        <v>145</v>
      </c>
      <c r="I61" s="88" t="s">
        <v>145</v>
      </c>
      <c r="J61" s="24" t="s">
        <v>145</v>
      </c>
      <c r="K61" s="24" t="s">
        <v>145</v>
      </c>
      <c r="L61" s="24" t="s">
        <v>145</v>
      </c>
      <c r="M61" s="24" t="s">
        <v>148</v>
      </c>
      <c r="N61" s="24" t="s">
        <v>148</v>
      </c>
      <c r="O61" s="24" t="s">
        <v>148</v>
      </c>
      <c r="P61" s="24" t="s">
        <v>148</v>
      </c>
      <c r="Q61" s="24" t="s">
        <v>145</v>
      </c>
      <c r="R61" s="149"/>
      <c r="S61" s="149"/>
      <c r="U61" s="18"/>
      <c r="AA61" s="149"/>
      <c r="AB61" s="88" t="s">
        <v>4691</v>
      </c>
    </row>
    <row r="62" spans="1:28" ht="14.25" customHeight="1">
      <c r="A62" s="24" t="s">
        <v>4694</v>
      </c>
      <c r="B62" s="23" t="s">
        <v>4695</v>
      </c>
      <c r="C62" s="149"/>
      <c r="D62" s="88" t="s">
        <v>24</v>
      </c>
      <c r="E62" s="88" t="s">
        <v>24</v>
      </c>
      <c r="F62" s="88" t="s">
        <v>148</v>
      </c>
      <c r="G62" s="24" t="s">
        <v>145</v>
      </c>
      <c r="H62" s="24" t="s">
        <v>145</v>
      </c>
      <c r="I62" s="24" t="s">
        <v>145</v>
      </c>
      <c r="J62" s="24" t="s">
        <v>145</v>
      </c>
      <c r="K62" s="24" t="s">
        <v>145</v>
      </c>
      <c r="L62" s="24" t="s">
        <v>24</v>
      </c>
      <c r="M62" s="24" t="s">
        <v>24</v>
      </c>
      <c r="N62" s="24" t="s">
        <v>24</v>
      </c>
      <c r="O62" s="24" t="s">
        <v>24</v>
      </c>
      <c r="P62" s="24" t="s">
        <v>24</v>
      </c>
      <c r="Q62" s="24" t="s">
        <v>145</v>
      </c>
      <c r="R62" s="24"/>
      <c r="S62" s="24"/>
      <c r="U62" s="745"/>
      <c r="AA62" s="149"/>
      <c r="AB62" s="88" t="s">
        <v>3989</v>
      </c>
    </row>
    <row r="63" spans="1:28" ht="14.25" customHeight="1">
      <c r="A63" s="24" t="s">
        <v>4696</v>
      </c>
      <c r="B63" s="23" t="s">
        <v>4697</v>
      </c>
      <c r="C63" s="149"/>
      <c r="D63" s="88" t="s">
        <v>24</v>
      </c>
      <c r="E63" s="88" t="s">
        <v>24</v>
      </c>
      <c r="F63" s="88" t="s">
        <v>148</v>
      </c>
      <c r="G63" s="24" t="s">
        <v>145</v>
      </c>
      <c r="H63" s="24" t="s">
        <v>145</v>
      </c>
      <c r="I63" s="24" t="s">
        <v>145</v>
      </c>
      <c r="J63" s="24" t="s">
        <v>145</v>
      </c>
      <c r="K63" s="24" t="s">
        <v>145</v>
      </c>
      <c r="L63" s="24" t="s">
        <v>24</v>
      </c>
      <c r="M63" s="24" t="s">
        <v>24</v>
      </c>
      <c r="N63" s="24" t="s">
        <v>24</v>
      </c>
      <c r="O63" s="24" t="s">
        <v>24</v>
      </c>
      <c r="P63" s="24" t="s">
        <v>24</v>
      </c>
      <c r="Q63" s="24" t="s">
        <v>145</v>
      </c>
      <c r="R63" s="24"/>
      <c r="S63" s="24"/>
      <c r="U63" s="745"/>
      <c r="AA63" s="149"/>
      <c r="AB63" s="88" t="s">
        <v>3989</v>
      </c>
    </row>
    <row r="64" spans="1:28" ht="14.25" customHeight="1">
      <c r="A64" s="24" t="s">
        <v>4698</v>
      </c>
      <c r="B64" s="23" t="s">
        <v>4699</v>
      </c>
      <c r="C64" s="149"/>
      <c r="D64" s="88" t="s">
        <v>145</v>
      </c>
      <c r="E64" s="88" t="s">
        <v>145</v>
      </c>
      <c r="F64" s="88" t="s">
        <v>148</v>
      </c>
      <c r="G64" s="24" t="s">
        <v>145</v>
      </c>
      <c r="H64" s="24" t="s">
        <v>145</v>
      </c>
      <c r="I64" s="24" t="s">
        <v>145</v>
      </c>
      <c r="J64" s="24" t="s">
        <v>145</v>
      </c>
      <c r="K64" s="24" t="s">
        <v>145</v>
      </c>
      <c r="L64" s="24" t="s">
        <v>24</v>
      </c>
      <c r="M64" s="24" t="s">
        <v>24</v>
      </c>
      <c r="N64" s="24" t="s">
        <v>24</v>
      </c>
      <c r="O64" s="24" t="s">
        <v>24</v>
      </c>
      <c r="P64" s="24" t="s">
        <v>24</v>
      </c>
      <c r="Q64" s="24" t="s">
        <v>145</v>
      </c>
      <c r="R64" s="24"/>
      <c r="S64" s="24"/>
      <c r="U64" s="745"/>
      <c r="AA64" s="149"/>
      <c r="AB64" s="88" t="s">
        <v>3989</v>
      </c>
    </row>
    <row r="65" spans="1:28" ht="14.25" customHeight="1">
      <c r="A65" s="24" t="s">
        <v>4700</v>
      </c>
      <c r="B65" s="23" t="s">
        <v>4701</v>
      </c>
      <c r="C65" s="149"/>
      <c r="D65" s="88" t="s">
        <v>145</v>
      </c>
      <c r="E65" s="88" t="s">
        <v>145</v>
      </c>
      <c r="F65" s="88" t="s">
        <v>148</v>
      </c>
      <c r="G65" s="88" t="s">
        <v>148</v>
      </c>
      <c r="H65" s="24" t="s">
        <v>145</v>
      </c>
      <c r="I65" s="24" t="s">
        <v>145</v>
      </c>
      <c r="J65" s="24" t="s">
        <v>145</v>
      </c>
      <c r="K65" s="24" t="s">
        <v>145</v>
      </c>
      <c r="L65" s="24" t="s">
        <v>24</v>
      </c>
      <c r="M65" s="24" t="s">
        <v>24</v>
      </c>
      <c r="N65" s="24" t="s">
        <v>24</v>
      </c>
      <c r="O65" s="24" t="s">
        <v>24</v>
      </c>
      <c r="P65" s="24" t="s">
        <v>24</v>
      </c>
      <c r="Q65" s="24" t="s">
        <v>145</v>
      </c>
      <c r="R65" s="24"/>
      <c r="S65" s="24"/>
      <c r="U65" s="745"/>
      <c r="AA65" s="149"/>
      <c r="AB65" s="88" t="s">
        <v>3989</v>
      </c>
    </row>
    <row r="66" spans="1:28" ht="14.25" customHeight="1">
      <c r="A66" s="24" t="s">
        <v>4702</v>
      </c>
      <c r="B66" s="23" t="s">
        <v>4703</v>
      </c>
      <c r="C66" s="149"/>
      <c r="D66" s="88" t="s">
        <v>145</v>
      </c>
      <c r="E66" s="88" t="s">
        <v>145</v>
      </c>
      <c r="F66" s="88" t="s">
        <v>148</v>
      </c>
      <c r="G66" s="88" t="s">
        <v>148</v>
      </c>
      <c r="H66" s="24" t="s">
        <v>145</v>
      </c>
      <c r="I66" s="24" t="s">
        <v>145</v>
      </c>
      <c r="J66" s="24" t="s">
        <v>145</v>
      </c>
      <c r="K66" s="24" t="s">
        <v>145</v>
      </c>
      <c r="L66" s="24" t="s">
        <v>24</v>
      </c>
      <c r="M66" s="24" t="s">
        <v>24</v>
      </c>
      <c r="N66" s="24" t="s">
        <v>24</v>
      </c>
      <c r="O66" s="24" t="s">
        <v>24</v>
      </c>
      <c r="P66" s="24" t="s">
        <v>24</v>
      </c>
      <c r="Q66" s="24" t="s">
        <v>145</v>
      </c>
      <c r="R66" s="24"/>
      <c r="S66" s="24"/>
      <c r="U66" s="745"/>
      <c r="AA66" s="149"/>
      <c r="AB66" s="88" t="s">
        <v>3989</v>
      </c>
    </row>
    <row r="67" spans="1:28" ht="14.25" customHeight="1">
      <c r="A67" s="24" t="s">
        <v>4704</v>
      </c>
      <c r="B67" s="23" t="s">
        <v>4705</v>
      </c>
      <c r="C67" s="149"/>
      <c r="D67" s="88" t="s">
        <v>24</v>
      </c>
      <c r="E67" s="88" t="s">
        <v>24</v>
      </c>
      <c r="F67" s="88" t="s">
        <v>148</v>
      </c>
      <c r="G67" s="88" t="s">
        <v>148</v>
      </c>
      <c r="H67" s="24" t="s">
        <v>145</v>
      </c>
      <c r="I67" s="24" t="s">
        <v>145</v>
      </c>
      <c r="J67" s="24" t="s">
        <v>145</v>
      </c>
      <c r="K67" s="24" t="s">
        <v>145</v>
      </c>
      <c r="L67" s="24" t="s">
        <v>145</v>
      </c>
      <c r="M67" s="24" t="s">
        <v>24</v>
      </c>
      <c r="N67" s="24" t="s">
        <v>24</v>
      </c>
      <c r="O67" s="24" t="s">
        <v>24</v>
      </c>
      <c r="P67" s="24" t="s">
        <v>24</v>
      </c>
      <c r="Q67" s="24" t="s">
        <v>145</v>
      </c>
      <c r="R67" s="24"/>
      <c r="S67" s="24"/>
      <c r="U67" s="745"/>
      <c r="AA67" s="149"/>
      <c r="AB67" s="88" t="s">
        <v>616</v>
      </c>
    </row>
    <row r="68" spans="1:28" ht="14.25" customHeight="1">
      <c r="A68" s="24" t="s">
        <v>4706</v>
      </c>
      <c r="B68" s="23" t="s">
        <v>4707</v>
      </c>
      <c r="C68" s="149"/>
      <c r="D68" s="88" t="s">
        <v>24</v>
      </c>
      <c r="E68" s="88" t="s">
        <v>24</v>
      </c>
      <c r="F68" s="88" t="s">
        <v>148</v>
      </c>
      <c r="G68" s="88" t="s">
        <v>148</v>
      </c>
      <c r="H68" s="24" t="s">
        <v>145</v>
      </c>
      <c r="I68" s="24" t="s">
        <v>145</v>
      </c>
      <c r="J68" s="24" t="s">
        <v>145</v>
      </c>
      <c r="K68" s="24" t="s">
        <v>145</v>
      </c>
      <c r="L68" s="24" t="s">
        <v>145</v>
      </c>
      <c r="M68" s="24" t="s">
        <v>24</v>
      </c>
      <c r="N68" s="24" t="s">
        <v>24</v>
      </c>
      <c r="O68" s="24" t="s">
        <v>24</v>
      </c>
      <c r="P68" s="24" t="s">
        <v>24</v>
      </c>
      <c r="Q68" s="24" t="s">
        <v>145</v>
      </c>
      <c r="R68" s="24"/>
      <c r="S68" s="24"/>
      <c r="U68" s="745"/>
      <c r="AA68" s="149"/>
      <c r="AB68" s="88" t="s">
        <v>616</v>
      </c>
    </row>
    <row r="69" spans="1:28" ht="14.25" customHeight="1">
      <c r="A69" s="24" t="s">
        <v>4708</v>
      </c>
      <c r="B69" s="23" t="s">
        <v>4709</v>
      </c>
      <c r="C69" s="149"/>
      <c r="D69" s="88" t="s">
        <v>24</v>
      </c>
      <c r="E69" s="88" t="s">
        <v>24</v>
      </c>
      <c r="F69" s="88" t="s">
        <v>148</v>
      </c>
      <c r="G69" s="88" t="s">
        <v>148</v>
      </c>
      <c r="H69" s="24" t="s">
        <v>145</v>
      </c>
      <c r="I69" s="24" t="s">
        <v>145</v>
      </c>
      <c r="J69" s="24" t="s">
        <v>145</v>
      </c>
      <c r="K69" s="24" t="s">
        <v>145</v>
      </c>
      <c r="L69" s="24" t="s">
        <v>145</v>
      </c>
      <c r="M69" s="24" t="s">
        <v>24</v>
      </c>
      <c r="N69" s="24" t="s">
        <v>24</v>
      </c>
      <c r="O69" s="24" t="s">
        <v>24</v>
      </c>
      <c r="P69" s="24" t="s">
        <v>24</v>
      </c>
      <c r="Q69" s="24" t="s">
        <v>145</v>
      </c>
      <c r="R69" s="24"/>
      <c r="S69" s="24"/>
      <c r="U69" s="745"/>
      <c r="AA69" s="149"/>
      <c r="AB69" s="88" t="s">
        <v>616</v>
      </c>
    </row>
    <row r="70" spans="1:28" ht="14.25" customHeight="1">
      <c r="A70" s="24" t="s">
        <v>4710</v>
      </c>
      <c r="B70" s="23" t="s">
        <v>4711</v>
      </c>
      <c r="C70" s="149"/>
      <c r="D70" s="88" t="s">
        <v>24</v>
      </c>
      <c r="E70" s="88" t="s">
        <v>24</v>
      </c>
      <c r="F70" s="88" t="s">
        <v>148</v>
      </c>
      <c r="G70" s="24" t="s">
        <v>145</v>
      </c>
      <c r="H70" s="24" t="s">
        <v>145</v>
      </c>
      <c r="I70" s="24" t="s">
        <v>145</v>
      </c>
      <c r="J70" s="24" t="s">
        <v>145</v>
      </c>
      <c r="K70" s="24" t="s">
        <v>145</v>
      </c>
      <c r="L70" s="24" t="s">
        <v>24</v>
      </c>
      <c r="M70" s="24" t="s">
        <v>24</v>
      </c>
      <c r="N70" s="24" t="s">
        <v>24</v>
      </c>
      <c r="O70" s="24" t="s">
        <v>24</v>
      </c>
      <c r="P70" s="24" t="s">
        <v>24</v>
      </c>
      <c r="Q70" s="24" t="s">
        <v>145</v>
      </c>
      <c r="R70" s="24"/>
      <c r="S70" s="24"/>
      <c r="U70" s="745"/>
      <c r="AA70" s="149"/>
      <c r="AB70" s="88" t="s">
        <v>4712</v>
      </c>
    </row>
    <row r="71" spans="1:28" ht="14.25" customHeight="1">
      <c r="A71" s="24" t="s">
        <v>4713</v>
      </c>
      <c r="B71" s="23" t="s">
        <v>4714</v>
      </c>
      <c r="C71" s="149"/>
      <c r="D71" s="88" t="s">
        <v>24</v>
      </c>
      <c r="E71" s="88" t="s">
        <v>24</v>
      </c>
      <c r="F71" s="88" t="s">
        <v>148</v>
      </c>
      <c r="G71" s="24" t="s">
        <v>145</v>
      </c>
      <c r="H71" s="24" t="s">
        <v>145</v>
      </c>
      <c r="I71" s="24" t="s">
        <v>145</v>
      </c>
      <c r="J71" s="24" t="s">
        <v>145</v>
      </c>
      <c r="K71" s="24" t="s">
        <v>145</v>
      </c>
      <c r="L71" s="24" t="s">
        <v>24</v>
      </c>
      <c r="M71" s="24" t="s">
        <v>24</v>
      </c>
      <c r="N71" s="24" t="s">
        <v>24</v>
      </c>
      <c r="O71" s="24" t="s">
        <v>24</v>
      </c>
      <c r="P71" s="24" t="s">
        <v>24</v>
      </c>
      <c r="Q71" s="24" t="s">
        <v>145</v>
      </c>
      <c r="R71" s="24"/>
      <c r="S71" s="24"/>
      <c r="U71" s="745"/>
      <c r="AA71" s="149"/>
      <c r="AB71" s="88" t="s">
        <v>4712</v>
      </c>
    </row>
    <row r="72" spans="1:28" ht="14.25" customHeight="1">
      <c r="A72" s="24" t="s">
        <v>4715</v>
      </c>
      <c r="B72" s="23" t="s">
        <v>4716</v>
      </c>
      <c r="C72" s="149"/>
      <c r="D72" s="88" t="s">
        <v>24</v>
      </c>
      <c r="E72" s="88" t="s">
        <v>24</v>
      </c>
      <c r="F72" s="88" t="s">
        <v>148</v>
      </c>
      <c r="G72" s="24" t="s">
        <v>145</v>
      </c>
      <c r="H72" s="24" t="s">
        <v>145</v>
      </c>
      <c r="I72" s="24" t="s">
        <v>145</v>
      </c>
      <c r="J72" s="24" t="s">
        <v>145</v>
      </c>
      <c r="K72" s="24" t="s">
        <v>145</v>
      </c>
      <c r="L72" s="24" t="s">
        <v>24</v>
      </c>
      <c r="M72" s="24" t="s">
        <v>24</v>
      </c>
      <c r="N72" s="24" t="s">
        <v>24</v>
      </c>
      <c r="O72" s="24" t="s">
        <v>24</v>
      </c>
      <c r="P72" s="24" t="s">
        <v>24</v>
      </c>
      <c r="Q72" s="24" t="s">
        <v>145</v>
      </c>
      <c r="R72" s="24"/>
      <c r="S72" s="24"/>
      <c r="U72" s="745"/>
      <c r="AA72" s="149"/>
      <c r="AB72" s="88" t="s">
        <v>4712</v>
      </c>
    </row>
    <row r="73" spans="1:28" ht="14.25" customHeight="1">
      <c r="A73" s="24" t="s">
        <v>4717</v>
      </c>
      <c r="B73" s="23" t="s">
        <v>4718</v>
      </c>
      <c r="C73" s="149"/>
      <c r="D73" s="88" t="s">
        <v>24</v>
      </c>
      <c r="E73" s="88" t="s">
        <v>24</v>
      </c>
      <c r="F73" s="88" t="s">
        <v>148</v>
      </c>
      <c r="G73" s="24" t="s">
        <v>145</v>
      </c>
      <c r="H73" s="24" t="s">
        <v>145</v>
      </c>
      <c r="I73" s="24" t="s">
        <v>145</v>
      </c>
      <c r="J73" s="24" t="s">
        <v>145</v>
      </c>
      <c r="K73" s="24" t="s">
        <v>145</v>
      </c>
      <c r="L73" s="24" t="s">
        <v>24</v>
      </c>
      <c r="M73" s="24" t="s">
        <v>24</v>
      </c>
      <c r="N73" s="24" t="s">
        <v>24</v>
      </c>
      <c r="O73" s="24" t="s">
        <v>24</v>
      </c>
      <c r="P73" s="24" t="s">
        <v>24</v>
      </c>
      <c r="Q73" s="24" t="s">
        <v>145</v>
      </c>
      <c r="R73" s="24"/>
      <c r="S73" s="24"/>
      <c r="U73" s="745"/>
      <c r="AA73" s="149"/>
      <c r="AB73" s="88" t="s">
        <v>4712</v>
      </c>
    </row>
    <row r="74" spans="1:28" ht="14.25" customHeight="1">
      <c r="A74" s="24" t="s">
        <v>4719</v>
      </c>
      <c r="B74" s="23" t="s">
        <v>4720</v>
      </c>
      <c r="C74" s="149"/>
      <c r="D74" s="88" t="s">
        <v>24</v>
      </c>
      <c r="E74" s="88" t="s">
        <v>24</v>
      </c>
      <c r="F74" s="88" t="s">
        <v>148</v>
      </c>
      <c r="G74" s="24" t="s">
        <v>145</v>
      </c>
      <c r="H74" s="24" t="s">
        <v>145</v>
      </c>
      <c r="I74" s="24" t="s">
        <v>145</v>
      </c>
      <c r="J74" s="24" t="s">
        <v>145</v>
      </c>
      <c r="K74" s="24" t="s">
        <v>145</v>
      </c>
      <c r="L74" s="24" t="s">
        <v>24</v>
      </c>
      <c r="M74" s="24" t="s">
        <v>24</v>
      </c>
      <c r="N74" s="24" t="s">
        <v>24</v>
      </c>
      <c r="O74" s="24" t="s">
        <v>24</v>
      </c>
      <c r="P74" s="24" t="s">
        <v>24</v>
      </c>
      <c r="Q74" s="24" t="s">
        <v>145</v>
      </c>
      <c r="R74" s="24"/>
      <c r="S74" s="24"/>
      <c r="U74" s="745"/>
      <c r="AA74" s="149"/>
      <c r="AB74" s="88" t="s">
        <v>4712</v>
      </c>
    </row>
    <row r="75" spans="1:28" ht="14.25" customHeight="1">
      <c r="A75" s="24" t="s">
        <v>4721</v>
      </c>
      <c r="B75" s="23" t="s">
        <v>4722</v>
      </c>
      <c r="C75" s="149"/>
      <c r="D75" s="88" t="s">
        <v>24</v>
      </c>
      <c r="E75" s="88" t="s">
        <v>24</v>
      </c>
      <c r="F75" s="88" t="s">
        <v>148</v>
      </c>
      <c r="G75" s="24" t="s">
        <v>145</v>
      </c>
      <c r="H75" s="24" t="s">
        <v>145</v>
      </c>
      <c r="I75" s="24" t="s">
        <v>145</v>
      </c>
      <c r="J75" s="24" t="s">
        <v>145</v>
      </c>
      <c r="K75" s="24" t="s">
        <v>145</v>
      </c>
      <c r="L75" s="24" t="s">
        <v>24</v>
      </c>
      <c r="M75" s="24" t="s">
        <v>24</v>
      </c>
      <c r="N75" s="24" t="s">
        <v>24</v>
      </c>
      <c r="O75" s="24" t="s">
        <v>24</v>
      </c>
      <c r="P75" s="24" t="s">
        <v>24</v>
      </c>
      <c r="Q75" s="24" t="s">
        <v>145</v>
      </c>
      <c r="R75" s="24"/>
      <c r="S75" s="24"/>
      <c r="U75" s="745"/>
      <c r="AA75" s="149"/>
      <c r="AB75" s="88" t="s">
        <v>4712</v>
      </c>
    </row>
    <row r="76" spans="1:28" ht="14.25" customHeight="1">
      <c r="A76" s="24" t="s">
        <v>4723</v>
      </c>
      <c r="B76" s="23" t="s">
        <v>4724</v>
      </c>
      <c r="C76" s="149"/>
      <c r="D76" s="88" t="s">
        <v>24</v>
      </c>
      <c r="E76" s="88" t="s">
        <v>24</v>
      </c>
      <c r="F76" s="88" t="s">
        <v>148</v>
      </c>
      <c r="G76" s="24" t="s">
        <v>145</v>
      </c>
      <c r="H76" s="24" t="s">
        <v>145</v>
      </c>
      <c r="I76" s="24" t="s">
        <v>145</v>
      </c>
      <c r="J76" s="24" t="s">
        <v>145</v>
      </c>
      <c r="K76" s="24" t="s">
        <v>145</v>
      </c>
      <c r="L76" s="24" t="s">
        <v>24</v>
      </c>
      <c r="M76" s="24" t="s">
        <v>24</v>
      </c>
      <c r="N76" s="24" t="s">
        <v>24</v>
      </c>
      <c r="O76" s="24" t="s">
        <v>24</v>
      </c>
      <c r="P76" s="24" t="s">
        <v>24</v>
      </c>
      <c r="Q76" s="24" t="s">
        <v>145</v>
      </c>
      <c r="R76" s="24"/>
      <c r="S76" s="24"/>
      <c r="U76" s="745"/>
      <c r="AA76" s="149"/>
      <c r="AB76" s="88" t="s">
        <v>4712</v>
      </c>
    </row>
    <row r="77" spans="1:28" ht="14.25" customHeight="1">
      <c r="A77" s="24" t="s">
        <v>4725</v>
      </c>
      <c r="B77" s="23" t="s">
        <v>4726</v>
      </c>
      <c r="C77" s="149"/>
      <c r="D77" s="88" t="s">
        <v>24</v>
      </c>
      <c r="E77" s="88" t="s">
        <v>24</v>
      </c>
      <c r="F77" s="88" t="s">
        <v>148</v>
      </c>
      <c r="G77" s="24" t="s">
        <v>145</v>
      </c>
      <c r="H77" s="24" t="s">
        <v>145</v>
      </c>
      <c r="I77" s="24" t="s">
        <v>145</v>
      </c>
      <c r="J77" s="24" t="s">
        <v>145</v>
      </c>
      <c r="K77" s="24" t="s">
        <v>145</v>
      </c>
      <c r="L77" s="24" t="s">
        <v>24</v>
      </c>
      <c r="M77" s="24" t="s">
        <v>24</v>
      </c>
      <c r="N77" s="24" t="s">
        <v>24</v>
      </c>
      <c r="O77" s="24" t="s">
        <v>24</v>
      </c>
      <c r="P77" s="24" t="s">
        <v>24</v>
      </c>
      <c r="Q77" s="24" t="s">
        <v>145</v>
      </c>
      <c r="R77" s="24"/>
      <c r="S77" s="24"/>
      <c r="U77" s="745"/>
      <c r="AA77" s="149"/>
      <c r="AB77" s="88" t="s">
        <v>4712</v>
      </c>
    </row>
    <row r="78" spans="1:28" ht="14.25" customHeight="1">
      <c r="A78" s="24" t="s">
        <v>4727</v>
      </c>
      <c r="B78" s="23" t="s">
        <v>4728</v>
      </c>
      <c r="C78" s="149"/>
      <c r="D78" s="88" t="s">
        <v>24</v>
      </c>
      <c r="E78" s="88" t="s">
        <v>24</v>
      </c>
      <c r="F78" s="88" t="s">
        <v>148</v>
      </c>
      <c r="G78" s="24" t="s">
        <v>145</v>
      </c>
      <c r="H78" s="24" t="s">
        <v>145</v>
      </c>
      <c r="I78" s="24" t="s">
        <v>145</v>
      </c>
      <c r="J78" s="24" t="s">
        <v>145</v>
      </c>
      <c r="K78" s="24" t="s">
        <v>145</v>
      </c>
      <c r="L78" s="24" t="s">
        <v>24</v>
      </c>
      <c r="M78" s="24" t="s">
        <v>24</v>
      </c>
      <c r="N78" s="24" t="s">
        <v>24</v>
      </c>
      <c r="O78" s="24" t="s">
        <v>24</v>
      </c>
      <c r="P78" s="24" t="s">
        <v>24</v>
      </c>
      <c r="Q78" s="24" t="s">
        <v>145</v>
      </c>
      <c r="R78" s="24"/>
      <c r="S78" s="24"/>
      <c r="U78" s="745"/>
      <c r="AA78" s="149"/>
      <c r="AB78" s="88" t="s">
        <v>4712</v>
      </c>
    </row>
    <row r="79" spans="1:28" ht="14.25" customHeight="1">
      <c r="A79" s="24" t="s">
        <v>4729</v>
      </c>
      <c r="B79" s="23" t="s">
        <v>4730</v>
      </c>
      <c r="C79" s="149"/>
      <c r="D79" s="88" t="s">
        <v>24</v>
      </c>
      <c r="E79" s="88" t="s">
        <v>24</v>
      </c>
      <c r="F79" s="88" t="s">
        <v>148</v>
      </c>
      <c r="G79" s="24" t="s">
        <v>145</v>
      </c>
      <c r="H79" s="24" t="s">
        <v>145</v>
      </c>
      <c r="I79" s="24" t="s">
        <v>145</v>
      </c>
      <c r="J79" s="24" t="s">
        <v>145</v>
      </c>
      <c r="K79" s="24" t="s">
        <v>145</v>
      </c>
      <c r="L79" s="24" t="s">
        <v>24</v>
      </c>
      <c r="M79" s="24" t="s">
        <v>24</v>
      </c>
      <c r="N79" s="24" t="s">
        <v>24</v>
      </c>
      <c r="O79" s="24" t="s">
        <v>24</v>
      </c>
      <c r="P79" s="24" t="s">
        <v>24</v>
      </c>
      <c r="Q79" s="24" t="s">
        <v>145</v>
      </c>
      <c r="R79" s="24"/>
      <c r="S79" s="24"/>
      <c r="U79" s="745"/>
      <c r="AA79" s="149"/>
      <c r="AB79" s="88" t="s">
        <v>4712</v>
      </c>
    </row>
    <row r="80" spans="1:28" ht="14.25" customHeight="1">
      <c r="A80" s="24" t="s">
        <v>4731</v>
      </c>
      <c r="B80" s="23" t="s">
        <v>4732</v>
      </c>
      <c r="C80" s="149"/>
      <c r="D80" s="88" t="s">
        <v>24</v>
      </c>
      <c r="E80" s="88" t="s">
        <v>24</v>
      </c>
      <c r="F80" s="88" t="s">
        <v>148</v>
      </c>
      <c r="G80" s="24" t="s">
        <v>145</v>
      </c>
      <c r="H80" s="24" t="s">
        <v>145</v>
      </c>
      <c r="I80" s="24" t="s">
        <v>145</v>
      </c>
      <c r="J80" s="24" t="s">
        <v>145</v>
      </c>
      <c r="K80" s="24" t="s">
        <v>145</v>
      </c>
      <c r="L80" s="24" t="s">
        <v>24</v>
      </c>
      <c r="M80" s="24" t="s">
        <v>24</v>
      </c>
      <c r="N80" s="24" t="s">
        <v>24</v>
      </c>
      <c r="O80" s="24" t="s">
        <v>24</v>
      </c>
      <c r="P80" s="24" t="s">
        <v>24</v>
      </c>
      <c r="Q80" s="24" t="s">
        <v>145</v>
      </c>
      <c r="R80" s="24"/>
      <c r="S80" s="24"/>
      <c r="U80" s="745"/>
      <c r="AA80" s="149"/>
      <c r="AB80" s="88" t="s">
        <v>4712</v>
      </c>
    </row>
    <row r="81" spans="1:28" ht="14.25" customHeight="1">
      <c r="A81" s="24" t="s">
        <v>4733</v>
      </c>
      <c r="B81" s="23" t="s">
        <v>4734</v>
      </c>
      <c r="C81" s="149"/>
      <c r="D81" s="88" t="s">
        <v>24</v>
      </c>
      <c r="E81" s="88" t="s">
        <v>24</v>
      </c>
      <c r="F81" s="88" t="s">
        <v>148</v>
      </c>
      <c r="G81" s="24" t="s">
        <v>145</v>
      </c>
      <c r="H81" s="24" t="s">
        <v>145</v>
      </c>
      <c r="I81" s="24" t="s">
        <v>145</v>
      </c>
      <c r="J81" s="24" t="s">
        <v>145</v>
      </c>
      <c r="K81" s="24" t="s">
        <v>145</v>
      </c>
      <c r="L81" s="24" t="s">
        <v>24</v>
      </c>
      <c r="M81" s="24" t="s">
        <v>24</v>
      </c>
      <c r="N81" s="24" t="s">
        <v>24</v>
      </c>
      <c r="O81" s="24" t="s">
        <v>24</v>
      </c>
      <c r="P81" s="24" t="s">
        <v>24</v>
      </c>
      <c r="Q81" s="24" t="s">
        <v>145</v>
      </c>
      <c r="R81" s="24"/>
      <c r="S81" s="24"/>
      <c r="U81" s="745"/>
      <c r="AA81" s="149"/>
      <c r="AB81" s="88" t="s">
        <v>4712</v>
      </c>
    </row>
    <row r="82" spans="1:28" ht="14.25" customHeight="1">
      <c r="A82" s="24" t="s">
        <v>4735</v>
      </c>
      <c r="B82" s="23" t="s">
        <v>4736</v>
      </c>
      <c r="C82" s="149"/>
      <c r="D82" s="88" t="s">
        <v>24</v>
      </c>
      <c r="E82" s="88" t="s">
        <v>24</v>
      </c>
      <c r="F82" s="88" t="s">
        <v>148</v>
      </c>
      <c r="G82" s="24" t="s">
        <v>145</v>
      </c>
      <c r="H82" s="24" t="s">
        <v>145</v>
      </c>
      <c r="I82" s="24" t="s">
        <v>145</v>
      </c>
      <c r="J82" s="24" t="s">
        <v>145</v>
      </c>
      <c r="K82" s="24" t="s">
        <v>145</v>
      </c>
      <c r="L82" s="24" t="s">
        <v>24</v>
      </c>
      <c r="M82" s="24" t="s">
        <v>24</v>
      </c>
      <c r="N82" s="24" t="s">
        <v>24</v>
      </c>
      <c r="O82" s="24" t="s">
        <v>24</v>
      </c>
      <c r="P82" s="24" t="s">
        <v>24</v>
      </c>
      <c r="Q82" s="24" t="s">
        <v>145</v>
      </c>
      <c r="R82" s="24"/>
      <c r="S82" s="24"/>
      <c r="U82" s="745"/>
      <c r="AA82" s="149"/>
      <c r="AB82" s="88" t="s">
        <v>4712</v>
      </c>
    </row>
    <row r="83" spans="1:28" ht="14.25" customHeight="1">
      <c r="A83" s="753" t="s">
        <v>4737</v>
      </c>
      <c r="B83" s="754" t="s">
        <v>4738</v>
      </c>
      <c r="C83" s="755" t="s">
        <v>4739</v>
      </c>
      <c r="D83" s="24" t="s">
        <v>145</v>
      </c>
      <c r="E83" s="24" t="s">
        <v>145</v>
      </c>
      <c r="F83" s="24" t="s">
        <v>145</v>
      </c>
      <c r="G83" s="24" t="s">
        <v>145</v>
      </c>
      <c r="H83" s="24" t="s">
        <v>145</v>
      </c>
      <c r="I83" s="756" t="s">
        <v>24</v>
      </c>
      <c r="J83" s="24" t="s">
        <v>145</v>
      </c>
      <c r="K83" s="24" t="s">
        <v>145</v>
      </c>
      <c r="L83" s="753" t="s">
        <v>11</v>
      </c>
      <c r="M83" s="753" t="s">
        <v>24</v>
      </c>
      <c r="N83" s="753" t="s">
        <v>24</v>
      </c>
      <c r="O83" s="753" t="s">
        <v>24</v>
      </c>
      <c r="P83" s="753" t="s">
        <v>24</v>
      </c>
      <c r="Q83" s="24" t="s">
        <v>145</v>
      </c>
      <c r="R83" s="757" t="s">
        <v>4739</v>
      </c>
      <c r="S83" s="757" t="s">
        <v>4739</v>
      </c>
      <c r="T83" s="758"/>
      <c r="U83" s="758"/>
      <c r="V83" s="751"/>
      <c r="W83" s="751"/>
      <c r="X83" s="751"/>
      <c r="Y83" s="751"/>
      <c r="Z83" s="751"/>
      <c r="AA83" s="749"/>
      <c r="AB83" s="600" t="s">
        <v>4712</v>
      </c>
    </row>
    <row r="84" spans="1:28" ht="14.25" customHeight="1">
      <c r="A84" s="24" t="s">
        <v>4740</v>
      </c>
      <c r="B84" s="23" t="s">
        <v>4741</v>
      </c>
      <c r="C84" s="149"/>
      <c r="D84" s="88" t="s">
        <v>145</v>
      </c>
      <c r="E84" s="88" t="s">
        <v>145</v>
      </c>
      <c r="F84" s="88" t="s">
        <v>148</v>
      </c>
      <c r="G84" s="24" t="s">
        <v>145</v>
      </c>
      <c r="H84" s="24" t="s">
        <v>145</v>
      </c>
      <c r="I84" s="24" t="s">
        <v>145</v>
      </c>
      <c r="J84" s="24" t="s">
        <v>145</v>
      </c>
      <c r="K84" s="24" t="s">
        <v>145</v>
      </c>
      <c r="L84" s="24" t="s">
        <v>24</v>
      </c>
      <c r="M84" s="24" t="s">
        <v>24</v>
      </c>
      <c r="N84" s="24" t="s">
        <v>24</v>
      </c>
      <c r="O84" s="24" t="s">
        <v>24</v>
      </c>
      <c r="P84" s="24" t="s">
        <v>24</v>
      </c>
      <c r="Q84" s="24" t="s">
        <v>145</v>
      </c>
      <c r="R84" s="24"/>
      <c r="S84" s="24"/>
      <c r="U84" s="745"/>
      <c r="AA84" s="149"/>
      <c r="AB84" s="88" t="s">
        <v>4584</v>
      </c>
    </row>
    <row r="85" spans="1:28" ht="14.25" customHeight="1">
      <c r="A85" s="24" t="s">
        <v>4742</v>
      </c>
      <c r="B85" s="23" t="s">
        <v>4743</v>
      </c>
      <c r="C85" s="149"/>
      <c r="D85" s="88" t="s">
        <v>145</v>
      </c>
      <c r="E85" s="88" t="s">
        <v>145</v>
      </c>
      <c r="F85" s="88" t="s">
        <v>148</v>
      </c>
      <c r="G85" s="88" t="s">
        <v>148</v>
      </c>
      <c r="H85" s="24" t="s">
        <v>145</v>
      </c>
      <c r="I85" s="24" t="s">
        <v>145</v>
      </c>
      <c r="J85" s="24" t="s">
        <v>145</v>
      </c>
      <c r="K85" s="24" t="s">
        <v>145</v>
      </c>
      <c r="L85" s="24" t="s">
        <v>24</v>
      </c>
      <c r="M85" s="24" t="s">
        <v>24</v>
      </c>
      <c r="N85" s="24" t="s">
        <v>24</v>
      </c>
      <c r="O85" s="24" t="s">
        <v>24</v>
      </c>
      <c r="P85" s="24" t="s">
        <v>24</v>
      </c>
      <c r="Q85" s="24" t="s">
        <v>145</v>
      </c>
      <c r="R85" s="24"/>
      <c r="S85" s="24"/>
      <c r="U85" s="745"/>
      <c r="AA85" s="149"/>
      <c r="AB85" s="88" t="s">
        <v>4584</v>
      </c>
    </row>
    <row r="86" spans="1:28" ht="14.25" customHeight="1">
      <c r="A86" s="24" t="s">
        <v>4744</v>
      </c>
      <c r="B86" s="23" t="s">
        <v>4745</v>
      </c>
      <c r="C86" s="149"/>
      <c r="D86" s="88" t="s">
        <v>145</v>
      </c>
      <c r="E86" s="88" t="s">
        <v>145</v>
      </c>
      <c r="F86" s="88" t="s">
        <v>148</v>
      </c>
      <c r="G86" s="88" t="s">
        <v>148</v>
      </c>
      <c r="H86" s="24" t="s">
        <v>145</v>
      </c>
      <c r="I86" s="24" t="s">
        <v>145</v>
      </c>
      <c r="J86" s="24" t="s">
        <v>145</v>
      </c>
      <c r="K86" s="24" t="s">
        <v>145</v>
      </c>
      <c r="L86" s="24" t="s">
        <v>24</v>
      </c>
      <c r="M86" s="24" t="s">
        <v>24</v>
      </c>
      <c r="N86" s="24" t="s">
        <v>24</v>
      </c>
      <c r="O86" s="24" t="s">
        <v>24</v>
      </c>
      <c r="P86" s="24" t="s">
        <v>24</v>
      </c>
      <c r="Q86" s="24" t="s">
        <v>145</v>
      </c>
      <c r="R86" s="24"/>
      <c r="S86" s="24"/>
      <c r="U86" s="745"/>
      <c r="AA86" s="149"/>
      <c r="AB86" s="88" t="s">
        <v>4584</v>
      </c>
    </row>
    <row r="87" spans="1:28" ht="14.25" customHeight="1">
      <c r="A87" s="24" t="s">
        <v>4503</v>
      </c>
      <c r="B87" s="23" t="s">
        <v>4504</v>
      </c>
      <c r="C87" s="149"/>
      <c r="D87" s="88" t="s">
        <v>148</v>
      </c>
      <c r="E87" s="88" t="s">
        <v>148</v>
      </c>
      <c r="F87" s="88" t="s">
        <v>148</v>
      </c>
      <c r="G87" s="88" t="s">
        <v>145</v>
      </c>
      <c r="H87" s="24" t="s">
        <v>145</v>
      </c>
      <c r="I87" s="24" t="s">
        <v>145</v>
      </c>
      <c r="J87" s="24" t="s">
        <v>145</v>
      </c>
      <c r="K87" s="24" t="s">
        <v>145</v>
      </c>
      <c r="L87" s="24" t="s">
        <v>148</v>
      </c>
      <c r="M87" s="24" t="s">
        <v>148</v>
      </c>
      <c r="N87" s="24" t="s">
        <v>148</v>
      </c>
      <c r="O87" s="24" t="s">
        <v>148</v>
      </c>
      <c r="P87" s="24" t="s">
        <v>148</v>
      </c>
      <c r="Q87" s="24" t="s">
        <v>145</v>
      </c>
      <c r="R87" s="24"/>
      <c r="S87" s="24"/>
      <c r="U87" s="745"/>
      <c r="AA87" s="149"/>
      <c r="AB87" s="88" t="s">
        <v>4584</v>
      </c>
    </row>
    <row r="88" spans="1:28" ht="14.25" customHeight="1">
      <c r="A88" s="42" t="s">
        <v>4746</v>
      </c>
      <c r="B88" s="46" t="s">
        <v>4747</v>
      </c>
      <c r="C88" s="29"/>
      <c r="D88" s="43" t="s">
        <v>148</v>
      </c>
      <c r="E88" s="43" t="s">
        <v>148</v>
      </c>
      <c r="F88" s="43" t="s">
        <v>148</v>
      </c>
      <c r="G88" s="43" t="s">
        <v>145</v>
      </c>
      <c r="H88" s="42" t="s">
        <v>145</v>
      </c>
      <c r="I88" s="42" t="s">
        <v>145</v>
      </c>
      <c r="J88" s="42" t="s">
        <v>145</v>
      </c>
      <c r="K88" s="42" t="s">
        <v>145</v>
      </c>
      <c r="L88" s="42" t="s">
        <v>145</v>
      </c>
      <c r="M88" s="42" t="s">
        <v>145</v>
      </c>
      <c r="N88" s="42" t="s">
        <v>148</v>
      </c>
      <c r="O88" s="42" t="s">
        <v>148</v>
      </c>
      <c r="P88" s="42" t="s">
        <v>148</v>
      </c>
      <c r="Q88" s="24" t="s">
        <v>145</v>
      </c>
      <c r="R88" s="42"/>
      <c r="S88" s="42"/>
      <c r="T88" s="759"/>
      <c r="U88" s="760"/>
      <c r="V88" s="759"/>
      <c r="W88" s="759"/>
      <c r="X88" s="759"/>
      <c r="Y88" s="759"/>
      <c r="Z88" s="759"/>
      <c r="AA88" s="29"/>
      <c r="AB88" s="43" t="s">
        <v>4650</v>
      </c>
    </row>
    <row r="89" spans="1:28" ht="14.25" customHeight="1">
      <c r="A89" s="24" t="s">
        <v>4748</v>
      </c>
      <c r="B89" s="23" t="s">
        <v>4749</v>
      </c>
      <c r="C89" s="149"/>
      <c r="D89" s="88" t="s">
        <v>145</v>
      </c>
      <c r="E89" s="88" t="s">
        <v>145</v>
      </c>
      <c r="F89" s="88" t="s">
        <v>148</v>
      </c>
      <c r="G89" s="24" t="s">
        <v>145</v>
      </c>
      <c r="H89" s="24" t="s">
        <v>145</v>
      </c>
      <c r="I89" s="24" t="s">
        <v>145</v>
      </c>
      <c r="J89" s="24" t="s">
        <v>145</v>
      </c>
      <c r="K89" s="24" t="s">
        <v>145</v>
      </c>
      <c r="L89" s="24" t="s">
        <v>24</v>
      </c>
      <c r="M89" s="24" t="s">
        <v>24</v>
      </c>
      <c r="N89" s="24" t="s">
        <v>24</v>
      </c>
      <c r="O89" s="24" t="s">
        <v>24</v>
      </c>
      <c r="P89" s="24" t="s">
        <v>24</v>
      </c>
      <c r="Q89" s="24" t="s">
        <v>145</v>
      </c>
      <c r="R89" s="24"/>
      <c r="S89" s="24"/>
      <c r="U89" s="745"/>
      <c r="AA89" s="149"/>
      <c r="AB89" s="88" t="s">
        <v>4584</v>
      </c>
    </row>
    <row r="90" spans="1:28" ht="14.25" customHeight="1">
      <c r="A90" s="24" t="s">
        <v>4750</v>
      </c>
      <c r="B90" s="23" t="s">
        <v>4751</v>
      </c>
      <c r="C90" s="149"/>
      <c r="D90" s="88" t="s">
        <v>145</v>
      </c>
      <c r="E90" s="88" t="s">
        <v>145</v>
      </c>
      <c r="F90" s="88" t="s">
        <v>148</v>
      </c>
      <c r="G90" s="88" t="s">
        <v>148</v>
      </c>
      <c r="H90" s="24" t="s">
        <v>145</v>
      </c>
      <c r="I90" s="24" t="s">
        <v>145</v>
      </c>
      <c r="J90" s="24" t="s">
        <v>145</v>
      </c>
      <c r="K90" s="24" t="s">
        <v>145</v>
      </c>
      <c r="L90" s="24" t="s">
        <v>24</v>
      </c>
      <c r="M90" s="24" t="s">
        <v>24</v>
      </c>
      <c r="N90" s="24" t="s">
        <v>24</v>
      </c>
      <c r="O90" s="24" t="s">
        <v>24</v>
      </c>
      <c r="P90" s="24" t="s">
        <v>24</v>
      </c>
      <c r="Q90" s="24" t="s">
        <v>145</v>
      </c>
      <c r="R90" s="24"/>
      <c r="S90" s="24"/>
      <c r="U90" s="745"/>
      <c r="AA90" s="149"/>
      <c r="AB90" s="88" t="s">
        <v>4584</v>
      </c>
    </row>
    <row r="91" spans="1:28" ht="14.25" customHeight="1">
      <c r="A91" s="24" t="s">
        <v>4752</v>
      </c>
      <c r="B91" s="23" t="s">
        <v>4753</v>
      </c>
      <c r="C91" s="149"/>
      <c r="D91" s="88" t="s">
        <v>145</v>
      </c>
      <c r="E91" s="88" t="s">
        <v>145</v>
      </c>
      <c r="F91" s="88" t="s">
        <v>148</v>
      </c>
      <c r="G91" s="88" t="s">
        <v>148</v>
      </c>
      <c r="H91" s="24" t="s">
        <v>145</v>
      </c>
      <c r="I91" s="24" t="s">
        <v>145</v>
      </c>
      <c r="J91" s="24" t="s">
        <v>145</v>
      </c>
      <c r="K91" s="24" t="s">
        <v>145</v>
      </c>
      <c r="L91" s="24" t="s">
        <v>24</v>
      </c>
      <c r="M91" s="24" t="s">
        <v>24</v>
      </c>
      <c r="N91" s="24" t="s">
        <v>24</v>
      </c>
      <c r="O91" s="24" t="s">
        <v>24</v>
      </c>
      <c r="P91" s="24" t="s">
        <v>24</v>
      </c>
      <c r="Q91" s="24" t="s">
        <v>145</v>
      </c>
      <c r="R91" s="24"/>
      <c r="S91" s="24"/>
      <c r="U91" s="745"/>
      <c r="AA91" s="149"/>
      <c r="AB91" s="88" t="s">
        <v>4584</v>
      </c>
    </row>
    <row r="92" spans="1:28" ht="14.25" customHeight="1">
      <c r="A92" s="24" t="s">
        <v>4754</v>
      </c>
      <c r="B92" s="23" t="s">
        <v>4755</v>
      </c>
      <c r="C92" s="149"/>
      <c r="D92" s="88" t="s">
        <v>145</v>
      </c>
      <c r="E92" s="88" t="s">
        <v>145</v>
      </c>
      <c r="F92" s="88" t="s">
        <v>148</v>
      </c>
      <c r="G92" s="24" t="s">
        <v>145</v>
      </c>
      <c r="H92" s="24" t="s">
        <v>145</v>
      </c>
      <c r="I92" s="24" t="s">
        <v>145</v>
      </c>
      <c r="J92" s="24" t="s">
        <v>145</v>
      </c>
      <c r="K92" s="24" t="s">
        <v>145</v>
      </c>
      <c r="L92" s="24" t="s">
        <v>24</v>
      </c>
      <c r="M92" s="24" t="s">
        <v>24</v>
      </c>
      <c r="N92" s="24" t="s">
        <v>24</v>
      </c>
      <c r="O92" s="24" t="s">
        <v>24</v>
      </c>
      <c r="P92" s="24" t="s">
        <v>24</v>
      </c>
      <c r="Q92" s="24" t="s">
        <v>145</v>
      </c>
      <c r="R92" s="24"/>
      <c r="S92" s="24"/>
      <c r="U92" s="745"/>
      <c r="AA92" s="149"/>
      <c r="AB92" s="88" t="s">
        <v>4584</v>
      </c>
    </row>
    <row r="93" spans="1:28" ht="14.25" customHeight="1">
      <c r="A93" s="24" t="s">
        <v>4756</v>
      </c>
      <c r="B93" s="23" t="s">
        <v>4757</v>
      </c>
      <c r="C93" s="149"/>
      <c r="D93" s="88" t="s">
        <v>145</v>
      </c>
      <c r="E93" s="88" t="s">
        <v>145</v>
      </c>
      <c r="F93" s="88" t="s">
        <v>148</v>
      </c>
      <c r="G93" s="88" t="s">
        <v>148</v>
      </c>
      <c r="H93" s="24" t="s">
        <v>145</v>
      </c>
      <c r="I93" s="24" t="s">
        <v>145</v>
      </c>
      <c r="J93" s="24" t="s">
        <v>145</v>
      </c>
      <c r="K93" s="24" t="s">
        <v>145</v>
      </c>
      <c r="L93" s="24" t="s">
        <v>24</v>
      </c>
      <c r="M93" s="24" t="s">
        <v>24</v>
      </c>
      <c r="N93" s="24" t="s">
        <v>24</v>
      </c>
      <c r="O93" s="24" t="s">
        <v>24</v>
      </c>
      <c r="P93" s="24" t="s">
        <v>24</v>
      </c>
      <c r="Q93" s="24" t="s">
        <v>145</v>
      </c>
      <c r="R93" s="24"/>
      <c r="S93" s="24"/>
      <c r="U93" s="745"/>
      <c r="AA93" s="149"/>
      <c r="AB93" s="88" t="s">
        <v>4584</v>
      </c>
    </row>
    <row r="94" spans="1:28" ht="14.25" customHeight="1">
      <c r="A94" s="24" t="s">
        <v>4758</v>
      </c>
      <c r="B94" s="23" t="s">
        <v>4759</v>
      </c>
      <c r="C94" s="149"/>
      <c r="D94" s="88" t="s">
        <v>145</v>
      </c>
      <c r="E94" s="88" t="s">
        <v>145</v>
      </c>
      <c r="F94" s="88" t="s">
        <v>148</v>
      </c>
      <c r="G94" s="88" t="s">
        <v>148</v>
      </c>
      <c r="H94" s="24" t="s">
        <v>145</v>
      </c>
      <c r="I94" s="24" t="s">
        <v>145</v>
      </c>
      <c r="J94" s="24" t="s">
        <v>145</v>
      </c>
      <c r="K94" s="24" t="s">
        <v>145</v>
      </c>
      <c r="L94" s="24" t="s">
        <v>24</v>
      </c>
      <c r="M94" s="24" t="s">
        <v>24</v>
      </c>
      <c r="N94" s="24" t="s">
        <v>24</v>
      </c>
      <c r="O94" s="24" t="s">
        <v>24</v>
      </c>
      <c r="P94" s="24" t="s">
        <v>24</v>
      </c>
      <c r="Q94" s="24" t="s">
        <v>145</v>
      </c>
      <c r="R94" s="24"/>
      <c r="S94" s="24"/>
      <c r="U94" s="745"/>
      <c r="AA94" s="149"/>
      <c r="AB94" s="88" t="s">
        <v>4584</v>
      </c>
    </row>
    <row r="95" spans="1:28" ht="14.25" customHeight="1">
      <c r="A95" s="24" t="s">
        <v>4760</v>
      </c>
      <c r="B95" s="23" t="s">
        <v>4761</v>
      </c>
      <c r="C95" s="149"/>
      <c r="D95" s="88" t="s">
        <v>145</v>
      </c>
      <c r="E95" s="88" t="s">
        <v>145</v>
      </c>
      <c r="F95" s="88" t="s">
        <v>148</v>
      </c>
      <c r="G95" s="24" t="s">
        <v>145</v>
      </c>
      <c r="H95" s="24" t="s">
        <v>145</v>
      </c>
      <c r="I95" s="24" t="s">
        <v>145</v>
      </c>
      <c r="J95" s="24" t="s">
        <v>145</v>
      </c>
      <c r="K95" s="24" t="s">
        <v>145</v>
      </c>
      <c r="L95" s="24" t="s">
        <v>24</v>
      </c>
      <c r="M95" s="24" t="s">
        <v>24</v>
      </c>
      <c r="N95" s="24" t="s">
        <v>24</v>
      </c>
      <c r="O95" s="24" t="s">
        <v>24</v>
      </c>
      <c r="P95" s="24" t="s">
        <v>24</v>
      </c>
      <c r="Q95" s="24" t="s">
        <v>145</v>
      </c>
      <c r="R95" s="24"/>
      <c r="S95" s="24"/>
      <c r="U95" s="745"/>
      <c r="AA95" s="149"/>
      <c r="AB95" s="88" t="s">
        <v>4584</v>
      </c>
    </row>
    <row r="96" spans="1:28" ht="14.25" customHeight="1">
      <c r="A96" s="24" t="s">
        <v>4762</v>
      </c>
      <c r="B96" s="23" t="s">
        <v>4763</v>
      </c>
      <c r="C96" s="149"/>
      <c r="D96" s="88" t="s">
        <v>145</v>
      </c>
      <c r="E96" s="88" t="s">
        <v>145</v>
      </c>
      <c r="F96" s="88" t="s">
        <v>148</v>
      </c>
      <c r="G96" s="88" t="s">
        <v>148</v>
      </c>
      <c r="H96" s="24" t="s">
        <v>145</v>
      </c>
      <c r="I96" s="24" t="s">
        <v>145</v>
      </c>
      <c r="J96" s="24" t="s">
        <v>145</v>
      </c>
      <c r="K96" s="24" t="s">
        <v>145</v>
      </c>
      <c r="L96" s="24" t="s">
        <v>24</v>
      </c>
      <c r="M96" s="24" t="s">
        <v>24</v>
      </c>
      <c r="N96" s="24" t="s">
        <v>24</v>
      </c>
      <c r="O96" s="24" t="s">
        <v>24</v>
      </c>
      <c r="P96" s="24" t="s">
        <v>24</v>
      </c>
      <c r="Q96" s="24" t="s">
        <v>145</v>
      </c>
      <c r="R96" s="24"/>
      <c r="S96" s="24"/>
      <c r="U96" s="745"/>
      <c r="AA96" s="149"/>
      <c r="AB96" s="88" t="s">
        <v>4584</v>
      </c>
    </row>
    <row r="97" spans="1:28" ht="14.25" customHeight="1">
      <c r="A97" s="24" t="s">
        <v>4764</v>
      </c>
      <c r="B97" s="23" t="s">
        <v>4765</v>
      </c>
      <c r="C97" s="149"/>
      <c r="D97" s="88" t="s">
        <v>145</v>
      </c>
      <c r="E97" s="88" t="s">
        <v>145</v>
      </c>
      <c r="F97" s="88" t="s">
        <v>148</v>
      </c>
      <c r="G97" s="88" t="s">
        <v>148</v>
      </c>
      <c r="H97" s="24" t="s">
        <v>145</v>
      </c>
      <c r="I97" s="24" t="s">
        <v>145</v>
      </c>
      <c r="J97" s="24" t="s">
        <v>145</v>
      </c>
      <c r="K97" s="24" t="s">
        <v>145</v>
      </c>
      <c r="L97" s="24" t="s">
        <v>24</v>
      </c>
      <c r="M97" s="24" t="s">
        <v>24</v>
      </c>
      <c r="N97" s="24" t="s">
        <v>24</v>
      </c>
      <c r="O97" s="24" t="s">
        <v>24</v>
      </c>
      <c r="P97" s="24" t="s">
        <v>24</v>
      </c>
      <c r="Q97" s="24" t="s">
        <v>145</v>
      </c>
      <c r="R97" s="24"/>
      <c r="S97" s="24"/>
      <c r="U97" s="745"/>
      <c r="AA97" s="149"/>
      <c r="AB97" s="88" t="s">
        <v>4584</v>
      </c>
    </row>
    <row r="98" spans="1:28" ht="14.25" customHeight="1">
      <c r="A98" s="24" t="s">
        <v>4766</v>
      </c>
      <c r="B98" s="23" t="s">
        <v>4767</v>
      </c>
      <c r="C98" s="149"/>
      <c r="D98" s="88" t="s">
        <v>145</v>
      </c>
      <c r="E98" s="88" t="s">
        <v>145</v>
      </c>
      <c r="F98" s="88" t="s">
        <v>148</v>
      </c>
      <c r="G98" s="24" t="s">
        <v>145</v>
      </c>
      <c r="H98" s="24" t="s">
        <v>145</v>
      </c>
      <c r="I98" s="24" t="s">
        <v>145</v>
      </c>
      <c r="J98" s="24" t="s">
        <v>145</v>
      </c>
      <c r="K98" s="24" t="s">
        <v>145</v>
      </c>
      <c r="L98" s="24" t="s">
        <v>24</v>
      </c>
      <c r="M98" s="24" t="s">
        <v>24</v>
      </c>
      <c r="N98" s="24" t="s">
        <v>24</v>
      </c>
      <c r="O98" s="24" t="s">
        <v>24</v>
      </c>
      <c r="P98" s="24" t="s">
        <v>24</v>
      </c>
      <c r="Q98" s="24" t="s">
        <v>145</v>
      </c>
      <c r="R98" s="24"/>
      <c r="S98" s="24"/>
      <c r="U98" s="745"/>
      <c r="AA98" s="149"/>
      <c r="AB98" s="88" t="s">
        <v>4584</v>
      </c>
    </row>
    <row r="99" spans="1:28" ht="14.25" customHeight="1">
      <c r="A99" s="24" t="s">
        <v>4768</v>
      </c>
      <c r="B99" s="23" t="s">
        <v>4769</v>
      </c>
      <c r="C99" s="149"/>
      <c r="D99" s="88" t="s">
        <v>145</v>
      </c>
      <c r="E99" s="88" t="s">
        <v>145</v>
      </c>
      <c r="F99" s="88" t="s">
        <v>148</v>
      </c>
      <c r="G99" s="88" t="s">
        <v>148</v>
      </c>
      <c r="H99" s="24" t="s">
        <v>145</v>
      </c>
      <c r="I99" s="24" t="s">
        <v>145</v>
      </c>
      <c r="J99" s="24" t="s">
        <v>145</v>
      </c>
      <c r="K99" s="24" t="s">
        <v>145</v>
      </c>
      <c r="L99" s="24" t="s">
        <v>24</v>
      </c>
      <c r="M99" s="24" t="s">
        <v>24</v>
      </c>
      <c r="N99" s="24" t="s">
        <v>24</v>
      </c>
      <c r="O99" s="24" t="s">
        <v>24</v>
      </c>
      <c r="P99" s="24" t="s">
        <v>24</v>
      </c>
      <c r="Q99" s="24" t="s">
        <v>145</v>
      </c>
      <c r="R99" s="24"/>
      <c r="S99" s="24"/>
      <c r="U99" s="745"/>
      <c r="AA99" s="149"/>
      <c r="AB99" s="88" t="s">
        <v>4584</v>
      </c>
    </row>
    <row r="100" spans="1:28" ht="14.25" customHeight="1">
      <c r="A100" s="24" t="s">
        <v>4770</v>
      </c>
      <c r="B100" s="23" t="s">
        <v>4771</v>
      </c>
      <c r="C100" s="149"/>
      <c r="D100" s="88" t="s">
        <v>145</v>
      </c>
      <c r="E100" s="88" t="s">
        <v>145</v>
      </c>
      <c r="F100" s="88" t="s">
        <v>148</v>
      </c>
      <c r="G100" s="88" t="s">
        <v>148</v>
      </c>
      <c r="H100" s="24" t="s">
        <v>145</v>
      </c>
      <c r="I100" s="24" t="s">
        <v>145</v>
      </c>
      <c r="J100" s="24" t="s">
        <v>145</v>
      </c>
      <c r="K100" s="24" t="s">
        <v>145</v>
      </c>
      <c r="L100" s="24" t="s">
        <v>24</v>
      </c>
      <c r="M100" s="24" t="s">
        <v>24</v>
      </c>
      <c r="N100" s="24" t="s">
        <v>24</v>
      </c>
      <c r="O100" s="24" t="s">
        <v>24</v>
      </c>
      <c r="P100" s="24" t="s">
        <v>24</v>
      </c>
      <c r="Q100" s="24" t="s">
        <v>145</v>
      </c>
      <c r="R100" s="24"/>
      <c r="S100" s="24"/>
      <c r="U100" s="745"/>
      <c r="AA100" s="149"/>
      <c r="AB100" s="88" t="s">
        <v>4584</v>
      </c>
    </row>
    <row r="101" spans="1:28" ht="11.25">
      <c r="A101" s="88" t="s">
        <v>6459</v>
      </c>
      <c r="B101" s="149" t="s">
        <v>4772</v>
      </c>
      <c r="C101" s="149"/>
      <c r="D101" s="88" t="s">
        <v>145</v>
      </c>
      <c r="E101" s="88" t="s">
        <v>145</v>
      </c>
      <c r="F101" s="24" t="s">
        <v>145</v>
      </c>
      <c r="G101" s="24" t="s">
        <v>145</v>
      </c>
      <c r="H101" s="24" t="s">
        <v>145</v>
      </c>
      <c r="I101" s="88" t="s">
        <v>148</v>
      </c>
      <c r="J101" s="24" t="s">
        <v>145</v>
      </c>
      <c r="K101" s="24" t="s">
        <v>145</v>
      </c>
      <c r="L101" s="24" t="s">
        <v>145</v>
      </c>
      <c r="M101" s="24" t="s">
        <v>145</v>
      </c>
      <c r="N101" s="24" t="s">
        <v>148</v>
      </c>
      <c r="O101" s="24" t="s">
        <v>148</v>
      </c>
      <c r="P101" s="24" t="s">
        <v>148</v>
      </c>
      <c r="Q101" s="24" t="s">
        <v>145</v>
      </c>
      <c r="R101" s="149"/>
      <c r="S101" s="149"/>
      <c r="U101" s="18"/>
      <c r="AA101" s="149"/>
      <c r="AB101" s="88" t="s">
        <v>4773</v>
      </c>
    </row>
    <row r="102" spans="1:28" ht="11.25">
      <c r="A102" s="88" t="s">
        <v>4774</v>
      </c>
      <c r="B102" s="149" t="s">
        <v>4775</v>
      </c>
      <c r="C102" s="149"/>
      <c r="D102" s="88" t="s">
        <v>145</v>
      </c>
      <c r="E102" s="88" t="s">
        <v>145</v>
      </c>
      <c r="F102" s="24" t="s">
        <v>145</v>
      </c>
      <c r="G102" s="24" t="s">
        <v>145</v>
      </c>
      <c r="H102" s="24" t="s">
        <v>145</v>
      </c>
      <c r="I102" s="88" t="s">
        <v>148</v>
      </c>
      <c r="J102" s="24" t="s">
        <v>145</v>
      </c>
      <c r="K102" s="24" t="s">
        <v>145</v>
      </c>
      <c r="L102" s="24" t="s">
        <v>145</v>
      </c>
      <c r="M102" s="24" t="s">
        <v>145</v>
      </c>
      <c r="N102" s="24" t="s">
        <v>148</v>
      </c>
      <c r="O102" s="24" t="s">
        <v>148</v>
      </c>
      <c r="P102" s="24" t="s">
        <v>148</v>
      </c>
      <c r="Q102" s="24" t="s">
        <v>145</v>
      </c>
      <c r="R102" s="149"/>
      <c r="S102" s="149"/>
      <c r="U102" s="18"/>
      <c r="AA102" s="149"/>
      <c r="AB102" s="88" t="s">
        <v>4773</v>
      </c>
    </row>
    <row r="103" spans="1:28" ht="11.25">
      <c r="A103" s="88" t="s">
        <v>4776</v>
      </c>
      <c r="B103" s="149" t="s">
        <v>4777</v>
      </c>
      <c r="C103" s="149"/>
      <c r="D103" s="88" t="s">
        <v>145</v>
      </c>
      <c r="E103" s="88" t="s">
        <v>145</v>
      </c>
      <c r="F103" s="24" t="s">
        <v>145</v>
      </c>
      <c r="G103" s="24" t="s">
        <v>145</v>
      </c>
      <c r="H103" s="24" t="s">
        <v>145</v>
      </c>
      <c r="I103" s="88" t="s">
        <v>148</v>
      </c>
      <c r="J103" s="24" t="s">
        <v>145</v>
      </c>
      <c r="K103" s="24" t="s">
        <v>145</v>
      </c>
      <c r="L103" s="24" t="s">
        <v>145</v>
      </c>
      <c r="M103" s="24" t="s">
        <v>145</v>
      </c>
      <c r="N103" s="24" t="s">
        <v>148</v>
      </c>
      <c r="O103" s="24" t="s">
        <v>148</v>
      </c>
      <c r="P103" s="24" t="s">
        <v>148</v>
      </c>
      <c r="Q103" s="24" t="s">
        <v>145</v>
      </c>
      <c r="R103" s="149"/>
      <c r="S103" s="149"/>
      <c r="U103" s="18"/>
      <c r="AA103" s="149"/>
      <c r="AB103" s="88" t="s">
        <v>4773</v>
      </c>
    </row>
    <row r="104" spans="1:28" ht="11.25">
      <c r="A104" s="88" t="s">
        <v>4778</v>
      </c>
      <c r="B104" s="149" t="s">
        <v>4779</v>
      </c>
      <c r="C104" s="149"/>
      <c r="D104" s="88" t="s">
        <v>145</v>
      </c>
      <c r="E104" s="88" t="s">
        <v>145</v>
      </c>
      <c r="F104" s="24" t="s">
        <v>145</v>
      </c>
      <c r="G104" s="24" t="s">
        <v>145</v>
      </c>
      <c r="H104" s="24" t="s">
        <v>145</v>
      </c>
      <c r="I104" s="88" t="s">
        <v>148</v>
      </c>
      <c r="J104" s="24" t="s">
        <v>145</v>
      </c>
      <c r="K104" s="24" t="s">
        <v>145</v>
      </c>
      <c r="L104" s="24" t="s">
        <v>145</v>
      </c>
      <c r="M104" s="24" t="s">
        <v>145</v>
      </c>
      <c r="N104" s="24" t="s">
        <v>148</v>
      </c>
      <c r="O104" s="24" t="s">
        <v>148</v>
      </c>
      <c r="P104" s="24" t="s">
        <v>148</v>
      </c>
      <c r="Q104" s="24" t="s">
        <v>145</v>
      </c>
      <c r="R104" s="149"/>
      <c r="S104" s="149"/>
      <c r="U104" s="18"/>
      <c r="AA104" s="149"/>
      <c r="AB104" s="88" t="s">
        <v>4773</v>
      </c>
    </row>
    <row r="105" spans="1:28" ht="11.25">
      <c r="A105" s="88" t="s">
        <v>6468</v>
      </c>
      <c r="B105" s="601" t="s">
        <v>4780</v>
      </c>
      <c r="C105" s="149"/>
      <c r="D105" s="88" t="s">
        <v>145</v>
      </c>
      <c r="E105" s="88" t="s">
        <v>145</v>
      </c>
      <c r="F105" s="88" t="s">
        <v>11</v>
      </c>
      <c r="G105" s="88" t="s">
        <v>24</v>
      </c>
      <c r="H105" s="88" t="s">
        <v>11</v>
      </c>
      <c r="I105" s="88" t="s">
        <v>11</v>
      </c>
      <c r="J105" s="88" t="s">
        <v>11</v>
      </c>
      <c r="K105" s="88" t="s">
        <v>11</v>
      </c>
      <c r="L105" s="88" t="s">
        <v>11</v>
      </c>
      <c r="M105" s="88" t="s">
        <v>11</v>
      </c>
      <c r="N105" s="88" t="s">
        <v>24</v>
      </c>
      <c r="O105" s="88" t="s">
        <v>24</v>
      </c>
      <c r="P105" s="88" t="s">
        <v>24</v>
      </c>
      <c r="Q105" s="88" t="s">
        <v>11</v>
      </c>
      <c r="R105" s="149"/>
      <c r="S105" s="149"/>
      <c r="U105" s="18"/>
      <c r="AA105" s="149"/>
      <c r="AB105" s="88" t="s">
        <v>4773</v>
      </c>
    </row>
    <row r="106" spans="1:28" ht="11.25">
      <c r="A106" s="88" t="s">
        <v>4781</v>
      </c>
      <c r="B106" s="601" t="s">
        <v>4782</v>
      </c>
      <c r="C106" s="149"/>
      <c r="D106" s="88" t="s">
        <v>145</v>
      </c>
      <c r="E106" s="88" t="s">
        <v>145</v>
      </c>
      <c r="F106" s="88" t="s">
        <v>24</v>
      </c>
      <c r="G106" s="88" t="s">
        <v>11</v>
      </c>
      <c r="H106" s="88" t="s">
        <v>11</v>
      </c>
      <c r="I106" s="88" t="s">
        <v>11</v>
      </c>
      <c r="J106" s="88" t="s">
        <v>11</v>
      </c>
      <c r="K106" s="88" t="s">
        <v>11</v>
      </c>
      <c r="L106" s="88" t="s">
        <v>11</v>
      </c>
      <c r="M106" s="88" t="s">
        <v>11</v>
      </c>
      <c r="N106" s="88" t="s">
        <v>24</v>
      </c>
      <c r="O106" s="88" t="s">
        <v>24</v>
      </c>
      <c r="P106" s="88" t="s">
        <v>24</v>
      </c>
      <c r="Q106" s="88" t="s">
        <v>11</v>
      </c>
      <c r="R106" s="149"/>
      <c r="S106" s="149"/>
      <c r="U106" s="18"/>
      <c r="AA106" s="149"/>
      <c r="AB106" s="88" t="s">
        <v>4773</v>
      </c>
    </row>
    <row r="107" spans="1:28">
      <c r="A107" s="88" t="s">
        <v>4783</v>
      </c>
      <c r="B107" s="149" t="s">
        <v>4784</v>
      </c>
      <c r="C107" s="149"/>
      <c r="D107" s="88" t="s">
        <v>145</v>
      </c>
      <c r="E107" s="88" t="s">
        <v>145</v>
      </c>
      <c r="F107" s="88" t="s">
        <v>24</v>
      </c>
      <c r="G107" s="88" t="s">
        <v>11</v>
      </c>
      <c r="H107" s="88" t="s">
        <v>11</v>
      </c>
      <c r="I107" s="88" t="s">
        <v>11</v>
      </c>
      <c r="J107" s="88" t="s">
        <v>11</v>
      </c>
      <c r="K107" s="88" t="s">
        <v>11</v>
      </c>
      <c r="L107" s="88" t="s">
        <v>11</v>
      </c>
      <c r="M107" s="88" t="s">
        <v>11</v>
      </c>
      <c r="N107" s="88" t="s">
        <v>24</v>
      </c>
      <c r="O107" s="88" t="s">
        <v>24</v>
      </c>
      <c r="P107" s="88" t="s">
        <v>24</v>
      </c>
      <c r="Q107" s="88" t="s">
        <v>11</v>
      </c>
      <c r="R107" s="149"/>
      <c r="S107" s="149"/>
      <c r="AA107" s="149"/>
      <c r="AB107" s="88" t="s">
        <v>4773</v>
      </c>
    </row>
    <row r="108" spans="1:28">
      <c r="A108" s="88" t="s">
        <v>4785</v>
      </c>
      <c r="B108" s="149" t="s">
        <v>4786</v>
      </c>
      <c r="C108" s="149"/>
      <c r="D108" s="88" t="s">
        <v>145</v>
      </c>
      <c r="E108" s="88" t="s">
        <v>145</v>
      </c>
      <c r="F108" s="88" t="s">
        <v>24</v>
      </c>
      <c r="G108" s="88" t="s">
        <v>11</v>
      </c>
      <c r="H108" s="88" t="s">
        <v>11</v>
      </c>
      <c r="I108" s="88" t="s">
        <v>11</v>
      </c>
      <c r="J108" s="88" t="s">
        <v>11</v>
      </c>
      <c r="K108" s="88" t="s">
        <v>11</v>
      </c>
      <c r="L108" s="88" t="s">
        <v>11</v>
      </c>
      <c r="M108" s="88" t="s">
        <v>11</v>
      </c>
      <c r="N108" s="88" t="s">
        <v>24</v>
      </c>
      <c r="O108" s="88" t="s">
        <v>24</v>
      </c>
      <c r="P108" s="88" t="s">
        <v>24</v>
      </c>
      <c r="Q108" s="88" t="s">
        <v>11</v>
      </c>
      <c r="R108" s="149"/>
      <c r="S108" s="149"/>
      <c r="AA108" s="149"/>
      <c r="AB108" s="88" t="s">
        <v>4773</v>
      </c>
    </row>
    <row r="109" spans="1:28">
      <c r="A109" s="88" t="s">
        <v>4787</v>
      </c>
      <c r="B109" s="149" t="s">
        <v>4788</v>
      </c>
      <c r="C109" s="149"/>
      <c r="D109" s="88" t="s">
        <v>145</v>
      </c>
      <c r="E109" s="88" t="s">
        <v>145</v>
      </c>
      <c r="F109" s="88" t="s">
        <v>24</v>
      </c>
      <c r="G109" s="88" t="s">
        <v>11</v>
      </c>
      <c r="H109" s="88" t="s">
        <v>11</v>
      </c>
      <c r="I109" s="88" t="s">
        <v>11</v>
      </c>
      <c r="J109" s="88" t="s">
        <v>11</v>
      </c>
      <c r="K109" s="88" t="s">
        <v>11</v>
      </c>
      <c r="L109" s="88" t="s">
        <v>11</v>
      </c>
      <c r="M109" s="88" t="s">
        <v>11</v>
      </c>
      <c r="N109" s="88" t="s">
        <v>24</v>
      </c>
      <c r="O109" s="88" t="s">
        <v>24</v>
      </c>
      <c r="P109" s="88" t="s">
        <v>24</v>
      </c>
      <c r="Q109" s="88" t="s">
        <v>11</v>
      </c>
      <c r="R109" s="149"/>
      <c r="S109" s="149"/>
      <c r="AA109" s="149"/>
      <c r="AB109" s="88" t="s">
        <v>4773</v>
      </c>
    </row>
    <row r="110" spans="1:28">
      <c r="A110" s="42" t="s">
        <v>4789</v>
      </c>
      <c r="B110" s="149" t="s">
        <v>4790</v>
      </c>
      <c r="C110" s="149"/>
      <c r="D110" s="88" t="s">
        <v>145</v>
      </c>
      <c r="E110" s="88" t="s">
        <v>145</v>
      </c>
      <c r="F110" s="88" t="s">
        <v>24</v>
      </c>
      <c r="G110" s="88" t="s">
        <v>11</v>
      </c>
      <c r="H110" s="88" t="s">
        <v>11</v>
      </c>
      <c r="I110" s="88" t="s">
        <v>11</v>
      </c>
      <c r="J110" s="88" t="s">
        <v>11</v>
      </c>
      <c r="K110" s="88" t="s">
        <v>11</v>
      </c>
      <c r="L110" s="88" t="s">
        <v>11</v>
      </c>
      <c r="M110" s="88" t="s">
        <v>11</v>
      </c>
      <c r="N110" s="88" t="s">
        <v>24</v>
      </c>
      <c r="O110" s="88" t="s">
        <v>24</v>
      </c>
      <c r="P110" s="88" t="s">
        <v>24</v>
      </c>
      <c r="Q110" s="88" t="s">
        <v>11</v>
      </c>
      <c r="R110" s="149"/>
      <c r="S110" s="149"/>
      <c r="AA110" s="149"/>
      <c r="AB110" s="88" t="s">
        <v>4773</v>
      </c>
    </row>
    <row r="111" spans="1:28">
      <c r="A111" s="42" t="s">
        <v>4791</v>
      </c>
      <c r="B111" s="149" t="s">
        <v>4792</v>
      </c>
      <c r="C111" s="149"/>
      <c r="D111" s="88" t="s">
        <v>145</v>
      </c>
      <c r="E111" s="88" t="s">
        <v>145</v>
      </c>
      <c r="F111" s="88" t="s">
        <v>24</v>
      </c>
      <c r="G111" s="88" t="s">
        <v>11</v>
      </c>
      <c r="H111" s="88" t="s">
        <v>11</v>
      </c>
      <c r="I111" s="88" t="s">
        <v>11</v>
      </c>
      <c r="J111" s="88" t="s">
        <v>11</v>
      </c>
      <c r="K111" s="88" t="s">
        <v>11</v>
      </c>
      <c r="L111" s="88" t="s">
        <v>11</v>
      </c>
      <c r="M111" s="88" t="s">
        <v>11</v>
      </c>
      <c r="N111" s="88" t="s">
        <v>24</v>
      </c>
      <c r="O111" s="88" t="s">
        <v>24</v>
      </c>
      <c r="P111" s="88" t="s">
        <v>24</v>
      </c>
      <c r="Q111" s="88" t="s">
        <v>11</v>
      </c>
      <c r="R111" s="149"/>
      <c r="S111" s="149"/>
      <c r="AA111" s="149"/>
      <c r="AB111" s="88" t="s">
        <v>4773</v>
      </c>
    </row>
    <row r="112" spans="1:28">
      <c r="A112" s="42" t="s">
        <v>4793</v>
      </c>
      <c r="B112" s="149" t="s">
        <v>4794</v>
      </c>
      <c r="C112" s="149"/>
      <c r="D112" s="88" t="s">
        <v>145</v>
      </c>
      <c r="E112" s="88" t="s">
        <v>145</v>
      </c>
      <c r="F112" s="88" t="s">
        <v>24</v>
      </c>
      <c r="G112" s="88" t="s">
        <v>11</v>
      </c>
      <c r="H112" s="88" t="s">
        <v>11</v>
      </c>
      <c r="I112" s="88" t="s">
        <v>11</v>
      </c>
      <c r="J112" s="88" t="s">
        <v>11</v>
      </c>
      <c r="K112" s="88" t="s">
        <v>11</v>
      </c>
      <c r="L112" s="88" t="s">
        <v>11</v>
      </c>
      <c r="M112" s="88" t="s">
        <v>11</v>
      </c>
      <c r="N112" s="88" t="s">
        <v>24</v>
      </c>
      <c r="O112" s="88" t="s">
        <v>24</v>
      </c>
      <c r="P112" s="88" t="s">
        <v>24</v>
      </c>
      <c r="Q112" s="88" t="s">
        <v>11</v>
      </c>
      <c r="R112" s="149"/>
      <c r="S112" s="149"/>
      <c r="AA112" s="149"/>
      <c r="AB112" s="88" t="s">
        <v>4773</v>
      </c>
    </row>
    <row r="113" spans="1:28">
      <c r="A113" s="42" t="s">
        <v>4795</v>
      </c>
      <c r="B113" s="149" t="s">
        <v>4796</v>
      </c>
      <c r="C113" s="149"/>
      <c r="D113" s="88" t="s">
        <v>145</v>
      </c>
      <c r="E113" s="88" t="s">
        <v>145</v>
      </c>
      <c r="F113" s="88" t="s">
        <v>24</v>
      </c>
      <c r="G113" s="88" t="s">
        <v>11</v>
      </c>
      <c r="H113" s="88" t="s">
        <v>11</v>
      </c>
      <c r="I113" s="88" t="s">
        <v>11</v>
      </c>
      <c r="J113" s="88" t="s">
        <v>11</v>
      </c>
      <c r="K113" s="88" t="s">
        <v>11</v>
      </c>
      <c r="L113" s="88" t="s">
        <v>11</v>
      </c>
      <c r="M113" s="88" t="s">
        <v>11</v>
      </c>
      <c r="N113" s="88" t="s">
        <v>24</v>
      </c>
      <c r="O113" s="88" t="s">
        <v>24</v>
      </c>
      <c r="P113" s="88" t="s">
        <v>24</v>
      </c>
      <c r="Q113" s="88" t="s">
        <v>11</v>
      </c>
      <c r="R113" s="149"/>
      <c r="S113" s="149"/>
      <c r="AA113" s="149"/>
      <c r="AB113" s="88" t="s">
        <v>4773</v>
      </c>
    </row>
    <row r="114" spans="1:28" ht="11.25">
      <c r="A114" s="24" t="s">
        <v>4797</v>
      </c>
      <c r="B114" s="23" t="s">
        <v>4798</v>
      </c>
      <c r="C114" s="149"/>
      <c r="D114" s="88" t="s">
        <v>145</v>
      </c>
      <c r="E114" s="88" t="s">
        <v>145</v>
      </c>
      <c r="F114" s="24" t="s">
        <v>145</v>
      </c>
      <c r="G114" s="24" t="s">
        <v>145</v>
      </c>
      <c r="H114" s="24" t="s">
        <v>145</v>
      </c>
      <c r="I114" s="24" t="s">
        <v>145</v>
      </c>
      <c r="J114" s="24" t="s">
        <v>145</v>
      </c>
      <c r="K114" s="24" t="s">
        <v>145</v>
      </c>
      <c r="L114" s="24" t="s">
        <v>145</v>
      </c>
      <c r="M114" s="24" t="s">
        <v>145</v>
      </c>
      <c r="N114" s="24" t="s">
        <v>145</v>
      </c>
      <c r="O114" s="24" t="s">
        <v>145</v>
      </c>
      <c r="P114" s="24" t="s">
        <v>145</v>
      </c>
      <c r="Q114" s="24" t="s">
        <v>145</v>
      </c>
      <c r="R114" s="24"/>
      <c r="S114" s="149"/>
      <c r="U114" s="18"/>
      <c r="AA114" s="746" t="s">
        <v>4583</v>
      </c>
      <c r="AB114" s="88" t="s">
        <v>4584</v>
      </c>
    </row>
    <row r="115" spans="1:28" ht="11.25">
      <c r="A115" s="175" t="s">
        <v>4799</v>
      </c>
      <c r="B115" s="172" t="s">
        <v>4800</v>
      </c>
      <c r="C115" s="176"/>
      <c r="D115" s="744" t="s">
        <v>145</v>
      </c>
      <c r="E115" s="744" t="s">
        <v>145</v>
      </c>
      <c r="F115" s="24" t="s">
        <v>145</v>
      </c>
      <c r="G115" s="24" t="s">
        <v>145</v>
      </c>
      <c r="H115" s="24" t="s">
        <v>145</v>
      </c>
      <c r="I115" s="24" t="s">
        <v>145</v>
      </c>
      <c r="J115" s="24" t="s">
        <v>145</v>
      </c>
      <c r="K115" s="24" t="s">
        <v>145</v>
      </c>
      <c r="L115" s="24" t="s">
        <v>145</v>
      </c>
      <c r="M115" s="24" t="s">
        <v>145</v>
      </c>
      <c r="N115" s="24" t="s">
        <v>145</v>
      </c>
      <c r="O115" s="24" t="s">
        <v>145</v>
      </c>
      <c r="P115" s="24" t="s">
        <v>145</v>
      </c>
      <c r="Q115" s="24" t="s">
        <v>145</v>
      </c>
      <c r="R115" s="24"/>
      <c r="S115" s="149"/>
      <c r="U115" s="18"/>
      <c r="AA115" s="746" t="s">
        <v>4583</v>
      </c>
      <c r="AB115" s="88" t="s">
        <v>4584</v>
      </c>
    </row>
    <row r="116" spans="1:28" ht="11.25">
      <c r="A116" s="551" t="s">
        <v>4801</v>
      </c>
      <c r="B116" s="552" t="s">
        <v>4802</v>
      </c>
      <c r="C116" s="149"/>
      <c r="D116" s="88" t="s">
        <v>145</v>
      </c>
      <c r="E116" s="88" t="s">
        <v>145</v>
      </c>
      <c r="F116" s="24" t="s">
        <v>145</v>
      </c>
      <c r="G116" s="24" t="s">
        <v>145</v>
      </c>
      <c r="H116" s="24" t="s">
        <v>145</v>
      </c>
      <c r="I116" s="24" t="s">
        <v>145</v>
      </c>
      <c r="J116" s="24" t="s">
        <v>145</v>
      </c>
      <c r="K116" s="24" t="s">
        <v>145</v>
      </c>
      <c r="L116" s="24" t="s">
        <v>145</v>
      </c>
      <c r="M116" s="24" t="s">
        <v>145</v>
      </c>
      <c r="N116" s="24" t="s">
        <v>145</v>
      </c>
      <c r="O116" s="24" t="s">
        <v>145</v>
      </c>
      <c r="P116" s="24" t="s">
        <v>145</v>
      </c>
      <c r="Q116" s="24" t="s">
        <v>145</v>
      </c>
      <c r="R116" s="24"/>
      <c r="S116" s="149"/>
      <c r="U116" s="18"/>
      <c r="AA116" s="746" t="s">
        <v>4583</v>
      </c>
      <c r="AB116" s="88" t="s">
        <v>4584</v>
      </c>
    </row>
    <row r="117" spans="1:28" ht="11.25">
      <c r="A117" s="600" t="s">
        <v>4803</v>
      </c>
      <c r="B117" s="654" t="s">
        <v>4804</v>
      </c>
      <c r="C117" s="149"/>
      <c r="D117" s="88" t="s">
        <v>145</v>
      </c>
      <c r="E117" s="24" t="s">
        <v>145</v>
      </c>
      <c r="F117" s="24" t="s">
        <v>145</v>
      </c>
      <c r="G117" s="24" t="s">
        <v>145</v>
      </c>
      <c r="H117" s="24" t="s">
        <v>145</v>
      </c>
      <c r="I117" s="88" t="s">
        <v>148</v>
      </c>
      <c r="J117" s="24" t="s">
        <v>145</v>
      </c>
      <c r="K117" s="24" t="s">
        <v>145</v>
      </c>
      <c r="L117" s="24" t="s">
        <v>145</v>
      </c>
      <c r="M117" s="24" t="s">
        <v>148</v>
      </c>
      <c r="N117" s="24" t="s">
        <v>148</v>
      </c>
      <c r="O117" s="24" t="s">
        <v>148</v>
      </c>
      <c r="P117" s="24" t="s">
        <v>148</v>
      </c>
      <c r="Q117" s="24" t="s">
        <v>145</v>
      </c>
      <c r="R117" s="149"/>
      <c r="S117" s="149"/>
      <c r="U117" s="18"/>
      <c r="AA117" s="149"/>
      <c r="AB117" s="88" t="s">
        <v>4584</v>
      </c>
    </row>
    <row r="118" spans="1:28" ht="11.25">
      <c r="A118" s="252" t="s">
        <v>4805</v>
      </c>
      <c r="B118" s="254" t="s">
        <v>4806</v>
      </c>
      <c r="C118" s="149"/>
      <c r="D118" s="88" t="s">
        <v>145</v>
      </c>
      <c r="E118" s="88" t="s">
        <v>148</v>
      </c>
      <c r="F118" s="24" t="s">
        <v>24</v>
      </c>
      <c r="G118" s="24" t="s">
        <v>145</v>
      </c>
      <c r="H118" s="24" t="s">
        <v>145</v>
      </c>
      <c r="I118" s="24" t="s">
        <v>145</v>
      </c>
      <c r="J118" s="24" t="s">
        <v>145</v>
      </c>
      <c r="K118" s="24" t="s">
        <v>145</v>
      </c>
      <c r="L118" s="24" t="s">
        <v>148</v>
      </c>
      <c r="M118" s="24" t="s">
        <v>148</v>
      </c>
      <c r="N118" s="24" t="s">
        <v>148</v>
      </c>
      <c r="O118" s="24" t="s">
        <v>148</v>
      </c>
      <c r="P118" s="24" t="s">
        <v>148</v>
      </c>
      <c r="Q118" s="24" t="s">
        <v>145</v>
      </c>
      <c r="R118" s="149"/>
      <c r="S118" s="149"/>
      <c r="U118" s="18"/>
      <c r="AA118" s="88"/>
      <c r="AB118" s="88" t="s">
        <v>4584</v>
      </c>
    </row>
    <row r="119" spans="1:28" ht="11.25">
      <c r="A119" s="600" t="s">
        <v>4807</v>
      </c>
      <c r="B119" s="654" t="s">
        <v>4808</v>
      </c>
      <c r="C119" s="149"/>
      <c r="D119" s="88" t="s">
        <v>145</v>
      </c>
      <c r="E119" s="24" t="s">
        <v>145</v>
      </c>
      <c r="F119" s="24" t="s">
        <v>145</v>
      </c>
      <c r="G119" s="24" t="s">
        <v>145</v>
      </c>
      <c r="H119" s="24" t="s">
        <v>145</v>
      </c>
      <c r="I119" s="88" t="s">
        <v>148</v>
      </c>
      <c r="J119" s="24" t="s">
        <v>145</v>
      </c>
      <c r="K119" s="24" t="s">
        <v>145</v>
      </c>
      <c r="L119" s="24" t="s">
        <v>145</v>
      </c>
      <c r="M119" s="24" t="s">
        <v>148</v>
      </c>
      <c r="N119" s="24" t="s">
        <v>148</v>
      </c>
      <c r="O119" s="24" t="s">
        <v>148</v>
      </c>
      <c r="P119" s="24" t="s">
        <v>148</v>
      </c>
      <c r="Q119" s="24" t="s">
        <v>145</v>
      </c>
      <c r="R119" s="149"/>
      <c r="S119" s="149"/>
      <c r="U119" s="18"/>
      <c r="AA119" s="149"/>
      <c r="AB119" s="88" t="s">
        <v>4584</v>
      </c>
    </row>
    <row r="120" spans="1:28" ht="11.25">
      <c r="A120" s="88" t="s">
        <v>4809</v>
      </c>
      <c r="B120" s="790" t="s">
        <v>4810</v>
      </c>
      <c r="C120" s="149"/>
      <c r="D120" s="88" t="s">
        <v>148</v>
      </c>
      <c r="E120" s="88" t="s">
        <v>148</v>
      </c>
      <c r="F120" s="24" t="s">
        <v>148</v>
      </c>
      <c r="G120" s="24" t="s">
        <v>145</v>
      </c>
      <c r="H120" s="24" t="s">
        <v>145</v>
      </c>
      <c r="I120" s="24" t="s">
        <v>145</v>
      </c>
      <c r="J120" s="24" t="s">
        <v>145</v>
      </c>
      <c r="K120" s="24" t="s">
        <v>145</v>
      </c>
      <c r="L120" s="24" t="s">
        <v>145</v>
      </c>
      <c r="M120" s="24" t="s">
        <v>145</v>
      </c>
      <c r="N120" s="24" t="s">
        <v>148</v>
      </c>
      <c r="O120" s="24" t="s">
        <v>148</v>
      </c>
      <c r="P120" s="24" t="s">
        <v>148</v>
      </c>
      <c r="Q120" s="24" t="s">
        <v>145</v>
      </c>
      <c r="R120" s="149"/>
      <c r="S120" s="149"/>
      <c r="U120" s="18"/>
      <c r="AA120" s="149"/>
      <c r="AB120" s="88" t="s">
        <v>4811</v>
      </c>
    </row>
    <row r="121" spans="1:28" ht="11.25">
      <c r="A121" s="88" t="s">
        <v>4812</v>
      </c>
      <c r="B121" s="790" t="s">
        <v>4813</v>
      </c>
      <c r="C121" s="149"/>
      <c r="D121" s="88" t="s">
        <v>148</v>
      </c>
      <c r="E121" s="88" t="s">
        <v>148</v>
      </c>
      <c r="F121" s="24" t="s">
        <v>148</v>
      </c>
      <c r="G121" s="24" t="s">
        <v>148</v>
      </c>
      <c r="H121" s="24" t="s">
        <v>145</v>
      </c>
      <c r="I121" s="24" t="s">
        <v>145</v>
      </c>
      <c r="J121" s="24" t="s">
        <v>145</v>
      </c>
      <c r="K121" s="24" t="s">
        <v>145</v>
      </c>
      <c r="L121" s="24" t="s">
        <v>145</v>
      </c>
      <c r="M121" s="24" t="s">
        <v>145</v>
      </c>
      <c r="N121" s="24" t="s">
        <v>148</v>
      </c>
      <c r="O121" s="24" t="s">
        <v>148</v>
      </c>
      <c r="P121" s="24" t="s">
        <v>148</v>
      </c>
      <c r="Q121" s="24" t="s">
        <v>145</v>
      </c>
      <c r="R121" s="149"/>
      <c r="S121" s="149"/>
      <c r="U121" s="18"/>
      <c r="AA121" s="149"/>
      <c r="AB121" s="88" t="s">
        <v>4811</v>
      </c>
    </row>
    <row r="122" spans="1:28" ht="11.25">
      <c r="A122" s="88" t="s">
        <v>4814</v>
      </c>
      <c r="B122" s="790" t="s">
        <v>4815</v>
      </c>
      <c r="C122" s="149"/>
      <c r="D122" s="88" t="s">
        <v>148</v>
      </c>
      <c r="E122" s="88" t="s">
        <v>148</v>
      </c>
      <c r="F122" s="24" t="s">
        <v>148</v>
      </c>
      <c r="G122" s="24" t="s">
        <v>145</v>
      </c>
      <c r="H122" s="24" t="s">
        <v>145</v>
      </c>
      <c r="I122" s="24" t="s">
        <v>145</v>
      </c>
      <c r="J122" s="24" t="s">
        <v>145</v>
      </c>
      <c r="K122" s="24" t="s">
        <v>145</v>
      </c>
      <c r="L122" s="24" t="s">
        <v>145</v>
      </c>
      <c r="M122" s="24" t="s">
        <v>145</v>
      </c>
      <c r="N122" s="24" t="s">
        <v>148</v>
      </c>
      <c r="O122" s="24" t="s">
        <v>148</v>
      </c>
      <c r="P122" s="24" t="s">
        <v>148</v>
      </c>
      <c r="Q122" s="24" t="s">
        <v>145</v>
      </c>
      <c r="R122" s="149"/>
      <c r="S122" s="149"/>
      <c r="U122" s="18"/>
      <c r="AA122" s="149"/>
      <c r="AB122" s="88" t="s">
        <v>4811</v>
      </c>
    </row>
    <row r="123" spans="1:28" ht="11.25">
      <c r="A123" s="88" t="s">
        <v>4816</v>
      </c>
      <c r="B123" s="790" t="s">
        <v>4817</v>
      </c>
      <c r="C123" s="149"/>
      <c r="D123" s="88" t="s">
        <v>148</v>
      </c>
      <c r="E123" s="88" t="s">
        <v>148</v>
      </c>
      <c r="F123" s="24" t="s">
        <v>148</v>
      </c>
      <c r="G123" s="24" t="s">
        <v>145</v>
      </c>
      <c r="H123" s="24" t="s">
        <v>145</v>
      </c>
      <c r="I123" s="24" t="s">
        <v>145</v>
      </c>
      <c r="J123" s="24" t="s">
        <v>145</v>
      </c>
      <c r="K123" s="24" t="s">
        <v>145</v>
      </c>
      <c r="L123" s="24" t="s">
        <v>145</v>
      </c>
      <c r="M123" s="24" t="s">
        <v>145</v>
      </c>
      <c r="N123" s="24" t="s">
        <v>148</v>
      </c>
      <c r="O123" s="24" t="s">
        <v>148</v>
      </c>
      <c r="P123" s="24" t="s">
        <v>148</v>
      </c>
      <c r="Q123" s="24" t="s">
        <v>145</v>
      </c>
      <c r="R123" s="149"/>
      <c r="S123" s="149"/>
      <c r="U123" s="18"/>
      <c r="AA123" s="149"/>
      <c r="AB123" s="88" t="s">
        <v>4811</v>
      </c>
    </row>
    <row r="124" spans="1:28" ht="11.25">
      <c r="A124" s="88" t="s">
        <v>4818</v>
      </c>
      <c r="B124" s="790" t="s">
        <v>4819</v>
      </c>
      <c r="C124" s="149"/>
      <c r="D124" s="88" t="s">
        <v>148</v>
      </c>
      <c r="E124" s="88" t="s">
        <v>148</v>
      </c>
      <c r="F124" s="24" t="s">
        <v>148</v>
      </c>
      <c r="G124" s="24" t="s">
        <v>145</v>
      </c>
      <c r="H124" s="24" t="s">
        <v>145</v>
      </c>
      <c r="I124" s="24" t="s">
        <v>145</v>
      </c>
      <c r="J124" s="24" t="s">
        <v>145</v>
      </c>
      <c r="K124" s="24" t="s">
        <v>145</v>
      </c>
      <c r="L124" s="24" t="s">
        <v>145</v>
      </c>
      <c r="M124" s="24" t="s">
        <v>145</v>
      </c>
      <c r="N124" s="24" t="s">
        <v>148</v>
      </c>
      <c r="O124" s="24" t="s">
        <v>148</v>
      </c>
      <c r="P124" s="24" t="s">
        <v>148</v>
      </c>
      <c r="Q124" s="24" t="s">
        <v>145</v>
      </c>
      <c r="R124" s="149"/>
      <c r="S124" s="149"/>
      <c r="U124" s="18"/>
      <c r="AA124" s="149"/>
      <c r="AB124" s="88" t="s">
        <v>4811</v>
      </c>
    </row>
    <row r="125" spans="1:28" ht="11.25">
      <c r="A125" s="88" t="s">
        <v>4820</v>
      </c>
      <c r="B125" s="790" t="s">
        <v>4821</v>
      </c>
      <c r="C125" s="149"/>
      <c r="D125" s="88" t="s">
        <v>148</v>
      </c>
      <c r="E125" s="88" t="s">
        <v>148</v>
      </c>
      <c r="F125" s="24" t="s">
        <v>148</v>
      </c>
      <c r="G125" s="24" t="s">
        <v>145</v>
      </c>
      <c r="H125" s="24" t="s">
        <v>145</v>
      </c>
      <c r="I125" s="24" t="s">
        <v>145</v>
      </c>
      <c r="J125" s="24" t="s">
        <v>145</v>
      </c>
      <c r="K125" s="24" t="s">
        <v>145</v>
      </c>
      <c r="L125" s="24" t="s">
        <v>145</v>
      </c>
      <c r="M125" s="24" t="s">
        <v>145</v>
      </c>
      <c r="N125" s="24" t="s">
        <v>148</v>
      </c>
      <c r="O125" s="24" t="s">
        <v>148</v>
      </c>
      <c r="P125" s="24" t="s">
        <v>148</v>
      </c>
      <c r="Q125" s="24" t="s">
        <v>145</v>
      </c>
      <c r="R125" s="149"/>
      <c r="S125" s="149"/>
      <c r="U125" s="18"/>
      <c r="AA125" s="149"/>
      <c r="AB125" s="88" t="s">
        <v>4811</v>
      </c>
    </row>
    <row r="126" spans="1:28" ht="11.25">
      <c r="A126" s="88" t="s">
        <v>4822</v>
      </c>
      <c r="B126" s="790" t="s">
        <v>4823</v>
      </c>
      <c r="C126" s="149"/>
      <c r="D126" s="88" t="s">
        <v>148</v>
      </c>
      <c r="E126" s="88" t="s">
        <v>148</v>
      </c>
      <c r="F126" s="24" t="s">
        <v>148</v>
      </c>
      <c r="G126" s="24" t="s">
        <v>145</v>
      </c>
      <c r="H126" s="24" t="s">
        <v>145</v>
      </c>
      <c r="I126" s="24" t="s">
        <v>145</v>
      </c>
      <c r="J126" s="24" t="s">
        <v>145</v>
      </c>
      <c r="K126" s="24" t="s">
        <v>145</v>
      </c>
      <c r="L126" s="24" t="s">
        <v>145</v>
      </c>
      <c r="M126" s="24" t="s">
        <v>145</v>
      </c>
      <c r="N126" s="24" t="s">
        <v>148</v>
      </c>
      <c r="O126" s="24" t="s">
        <v>148</v>
      </c>
      <c r="P126" s="24" t="s">
        <v>148</v>
      </c>
      <c r="Q126" s="24" t="s">
        <v>145</v>
      </c>
      <c r="R126" s="149"/>
      <c r="S126" s="149"/>
      <c r="U126" s="18"/>
      <c r="AA126" s="149"/>
      <c r="AB126" s="88" t="s">
        <v>4811</v>
      </c>
    </row>
    <row r="127" spans="1:28" ht="11.25">
      <c r="A127" s="88" t="s">
        <v>4824</v>
      </c>
      <c r="B127" s="790" t="s">
        <v>4825</v>
      </c>
      <c r="C127" s="149"/>
      <c r="D127" s="88" t="s">
        <v>148</v>
      </c>
      <c r="E127" s="88" t="s">
        <v>148</v>
      </c>
      <c r="F127" s="24" t="s">
        <v>148</v>
      </c>
      <c r="G127" s="24" t="s">
        <v>145</v>
      </c>
      <c r="H127" s="24" t="s">
        <v>145</v>
      </c>
      <c r="I127" s="24" t="s">
        <v>145</v>
      </c>
      <c r="J127" s="24" t="s">
        <v>145</v>
      </c>
      <c r="K127" s="24" t="s">
        <v>145</v>
      </c>
      <c r="L127" s="24" t="s">
        <v>145</v>
      </c>
      <c r="M127" s="24" t="s">
        <v>145</v>
      </c>
      <c r="N127" s="24" t="s">
        <v>148</v>
      </c>
      <c r="O127" s="24" t="s">
        <v>148</v>
      </c>
      <c r="P127" s="24" t="s">
        <v>148</v>
      </c>
      <c r="Q127" s="24" t="s">
        <v>145</v>
      </c>
      <c r="R127" s="149"/>
      <c r="S127" s="149"/>
      <c r="U127" s="18"/>
      <c r="AA127" s="149"/>
      <c r="AB127" s="88" t="s">
        <v>4811</v>
      </c>
    </row>
    <row r="128" spans="1:28" ht="22.5">
      <c r="A128" s="88" t="s">
        <v>4826</v>
      </c>
      <c r="B128" s="791" t="s">
        <v>4827</v>
      </c>
      <c r="C128" s="149"/>
      <c r="D128" s="88" t="s">
        <v>148</v>
      </c>
      <c r="E128" s="88" t="s">
        <v>148</v>
      </c>
      <c r="F128" s="24" t="s">
        <v>148</v>
      </c>
      <c r="G128" s="24" t="s">
        <v>145</v>
      </c>
      <c r="H128" s="24" t="s">
        <v>145</v>
      </c>
      <c r="I128" s="24" t="s">
        <v>145</v>
      </c>
      <c r="J128" s="24" t="s">
        <v>145</v>
      </c>
      <c r="K128" s="24" t="s">
        <v>145</v>
      </c>
      <c r="L128" s="24" t="s">
        <v>145</v>
      </c>
      <c r="M128" s="24" t="s">
        <v>145</v>
      </c>
      <c r="N128" s="24" t="s">
        <v>148</v>
      </c>
      <c r="O128" s="24" t="s">
        <v>148</v>
      </c>
      <c r="P128" s="24" t="s">
        <v>148</v>
      </c>
      <c r="Q128" s="24" t="s">
        <v>145</v>
      </c>
      <c r="R128" s="149"/>
      <c r="S128" s="149"/>
      <c r="U128" s="745"/>
      <c r="AA128" s="149"/>
      <c r="AB128" s="88" t="s">
        <v>4811</v>
      </c>
    </row>
    <row r="129" spans="1:28">
      <c r="A129" s="88" t="s">
        <v>4828</v>
      </c>
      <c r="B129" s="792" t="s">
        <v>4829</v>
      </c>
      <c r="C129" s="149"/>
      <c r="D129" s="88" t="s">
        <v>148</v>
      </c>
      <c r="E129" s="88" t="s">
        <v>148</v>
      </c>
      <c r="F129" s="24" t="s">
        <v>148</v>
      </c>
      <c r="G129" s="794" t="s">
        <v>148</v>
      </c>
      <c r="H129" s="24" t="s">
        <v>145</v>
      </c>
      <c r="I129" s="24" t="s">
        <v>145</v>
      </c>
      <c r="J129" s="24" t="s">
        <v>145</v>
      </c>
      <c r="K129" s="24" t="s">
        <v>145</v>
      </c>
      <c r="L129" s="24" t="s">
        <v>145</v>
      </c>
      <c r="M129" s="24" t="s">
        <v>145</v>
      </c>
      <c r="N129" s="24" t="s">
        <v>148</v>
      </c>
      <c r="O129" s="24" t="s">
        <v>148</v>
      </c>
      <c r="P129" s="24" t="s">
        <v>148</v>
      </c>
      <c r="Q129" s="24" t="s">
        <v>145</v>
      </c>
      <c r="R129" s="149"/>
      <c r="S129" s="149"/>
      <c r="U129" s="745"/>
      <c r="AA129" s="149"/>
      <c r="AB129" s="88" t="s">
        <v>4811</v>
      </c>
    </row>
    <row r="130" spans="1:28">
      <c r="A130" s="88" t="s">
        <v>4830</v>
      </c>
      <c r="B130" s="792" t="s">
        <v>4831</v>
      </c>
      <c r="C130" s="149"/>
      <c r="D130" s="88" t="s">
        <v>148</v>
      </c>
      <c r="E130" s="88" t="s">
        <v>148</v>
      </c>
      <c r="F130" s="24" t="s">
        <v>148</v>
      </c>
      <c r="G130" s="24" t="s">
        <v>145</v>
      </c>
      <c r="H130" s="24" t="s">
        <v>145</v>
      </c>
      <c r="I130" s="24" t="s">
        <v>145</v>
      </c>
      <c r="J130" s="24" t="s">
        <v>145</v>
      </c>
      <c r="K130" s="24" t="s">
        <v>145</v>
      </c>
      <c r="L130" s="24" t="s">
        <v>145</v>
      </c>
      <c r="M130" s="24" t="s">
        <v>145</v>
      </c>
      <c r="N130" s="24" t="s">
        <v>148</v>
      </c>
      <c r="O130" s="24" t="s">
        <v>148</v>
      </c>
      <c r="P130" s="24" t="s">
        <v>148</v>
      </c>
      <c r="Q130" s="24" t="s">
        <v>145</v>
      </c>
      <c r="R130" s="149"/>
      <c r="S130" s="149"/>
      <c r="U130" s="745"/>
      <c r="AA130" s="149"/>
      <c r="AB130" s="88" t="s">
        <v>4811</v>
      </c>
    </row>
    <row r="131" spans="1:28">
      <c r="A131" s="88" t="s">
        <v>4832</v>
      </c>
      <c r="B131" s="792" t="s">
        <v>4833</v>
      </c>
      <c r="C131" s="149"/>
      <c r="D131" s="88" t="s">
        <v>148</v>
      </c>
      <c r="E131" s="88" t="s">
        <v>148</v>
      </c>
      <c r="F131" s="24" t="s">
        <v>148</v>
      </c>
      <c r="G131" s="24" t="s">
        <v>145</v>
      </c>
      <c r="H131" s="24" t="s">
        <v>145</v>
      </c>
      <c r="I131" s="24" t="s">
        <v>145</v>
      </c>
      <c r="J131" s="24" t="s">
        <v>145</v>
      </c>
      <c r="K131" s="24" t="s">
        <v>145</v>
      </c>
      <c r="L131" s="24" t="s">
        <v>145</v>
      </c>
      <c r="M131" s="24" t="s">
        <v>145</v>
      </c>
      <c r="N131" s="24" t="s">
        <v>148</v>
      </c>
      <c r="O131" s="24" t="s">
        <v>148</v>
      </c>
      <c r="P131" s="24" t="s">
        <v>148</v>
      </c>
      <c r="Q131" s="24" t="s">
        <v>145</v>
      </c>
      <c r="R131" s="149"/>
      <c r="S131" s="149"/>
      <c r="U131" s="745"/>
      <c r="AA131" s="149"/>
      <c r="AB131" s="88" t="s">
        <v>4811</v>
      </c>
    </row>
    <row r="132" spans="1:28">
      <c r="A132" s="88" t="s">
        <v>4834</v>
      </c>
      <c r="B132" s="792" t="s">
        <v>4835</v>
      </c>
      <c r="C132" s="149"/>
      <c r="D132" s="88" t="s">
        <v>148</v>
      </c>
      <c r="E132" s="88" t="s">
        <v>148</v>
      </c>
      <c r="F132" s="24" t="s">
        <v>148</v>
      </c>
      <c r="G132" s="24" t="s">
        <v>145</v>
      </c>
      <c r="H132" s="24" t="s">
        <v>145</v>
      </c>
      <c r="I132" s="24" t="s">
        <v>145</v>
      </c>
      <c r="J132" s="24" t="s">
        <v>145</v>
      </c>
      <c r="K132" s="24" t="s">
        <v>145</v>
      </c>
      <c r="L132" s="24" t="s">
        <v>145</v>
      </c>
      <c r="M132" s="24" t="s">
        <v>145</v>
      </c>
      <c r="N132" s="24" t="s">
        <v>148</v>
      </c>
      <c r="O132" s="24" t="s">
        <v>148</v>
      </c>
      <c r="P132" s="24" t="s">
        <v>148</v>
      </c>
      <c r="Q132" s="24" t="s">
        <v>145</v>
      </c>
      <c r="R132" s="149"/>
      <c r="S132" s="149"/>
      <c r="U132" s="745"/>
      <c r="AA132" s="149"/>
      <c r="AB132" s="88" t="s">
        <v>4811</v>
      </c>
    </row>
    <row r="133" spans="1:28">
      <c r="A133" s="88" t="s">
        <v>4836</v>
      </c>
      <c r="B133" s="792" t="s">
        <v>4837</v>
      </c>
      <c r="C133" s="149"/>
      <c r="D133" s="88" t="s">
        <v>148</v>
      </c>
      <c r="E133" s="88" t="s">
        <v>148</v>
      </c>
      <c r="F133" s="24" t="s">
        <v>148</v>
      </c>
      <c r="G133" s="24" t="s">
        <v>148</v>
      </c>
      <c r="H133" s="24" t="s">
        <v>145</v>
      </c>
      <c r="I133" s="24" t="s">
        <v>145</v>
      </c>
      <c r="J133" s="24" t="s">
        <v>145</v>
      </c>
      <c r="K133" s="24" t="s">
        <v>145</v>
      </c>
      <c r="L133" s="24" t="s">
        <v>145</v>
      </c>
      <c r="M133" s="24" t="s">
        <v>145</v>
      </c>
      <c r="N133" s="24" t="s">
        <v>148</v>
      </c>
      <c r="O133" s="24" t="s">
        <v>148</v>
      </c>
      <c r="P133" s="24" t="s">
        <v>148</v>
      </c>
      <c r="Q133" s="24" t="s">
        <v>145</v>
      </c>
      <c r="R133" s="149"/>
      <c r="S133" s="149"/>
      <c r="U133" s="745"/>
      <c r="AA133" s="149"/>
      <c r="AB133" s="88" t="s">
        <v>4811</v>
      </c>
    </row>
    <row r="134" spans="1:28">
      <c r="A134" s="88" t="s">
        <v>4838</v>
      </c>
      <c r="B134" s="792" t="s">
        <v>4839</v>
      </c>
      <c r="C134" s="149"/>
      <c r="D134" s="88" t="s">
        <v>148</v>
      </c>
      <c r="E134" s="88" t="s">
        <v>148</v>
      </c>
      <c r="F134" s="24" t="s">
        <v>148</v>
      </c>
      <c r="G134" s="24" t="s">
        <v>145</v>
      </c>
      <c r="H134" s="24" t="s">
        <v>145</v>
      </c>
      <c r="I134" s="24" t="s">
        <v>145</v>
      </c>
      <c r="J134" s="24" t="s">
        <v>145</v>
      </c>
      <c r="K134" s="24" t="s">
        <v>145</v>
      </c>
      <c r="L134" s="24" t="s">
        <v>145</v>
      </c>
      <c r="M134" s="24" t="s">
        <v>145</v>
      </c>
      <c r="N134" s="24" t="s">
        <v>148</v>
      </c>
      <c r="O134" s="24" t="s">
        <v>148</v>
      </c>
      <c r="P134" s="24" t="s">
        <v>148</v>
      </c>
      <c r="Q134" s="24" t="s">
        <v>145</v>
      </c>
      <c r="R134" s="149"/>
      <c r="S134" s="149"/>
      <c r="U134" s="745"/>
      <c r="AA134" s="149"/>
      <c r="AB134" s="88" t="s">
        <v>4811</v>
      </c>
    </row>
    <row r="135" spans="1:28">
      <c r="A135" s="88" t="s">
        <v>4840</v>
      </c>
      <c r="B135" s="792" t="s">
        <v>4841</v>
      </c>
      <c r="C135" s="149"/>
      <c r="D135" s="88" t="s">
        <v>148</v>
      </c>
      <c r="E135" s="88" t="s">
        <v>148</v>
      </c>
      <c r="F135" s="24" t="s">
        <v>148</v>
      </c>
      <c r="G135" s="24" t="s">
        <v>145</v>
      </c>
      <c r="H135" s="24" t="s">
        <v>145</v>
      </c>
      <c r="I135" s="24" t="s">
        <v>145</v>
      </c>
      <c r="J135" s="24" t="s">
        <v>145</v>
      </c>
      <c r="K135" s="24" t="s">
        <v>145</v>
      </c>
      <c r="L135" s="24" t="s">
        <v>145</v>
      </c>
      <c r="M135" s="24" t="s">
        <v>145</v>
      </c>
      <c r="N135" s="24" t="s">
        <v>148</v>
      </c>
      <c r="O135" s="24" t="s">
        <v>148</v>
      </c>
      <c r="P135" s="24" t="s">
        <v>148</v>
      </c>
      <c r="Q135" s="24" t="s">
        <v>145</v>
      </c>
      <c r="R135" s="149"/>
      <c r="S135" s="149"/>
      <c r="U135" s="745"/>
      <c r="AA135" s="149"/>
      <c r="AB135" s="88" t="s">
        <v>4811</v>
      </c>
    </row>
    <row r="136" spans="1:28">
      <c r="A136" s="88" t="s">
        <v>4842</v>
      </c>
      <c r="B136" s="792" t="s">
        <v>4843</v>
      </c>
      <c r="C136" s="149"/>
      <c r="D136" s="88" t="s">
        <v>148</v>
      </c>
      <c r="E136" s="88" t="s">
        <v>148</v>
      </c>
      <c r="F136" s="24" t="s">
        <v>148</v>
      </c>
      <c r="G136" s="24" t="s">
        <v>145</v>
      </c>
      <c r="H136" s="24" t="s">
        <v>145</v>
      </c>
      <c r="I136" s="24" t="s">
        <v>145</v>
      </c>
      <c r="J136" s="24" t="s">
        <v>145</v>
      </c>
      <c r="K136" s="24" t="s">
        <v>145</v>
      </c>
      <c r="L136" s="24" t="s">
        <v>145</v>
      </c>
      <c r="M136" s="24" t="s">
        <v>145</v>
      </c>
      <c r="N136" s="24" t="s">
        <v>148</v>
      </c>
      <c r="O136" s="24" t="s">
        <v>148</v>
      </c>
      <c r="P136" s="24" t="s">
        <v>148</v>
      </c>
      <c r="Q136" s="24" t="s">
        <v>145</v>
      </c>
      <c r="R136" s="149"/>
      <c r="S136" s="149"/>
      <c r="U136" s="745"/>
      <c r="AA136" s="149"/>
      <c r="AB136" s="88" t="s">
        <v>4811</v>
      </c>
    </row>
    <row r="137" spans="1:28">
      <c r="A137" s="88" t="s">
        <v>4844</v>
      </c>
      <c r="B137" s="792" t="s">
        <v>4845</v>
      </c>
      <c r="C137" s="149"/>
      <c r="D137" s="88" t="s">
        <v>148</v>
      </c>
      <c r="E137" s="88" t="s">
        <v>148</v>
      </c>
      <c r="F137" s="24" t="s">
        <v>148</v>
      </c>
      <c r="G137" s="24" t="s">
        <v>145</v>
      </c>
      <c r="H137" s="24" t="s">
        <v>145</v>
      </c>
      <c r="I137" s="24" t="s">
        <v>145</v>
      </c>
      <c r="J137" s="24" t="s">
        <v>145</v>
      </c>
      <c r="K137" s="24" t="s">
        <v>145</v>
      </c>
      <c r="L137" s="24" t="s">
        <v>145</v>
      </c>
      <c r="M137" s="24" t="s">
        <v>145</v>
      </c>
      <c r="N137" s="24" t="s">
        <v>148</v>
      </c>
      <c r="O137" s="24" t="s">
        <v>148</v>
      </c>
      <c r="P137" s="24" t="s">
        <v>148</v>
      </c>
      <c r="Q137" s="24" t="s">
        <v>145</v>
      </c>
      <c r="R137" s="149"/>
      <c r="S137" s="149"/>
      <c r="U137" s="745"/>
      <c r="AA137" s="149"/>
      <c r="AB137" s="88" t="s">
        <v>4811</v>
      </c>
    </row>
    <row r="138" spans="1:28">
      <c r="A138" s="88" t="s">
        <v>4846</v>
      </c>
      <c r="B138" s="789" t="s">
        <v>4847</v>
      </c>
      <c r="C138" s="149"/>
      <c r="D138" s="88" t="s">
        <v>148</v>
      </c>
      <c r="E138" s="88" t="s">
        <v>148</v>
      </c>
      <c r="F138" s="24" t="s">
        <v>148</v>
      </c>
      <c r="G138" s="24" t="s">
        <v>145</v>
      </c>
      <c r="H138" s="24" t="s">
        <v>145</v>
      </c>
      <c r="I138" s="24" t="s">
        <v>145</v>
      </c>
      <c r="J138" s="24" t="s">
        <v>145</v>
      </c>
      <c r="K138" s="24" t="s">
        <v>145</v>
      </c>
      <c r="L138" s="24" t="s">
        <v>145</v>
      </c>
      <c r="M138" s="24" t="s">
        <v>145</v>
      </c>
      <c r="N138" s="24" t="s">
        <v>148</v>
      </c>
      <c r="O138" s="24" t="s">
        <v>148</v>
      </c>
      <c r="P138" s="24" t="s">
        <v>148</v>
      </c>
      <c r="Q138" s="24" t="s">
        <v>145</v>
      </c>
      <c r="R138" s="149"/>
      <c r="S138" s="149"/>
      <c r="U138" s="745"/>
      <c r="AA138" s="149"/>
      <c r="AB138" s="88" t="s">
        <v>4811</v>
      </c>
    </row>
    <row r="139" spans="1:28">
      <c r="A139" s="761" t="s">
        <v>4848</v>
      </c>
      <c r="B139" s="793" t="s">
        <v>4849</v>
      </c>
      <c r="C139" s="149"/>
      <c r="D139" s="88" t="s">
        <v>148</v>
      </c>
      <c r="E139" s="88" t="s">
        <v>148</v>
      </c>
      <c r="F139" s="24" t="s">
        <v>148</v>
      </c>
      <c r="G139" s="24" t="s">
        <v>145</v>
      </c>
      <c r="H139" s="24" t="s">
        <v>145</v>
      </c>
      <c r="I139" s="24" t="s">
        <v>145</v>
      </c>
      <c r="J139" s="24" t="s">
        <v>145</v>
      </c>
      <c r="K139" s="24" t="s">
        <v>145</v>
      </c>
      <c r="L139" s="24" t="s">
        <v>145</v>
      </c>
      <c r="M139" s="24" t="s">
        <v>145</v>
      </c>
      <c r="N139" s="24" t="s">
        <v>148</v>
      </c>
      <c r="O139" s="24" t="s">
        <v>148</v>
      </c>
      <c r="P139" s="24" t="s">
        <v>148</v>
      </c>
      <c r="Q139" s="24" t="s">
        <v>145</v>
      </c>
      <c r="R139" s="149"/>
      <c r="S139" s="149"/>
      <c r="U139" s="745"/>
      <c r="AA139" s="149"/>
      <c r="AB139" s="88" t="s">
        <v>4811</v>
      </c>
    </row>
    <row r="140" spans="1:28">
      <c r="A140" s="761" t="s">
        <v>4850</v>
      </c>
      <c r="B140" s="793" t="s">
        <v>4851</v>
      </c>
      <c r="C140" s="149"/>
      <c r="D140" s="88" t="s">
        <v>148</v>
      </c>
      <c r="E140" s="88" t="s">
        <v>148</v>
      </c>
      <c r="F140" s="24" t="s">
        <v>148</v>
      </c>
      <c r="G140" s="24" t="s">
        <v>145</v>
      </c>
      <c r="H140" s="24" t="s">
        <v>145</v>
      </c>
      <c r="I140" s="24" t="s">
        <v>145</v>
      </c>
      <c r="J140" s="24" t="s">
        <v>145</v>
      </c>
      <c r="K140" s="24" t="s">
        <v>145</v>
      </c>
      <c r="L140" s="24" t="s">
        <v>145</v>
      </c>
      <c r="M140" s="24" t="s">
        <v>145</v>
      </c>
      <c r="N140" s="24" t="s">
        <v>148</v>
      </c>
      <c r="O140" s="24" t="s">
        <v>148</v>
      </c>
      <c r="P140" s="24" t="s">
        <v>148</v>
      </c>
      <c r="Q140" s="24" t="s">
        <v>145</v>
      </c>
      <c r="R140" s="149"/>
      <c r="S140" s="149"/>
      <c r="U140" s="745"/>
      <c r="AA140" s="149"/>
      <c r="AB140" s="88" t="s">
        <v>4811</v>
      </c>
    </row>
    <row r="141" spans="1:28">
      <c r="A141" s="761" t="s">
        <v>4852</v>
      </c>
      <c r="B141" s="793" t="s">
        <v>4853</v>
      </c>
      <c r="C141" s="149"/>
      <c r="D141" s="88" t="s">
        <v>148</v>
      </c>
      <c r="E141" s="88" t="s">
        <v>148</v>
      </c>
      <c r="F141" s="24" t="s">
        <v>148</v>
      </c>
      <c r="G141" s="24" t="s">
        <v>145</v>
      </c>
      <c r="H141" s="24" t="s">
        <v>145</v>
      </c>
      <c r="I141" s="24" t="s">
        <v>145</v>
      </c>
      <c r="J141" s="24" t="s">
        <v>145</v>
      </c>
      <c r="K141" s="24" t="s">
        <v>145</v>
      </c>
      <c r="L141" s="24" t="s">
        <v>145</v>
      </c>
      <c r="M141" s="24" t="s">
        <v>145</v>
      </c>
      <c r="N141" s="24" t="s">
        <v>148</v>
      </c>
      <c r="O141" s="24" t="s">
        <v>148</v>
      </c>
      <c r="P141" s="24" t="s">
        <v>148</v>
      </c>
      <c r="Q141" s="24" t="s">
        <v>145</v>
      </c>
      <c r="R141" s="149"/>
      <c r="S141" s="149"/>
      <c r="U141" s="745"/>
      <c r="AA141" s="149"/>
      <c r="AB141" s="88" t="s">
        <v>4811</v>
      </c>
    </row>
    <row r="142" spans="1:28">
      <c r="A142" s="761" t="s">
        <v>4854</v>
      </c>
      <c r="B142" s="793" t="s">
        <v>4855</v>
      </c>
      <c r="C142" s="149"/>
      <c r="D142" s="88" t="s">
        <v>148</v>
      </c>
      <c r="E142" s="88" t="s">
        <v>148</v>
      </c>
      <c r="F142" s="24" t="s">
        <v>148</v>
      </c>
      <c r="G142" s="24" t="s">
        <v>145</v>
      </c>
      <c r="H142" s="24" t="s">
        <v>145</v>
      </c>
      <c r="I142" s="24" t="s">
        <v>145</v>
      </c>
      <c r="J142" s="24" t="s">
        <v>145</v>
      </c>
      <c r="K142" s="24" t="s">
        <v>145</v>
      </c>
      <c r="L142" s="24" t="s">
        <v>145</v>
      </c>
      <c r="M142" s="24" t="s">
        <v>145</v>
      </c>
      <c r="N142" s="24" t="s">
        <v>148</v>
      </c>
      <c r="O142" s="24" t="s">
        <v>148</v>
      </c>
      <c r="P142" s="24" t="s">
        <v>148</v>
      </c>
      <c r="Q142" s="24" t="s">
        <v>145</v>
      </c>
      <c r="R142" s="149"/>
      <c r="S142" s="149"/>
      <c r="U142" s="745"/>
      <c r="AA142" s="149"/>
      <c r="AB142" s="88" t="s">
        <v>4811</v>
      </c>
    </row>
    <row r="143" spans="1:28">
      <c r="A143" s="761" t="s">
        <v>4856</v>
      </c>
      <c r="B143" s="793" t="s">
        <v>4857</v>
      </c>
      <c r="C143" s="149"/>
      <c r="D143" s="88" t="s">
        <v>148</v>
      </c>
      <c r="E143" s="88" t="s">
        <v>148</v>
      </c>
      <c r="F143" s="24" t="s">
        <v>148</v>
      </c>
      <c r="G143" s="24" t="s">
        <v>145</v>
      </c>
      <c r="H143" s="24" t="s">
        <v>145</v>
      </c>
      <c r="I143" s="24" t="s">
        <v>145</v>
      </c>
      <c r="J143" s="24" t="s">
        <v>145</v>
      </c>
      <c r="K143" s="24" t="s">
        <v>145</v>
      </c>
      <c r="L143" s="24" t="s">
        <v>145</v>
      </c>
      <c r="M143" s="24" t="s">
        <v>145</v>
      </c>
      <c r="N143" s="24" t="s">
        <v>148</v>
      </c>
      <c r="O143" s="24" t="s">
        <v>148</v>
      </c>
      <c r="P143" s="24" t="s">
        <v>148</v>
      </c>
      <c r="Q143" s="24" t="s">
        <v>145</v>
      </c>
      <c r="R143" s="149"/>
      <c r="S143" s="149"/>
      <c r="U143" s="745"/>
      <c r="AA143" s="149"/>
      <c r="AB143" s="88" t="s">
        <v>4811</v>
      </c>
    </row>
    <row r="144" spans="1:28">
      <c r="A144" s="761" t="s">
        <v>4858</v>
      </c>
      <c r="B144" s="793" t="s">
        <v>4859</v>
      </c>
      <c r="C144" s="149"/>
      <c r="D144" s="88" t="s">
        <v>148</v>
      </c>
      <c r="E144" s="88" t="s">
        <v>148</v>
      </c>
      <c r="F144" s="24" t="s">
        <v>148</v>
      </c>
      <c r="G144" s="24" t="s">
        <v>145</v>
      </c>
      <c r="H144" s="24" t="s">
        <v>145</v>
      </c>
      <c r="I144" s="24" t="s">
        <v>145</v>
      </c>
      <c r="J144" s="24" t="s">
        <v>145</v>
      </c>
      <c r="K144" s="24" t="s">
        <v>145</v>
      </c>
      <c r="L144" s="24" t="s">
        <v>145</v>
      </c>
      <c r="M144" s="24" t="s">
        <v>145</v>
      </c>
      <c r="N144" s="24" t="s">
        <v>148</v>
      </c>
      <c r="O144" s="24" t="s">
        <v>148</v>
      </c>
      <c r="P144" s="24" t="s">
        <v>148</v>
      </c>
      <c r="Q144" s="24" t="s">
        <v>145</v>
      </c>
      <c r="R144" s="149"/>
      <c r="S144" s="149"/>
      <c r="U144" s="745"/>
      <c r="AA144" s="149"/>
      <c r="AB144" s="88" t="s">
        <v>4811</v>
      </c>
    </row>
    <row r="145" spans="1:28">
      <c r="A145" s="761" t="s">
        <v>4860</v>
      </c>
      <c r="B145" s="793" t="s">
        <v>4861</v>
      </c>
      <c r="C145" s="149"/>
      <c r="D145" s="88" t="s">
        <v>148</v>
      </c>
      <c r="E145" s="88" t="s">
        <v>148</v>
      </c>
      <c r="F145" s="24" t="s">
        <v>148</v>
      </c>
      <c r="G145" s="24" t="s">
        <v>145</v>
      </c>
      <c r="H145" s="24" t="s">
        <v>145</v>
      </c>
      <c r="I145" s="24" t="s">
        <v>145</v>
      </c>
      <c r="J145" s="24" t="s">
        <v>145</v>
      </c>
      <c r="K145" s="24" t="s">
        <v>145</v>
      </c>
      <c r="L145" s="24" t="s">
        <v>145</v>
      </c>
      <c r="M145" s="24" t="s">
        <v>145</v>
      </c>
      <c r="N145" s="24" t="s">
        <v>148</v>
      </c>
      <c r="O145" s="24" t="s">
        <v>148</v>
      </c>
      <c r="P145" s="24" t="s">
        <v>148</v>
      </c>
      <c r="Q145" s="24" t="s">
        <v>145</v>
      </c>
      <c r="R145" s="149"/>
      <c r="S145" s="149"/>
      <c r="U145" s="745"/>
      <c r="AA145" s="149"/>
      <c r="AB145" s="88" t="s">
        <v>4811</v>
      </c>
    </row>
    <row r="146" spans="1:28">
      <c r="A146" s="761" t="s">
        <v>4862</v>
      </c>
      <c r="B146" s="793" t="s">
        <v>4863</v>
      </c>
      <c r="C146" s="149"/>
      <c r="D146" s="88" t="s">
        <v>148</v>
      </c>
      <c r="E146" s="88" t="s">
        <v>148</v>
      </c>
      <c r="F146" s="24" t="s">
        <v>148</v>
      </c>
      <c r="G146" s="24" t="s">
        <v>145</v>
      </c>
      <c r="H146" s="24" t="s">
        <v>145</v>
      </c>
      <c r="I146" s="24" t="s">
        <v>145</v>
      </c>
      <c r="J146" s="24" t="s">
        <v>145</v>
      </c>
      <c r="K146" s="24" t="s">
        <v>145</v>
      </c>
      <c r="L146" s="24" t="s">
        <v>145</v>
      </c>
      <c r="M146" s="24" t="s">
        <v>145</v>
      </c>
      <c r="N146" s="24" t="s">
        <v>148</v>
      </c>
      <c r="O146" s="24" t="s">
        <v>148</v>
      </c>
      <c r="P146" s="24" t="s">
        <v>148</v>
      </c>
      <c r="Q146" s="24" t="s">
        <v>145</v>
      </c>
      <c r="R146" s="149"/>
      <c r="S146" s="149"/>
      <c r="U146" s="745"/>
      <c r="AA146" s="149"/>
      <c r="AB146" s="88" t="s">
        <v>4811</v>
      </c>
    </row>
    <row r="147" spans="1:28">
      <c r="A147" s="761" t="s">
        <v>4864</v>
      </c>
      <c r="B147" s="793" t="s">
        <v>4865</v>
      </c>
      <c r="C147" s="149"/>
      <c r="D147" s="88" t="s">
        <v>148</v>
      </c>
      <c r="E147" s="88" t="s">
        <v>148</v>
      </c>
      <c r="F147" s="24" t="s">
        <v>148</v>
      </c>
      <c r="G147" s="24" t="s">
        <v>145</v>
      </c>
      <c r="H147" s="24" t="s">
        <v>145</v>
      </c>
      <c r="I147" s="24" t="s">
        <v>145</v>
      </c>
      <c r="J147" s="24" t="s">
        <v>145</v>
      </c>
      <c r="K147" s="24" t="s">
        <v>145</v>
      </c>
      <c r="L147" s="24" t="s">
        <v>145</v>
      </c>
      <c r="M147" s="24" t="s">
        <v>145</v>
      </c>
      <c r="N147" s="24" t="s">
        <v>148</v>
      </c>
      <c r="O147" s="24" t="s">
        <v>148</v>
      </c>
      <c r="P147" s="24" t="s">
        <v>148</v>
      </c>
      <c r="Q147" s="24" t="s">
        <v>145</v>
      </c>
      <c r="R147" s="149"/>
      <c r="S147" s="149"/>
      <c r="U147" s="745"/>
      <c r="AA147" s="149"/>
      <c r="AB147" s="88" t="s">
        <v>4811</v>
      </c>
    </row>
    <row r="148" spans="1:28">
      <c r="A148" s="761" t="s">
        <v>4866</v>
      </c>
      <c r="B148" s="793" t="s">
        <v>4867</v>
      </c>
      <c r="C148" s="149"/>
      <c r="D148" s="88" t="s">
        <v>148</v>
      </c>
      <c r="E148" s="88" t="s">
        <v>148</v>
      </c>
      <c r="F148" s="24" t="s">
        <v>148</v>
      </c>
      <c r="G148" s="24" t="s">
        <v>145</v>
      </c>
      <c r="H148" s="24" t="s">
        <v>145</v>
      </c>
      <c r="I148" s="24" t="s">
        <v>145</v>
      </c>
      <c r="J148" s="24" t="s">
        <v>145</v>
      </c>
      <c r="K148" s="24" t="s">
        <v>145</v>
      </c>
      <c r="L148" s="24" t="s">
        <v>145</v>
      </c>
      <c r="M148" s="24" t="s">
        <v>145</v>
      </c>
      <c r="N148" s="24" t="s">
        <v>148</v>
      </c>
      <c r="O148" s="24" t="s">
        <v>148</v>
      </c>
      <c r="P148" s="24" t="s">
        <v>148</v>
      </c>
      <c r="Q148" s="24" t="s">
        <v>145</v>
      </c>
      <c r="R148" s="149"/>
      <c r="S148" s="149"/>
      <c r="U148" s="745"/>
      <c r="AA148" s="149"/>
      <c r="AB148" s="88" t="s">
        <v>4811</v>
      </c>
    </row>
    <row r="149" spans="1:28">
      <c r="A149" s="761" t="s">
        <v>4868</v>
      </c>
      <c r="B149" s="793" t="s">
        <v>4869</v>
      </c>
      <c r="C149" s="149"/>
      <c r="D149" s="88" t="s">
        <v>148</v>
      </c>
      <c r="E149" s="88" t="s">
        <v>148</v>
      </c>
      <c r="F149" s="24" t="s">
        <v>148</v>
      </c>
      <c r="G149" s="24" t="s">
        <v>145</v>
      </c>
      <c r="H149" s="24" t="s">
        <v>145</v>
      </c>
      <c r="I149" s="24" t="s">
        <v>145</v>
      </c>
      <c r="J149" s="24" t="s">
        <v>145</v>
      </c>
      <c r="K149" s="24" t="s">
        <v>145</v>
      </c>
      <c r="L149" s="24" t="s">
        <v>145</v>
      </c>
      <c r="M149" s="24" t="s">
        <v>145</v>
      </c>
      <c r="N149" s="24" t="s">
        <v>148</v>
      </c>
      <c r="O149" s="24" t="s">
        <v>148</v>
      </c>
      <c r="P149" s="24" t="s">
        <v>148</v>
      </c>
      <c r="Q149" s="24" t="s">
        <v>145</v>
      </c>
      <c r="R149" s="149"/>
      <c r="S149" s="149"/>
      <c r="U149" s="745"/>
      <c r="AA149" s="149"/>
      <c r="AB149" s="88" t="s">
        <v>4811</v>
      </c>
    </row>
    <row r="150" spans="1:28" ht="12">
      <c r="A150" s="88" t="s">
        <v>4870</v>
      </c>
      <c r="B150" s="771" t="s">
        <v>6477</v>
      </c>
      <c r="C150" s="149"/>
      <c r="D150" s="88" t="s">
        <v>145</v>
      </c>
      <c r="E150" s="24" t="s">
        <v>145</v>
      </c>
      <c r="F150" s="88" t="s">
        <v>148</v>
      </c>
      <c r="G150" s="88" t="s">
        <v>148</v>
      </c>
      <c r="H150" s="24" t="s">
        <v>145</v>
      </c>
      <c r="I150" s="24" t="s">
        <v>145</v>
      </c>
      <c r="J150" s="24" t="s">
        <v>145</v>
      </c>
      <c r="K150" s="24" t="s">
        <v>145</v>
      </c>
      <c r="L150" s="24" t="s">
        <v>145</v>
      </c>
      <c r="M150" s="24" t="s">
        <v>145</v>
      </c>
      <c r="N150" s="24" t="s">
        <v>145</v>
      </c>
      <c r="O150" s="24" t="s">
        <v>145</v>
      </c>
      <c r="P150" s="24" t="s">
        <v>145</v>
      </c>
      <c r="Q150" s="24" t="s">
        <v>148</v>
      </c>
      <c r="R150" s="149"/>
      <c r="S150" s="149"/>
      <c r="U150" s="18"/>
      <c r="AA150" s="149" t="s">
        <v>4872</v>
      </c>
      <c r="AB150" s="88" t="s">
        <v>4873</v>
      </c>
    </row>
    <row r="151" spans="1:28" ht="15.75">
      <c r="A151" s="88" t="s">
        <v>4874</v>
      </c>
      <c r="B151" s="602" t="s">
        <v>4875</v>
      </c>
      <c r="C151" s="149"/>
      <c r="D151" s="88" t="s">
        <v>145</v>
      </c>
      <c r="E151" s="24" t="s">
        <v>145</v>
      </c>
      <c r="F151" s="88" t="s">
        <v>148</v>
      </c>
      <c r="G151" s="24" t="s">
        <v>145</v>
      </c>
      <c r="H151" s="24" t="s">
        <v>145</v>
      </c>
      <c r="I151" s="24" t="s">
        <v>145</v>
      </c>
      <c r="J151" s="24" t="s">
        <v>145</v>
      </c>
      <c r="K151" s="24" t="s">
        <v>145</v>
      </c>
      <c r="L151" s="24" t="s">
        <v>145</v>
      </c>
      <c r="M151" s="24" t="s">
        <v>145</v>
      </c>
      <c r="N151" s="24" t="s">
        <v>145</v>
      </c>
      <c r="O151" s="24" t="s">
        <v>145</v>
      </c>
      <c r="P151" s="24" t="s">
        <v>145</v>
      </c>
      <c r="Q151" s="24" t="s">
        <v>148</v>
      </c>
      <c r="R151" s="149"/>
      <c r="S151" s="149"/>
      <c r="AA151" s="149" t="s">
        <v>4872</v>
      </c>
      <c r="AB151" s="88" t="s">
        <v>4873</v>
      </c>
    </row>
    <row r="152" spans="1:28" ht="15.75">
      <c r="A152" s="88" t="s">
        <v>4876</v>
      </c>
      <c r="B152" s="602" t="s">
        <v>4877</v>
      </c>
      <c r="C152" s="149"/>
      <c r="D152" s="88" t="s">
        <v>145</v>
      </c>
      <c r="E152" s="24" t="s">
        <v>145</v>
      </c>
      <c r="F152" s="88" t="s">
        <v>148</v>
      </c>
      <c r="G152" s="24" t="s">
        <v>145</v>
      </c>
      <c r="H152" s="24" t="s">
        <v>145</v>
      </c>
      <c r="I152" s="24" t="s">
        <v>145</v>
      </c>
      <c r="J152" s="24" t="s">
        <v>145</v>
      </c>
      <c r="K152" s="24" t="s">
        <v>145</v>
      </c>
      <c r="L152" s="24" t="s">
        <v>145</v>
      </c>
      <c r="M152" s="24" t="s">
        <v>145</v>
      </c>
      <c r="N152" s="24" t="s">
        <v>145</v>
      </c>
      <c r="O152" s="24" t="s">
        <v>145</v>
      </c>
      <c r="P152" s="24" t="s">
        <v>145</v>
      </c>
      <c r="Q152" s="24" t="s">
        <v>148</v>
      </c>
      <c r="R152" s="149"/>
      <c r="S152" s="149"/>
      <c r="AA152" s="149" t="s">
        <v>4872</v>
      </c>
      <c r="AB152" s="88" t="s">
        <v>4873</v>
      </c>
    </row>
    <row r="153" spans="1:28" ht="15.75">
      <c r="A153" s="88" t="s">
        <v>4878</v>
      </c>
      <c r="B153" s="602" t="s">
        <v>4879</v>
      </c>
      <c r="C153" s="149"/>
      <c r="D153" s="88" t="s">
        <v>145</v>
      </c>
      <c r="E153" s="24" t="s">
        <v>145</v>
      </c>
      <c r="F153" s="88" t="s">
        <v>148</v>
      </c>
      <c r="G153" s="24" t="s">
        <v>145</v>
      </c>
      <c r="H153" s="24" t="s">
        <v>145</v>
      </c>
      <c r="I153" s="24" t="s">
        <v>145</v>
      </c>
      <c r="J153" s="24" t="s">
        <v>145</v>
      </c>
      <c r="K153" s="24" t="s">
        <v>145</v>
      </c>
      <c r="L153" s="24" t="s">
        <v>145</v>
      </c>
      <c r="M153" s="24" t="s">
        <v>145</v>
      </c>
      <c r="N153" s="24" t="s">
        <v>145</v>
      </c>
      <c r="O153" s="24" t="s">
        <v>145</v>
      </c>
      <c r="P153" s="24" t="s">
        <v>145</v>
      </c>
      <c r="Q153" s="24" t="s">
        <v>148</v>
      </c>
      <c r="R153" s="149"/>
      <c r="S153" s="149"/>
      <c r="AA153" s="149" t="s">
        <v>4872</v>
      </c>
      <c r="AB153" s="88" t="s">
        <v>4873</v>
      </c>
    </row>
    <row r="154" spans="1:28" ht="15.75">
      <c r="A154" s="88" t="s">
        <v>4880</v>
      </c>
      <c r="B154" s="602" t="s">
        <v>4881</v>
      </c>
      <c r="C154" s="149"/>
      <c r="D154" s="88" t="s">
        <v>145</v>
      </c>
      <c r="E154" s="24" t="s">
        <v>145</v>
      </c>
      <c r="F154" s="88" t="s">
        <v>148</v>
      </c>
      <c r="G154" s="24" t="s">
        <v>145</v>
      </c>
      <c r="H154" s="24" t="s">
        <v>145</v>
      </c>
      <c r="I154" s="24" t="s">
        <v>145</v>
      </c>
      <c r="J154" s="24" t="s">
        <v>145</v>
      </c>
      <c r="K154" s="24" t="s">
        <v>145</v>
      </c>
      <c r="L154" s="24" t="s">
        <v>145</v>
      </c>
      <c r="M154" s="24" t="s">
        <v>145</v>
      </c>
      <c r="N154" s="24" t="s">
        <v>145</v>
      </c>
      <c r="O154" s="24" t="s">
        <v>145</v>
      </c>
      <c r="P154" s="24" t="s">
        <v>145</v>
      </c>
      <c r="Q154" s="24" t="s">
        <v>148</v>
      </c>
      <c r="R154" s="149"/>
      <c r="S154" s="149"/>
      <c r="AA154" s="149" t="s">
        <v>4872</v>
      </c>
      <c r="AB154" s="88" t="s">
        <v>4873</v>
      </c>
    </row>
    <row r="155" spans="1:28" ht="15.75">
      <c r="A155" s="88" t="s">
        <v>4882</v>
      </c>
      <c r="B155" s="602" t="s">
        <v>4883</v>
      </c>
      <c r="C155" s="149"/>
      <c r="D155" s="88" t="s">
        <v>145</v>
      </c>
      <c r="E155" s="24" t="s">
        <v>145</v>
      </c>
      <c r="F155" s="88" t="s">
        <v>148</v>
      </c>
      <c r="G155" s="24" t="s">
        <v>145</v>
      </c>
      <c r="H155" s="24" t="s">
        <v>145</v>
      </c>
      <c r="I155" s="24" t="s">
        <v>145</v>
      </c>
      <c r="J155" s="24" t="s">
        <v>145</v>
      </c>
      <c r="K155" s="24" t="s">
        <v>145</v>
      </c>
      <c r="L155" s="24" t="s">
        <v>145</v>
      </c>
      <c r="M155" s="24" t="s">
        <v>145</v>
      </c>
      <c r="N155" s="24" t="s">
        <v>145</v>
      </c>
      <c r="O155" s="24" t="s">
        <v>145</v>
      </c>
      <c r="P155" s="24" t="s">
        <v>145</v>
      </c>
      <c r="Q155" s="24" t="s">
        <v>148</v>
      </c>
      <c r="R155" s="149"/>
      <c r="S155" s="149"/>
      <c r="AA155" s="149" t="s">
        <v>4872</v>
      </c>
      <c r="AB155" s="88" t="s">
        <v>4873</v>
      </c>
    </row>
    <row r="156" spans="1:28" ht="15.75">
      <c r="A156" s="326" t="s">
        <v>4884</v>
      </c>
      <c r="B156" s="602" t="s">
        <v>4886</v>
      </c>
      <c r="C156" s="149"/>
      <c r="D156" s="88" t="s">
        <v>145</v>
      </c>
      <c r="E156" s="24" t="s">
        <v>145</v>
      </c>
      <c r="F156" s="24" t="s">
        <v>24</v>
      </c>
      <c r="G156" s="24" t="s">
        <v>145</v>
      </c>
      <c r="H156" s="24" t="s">
        <v>145</v>
      </c>
      <c r="I156" s="24" t="s">
        <v>145</v>
      </c>
      <c r="J156" s="24" t="s">
        <v>145</v>
      </c>
      <c r="K156" s="24" t="s">
        <v>145</v>
      </c>
      <c r="L156" s="24" t="s">
        <v>145</v>
      </c>
      <c r="M156" s="24" t="s">
        <v>145</v>
      </c>
      <c r="N156" s="24" t="s">
        <v>145</v>
      </c>
      <c r="O156" s="24" t="s">
        <v>145</v>
      </c>
      <c r="P156" s="24" t="s">
        <v>145</v>
      </c>
      <c r="Q156" s="24" t="s">
        <v>148</v>
      </c>
      <c r="R156" s="149"/>
      <c r="S156" s="149"/>
      <c r="AA156" s="149" t="s">
        <v>4872</v>
      </c>
      <c r="AB156" s="88" t="s">
        <v>4873</v>
      </c>
    </row>
    <row r="157" spans="1:28" ht="15.75">
      <c r="A157" s="326" t="s">
        <v>4885</v>
      </c>
      <c r="B157" s="602" t="s">
        <v>4888</v>
      </c>
      <c r="C157" s="149"/>
      <c r="D157" s="88" t="s">
        <v>145</v>
      </c>
      <c r="E157" s="24" t="s">
        <v>145</v>
      </c>
      <c r="F157" s="24" t="s">
        <v>24</v>
      </c>
      <c r="G157" s="24" t="s">
        <v>145</v>
      </c>
      <c r="H157" s="24" t="s">
        <v>145</v>
      </c>
      <c r="I157" s="24" t="s">
        <v>145</v>
      </c>
      <c r="J157" s="24" t="s">
        <v>145</v>
      </c>
      <c r="K157" s="24" t="s">
        <v>145</v>
      </c>
      <c r="L157" s="24" t="s">
        <v>145</v>
      </c>
      <c r="M157" s="24" t="s">
        <v>145</v>
      </c>
      <c r="N157" s="24" t="s">
        <v>145</v>
      </c>
      <c r="O157" s="24" t="s">
        <v>145</v>
      </c>
      <c r="P157" s="24" t="s">
        <v>145</v>
      </c>
      <c r="Q157" s="24" t="s">
        <v>148</v>
      </c>
      <c r="R157" s="149"/>
      <c r="S157" s="149"/>
      <c r="AA157" s="149" t="s">
        <v>4872</v>
      </c>
      <c r="AB157" s="88" t="s">
        <v>4873</v>
      </c>
    </row>
    <row r="158" spans="1:28" ht="15.75">
      <c r="A158" s="326" t="s">
        <v>4887</v>
      </c>
      <c r="B158" s="602" t="s">
        <v>4890</v>
      </c>
      <c r="C158" s="149"/>
      <c r="D158" s="88" t="s">
        <v>145</v>
      </c>
      <c r="E158" s="24" t="s">
        <v>145</v>
      </c>
      <c r="F158" s="24" t="s">
        <v>24</v>
      </c>
      <c r="G158" s="24" t="s">
        <v>145</v>
      </c>
      <c r="H158" s="24" t="s">
        <v>145</v>
      </c>
      <c r="I158" s="24" t="s">
        <v>145</v>
      </c>
      <c r="J158" s="24" t="s">
        <v>145</v>
      </c>
      <c r="K158" s="24" t="s">
        <v>145</v>
      </c>
      <c r="L158" s="24" t="s">
        <v>145</v>
      </c>
      <c r="M158" s="24" t="s">
        <v>145</v>
      </c>
      <c r="N158" s="24" t="s">
        <v>145</v>
      </c>
      <c r="O158" s="24" t="s">
        <v>145</v>
      </c>
      <c r="P158" s="24" t="s">
        <v>145</v>
      </c>
      <c r="Q158" s="24" t="s">
        <v>148</v>
      </c>
      <c r="R158" s="149"/>
      <c r="S158" s="149"/>
      <c r="AA158" s="149" t="s">
        <v>4872</v>
      </c>
      <c r="AB158" s="88" t="s">
        <v>4873</v>
      </c>
    </row>
    <row r="159" spans="1:28" ht="15.75">
      <c r="A159" s="326" t="s">
        <v>4889</v>
      </c>
      <c r="B159" s="602" t="s">
        <v>4893</v>
      </c>
      <c r="C159" s="149"/>
      <c r="D159" s="88" t="s">
        <v>145</v>
      </c>
      <c r="E159" s="24" t="s">
        <v>145</v>
      </c>
      <c r="F159" s="603" t="s">
        <v>24</v>
      </c>
      <c r="G159" s="24" t="s">
        <v>145</v>
      </c>
      <c r="H159" s="24" t="s">
        <v>145</v>
      </c>
      <c r="I159" s="24" t="s">
        <v>145</v>
      </c>
      <c r="J159" s="24" t="s">
        <v>145</v>
      </c>
      <c r="K159" s="24" t="s">
        <v>145</v>
      </c>
      <c r="L159" s="24" t="s">
        <v>145</v>
      </c>
      <c r="M159" s="24" t="s">
        <v>145</v>
      </c>
      <c r="N159" s="24" t="s">
        <v>145</v>
      </c>
      <c r="O159" s="24" t="s">
        <v>145</v>
      </c>
      <c r="P159" s="24" t="s">
        <v>145</v>
      </c>
      <c r="Q159" s="24" t="s">
        <v>148</v>
      </c>
      <c r="R159" s="149"/>
      <c r="S159" s="149"/>
      <c r="AA159" s="149" t="s">
        <v>4872</v>
      </c>
      <c r="AB159" s="88" t="s">
        <v>4873</v>
      </c>
    </row>
    <row r="160" spans="1:28" ht="15.75">
      <c r="A160" s="326" t="s">
        <v>4891</v>
      </c>
      <c r="B160" s="602" t="s">
        <v>4895</v>
      </c>
      <c r="C160" s="149"/>
      <c r="D160" s="88" t="s">
        <v>145</v>
      </c>
      <c r="E160" s="24" t="s">
        <v>145</v>
      </c>
      <c r="F160" s="603" t="s">
        <v>24</v>
      </c>
      <c r="G160" s="24" t="s">
        <v>145</v>
      </c>
      <c r="H160" s="24" t="s">
        <v>145</v>
      </c>
      <c r="I160" s="24" t="s">
        <v>145</v>
      </c>
      <c r="J160" s="24" t="s">
        <v>145</v>
      </c>
      <c r="K160" s="24" t="s">
        <v>145</v>
      </c>
      <c r="L160" s="24" t="s">
        <v>145</v>
      </c>
      <c r="M160" s="24" t="s">
        <v>145</v>
      </c>
      <c r="N160" s="24" t="s">
        <v>145</v>
      </c>
      <c r="O160" s="24" t="s">
        <v>145</v>
      </c>
      <c r="P160" s="24" t="s">
        <v>145</v>
      </c>
      <c r="Q160" s="24" t="s">
        <v>148</v>
      </c>
      <c r="R160" s="149"/>
      <c r="S160" s="149"/>
      <c r="AA160" s="149" t="s">
        <v>4872</v>
      </c>
      <c r="AB160" s="88" t="s">
        <v>4873</v>
      </c>
    </row>
    <row r="161" spans="1:28" ht="15.75">
      <c r="A161" s="326" t="s">
        <v>4892</v>
      </c>
      <c r="B161" s="602" t="s">
        <v>4897</v>
      </c>
      <c r="C161" s="149"/>
      <c r="D161" s="88" t="s">
        <v>145</v>
      </c>
      <c r="E161" s="24" t="s">
        <v>145</v>
      </c>
      <c r="F161" s="603" t="s">
        <v>24</v>
      </c>
      <c r="G161" s="24" t="s">
        <v>148</v>
      </c>
      <c r="H161" s="24" t="s">
        <v>145</v>
      </c>
      <c r="I161" s="24" t="s">
        <v>145</v>
      </c>
      <c r="J161" s="24" t="s">
        <v>145</v>
      </c>
      <c r="K161" s="24" t="s">
        <v>145</v>
      </c>
      <c r="L161" s="24" t="s">
        <v>145</v>
      </c>
      <c r="M161" s="24" t="s">
        <v>145</v>
      </c>
      <c r="N161" s="24" t="s">
        <v>145</v>
      </c>
      <c r="O161" s="24" t="s">
        <v>145</v>
      </c>
      <c r="P161" s="24" t="s">
        <v>145</v>
      </c>
      <c r="Q161" s="24" t="s">
        <v>148</v>
      </c>
      <c r="R161" s="149"/>
      <c r="S161" s="149"/>
      <c r="AA161" s="149" t="s">
        <v>4872</v>
      </c>
      <c r="AB161" s="88" t="s">
        <v>4873</v>
      </c>
    </row>
    <row r="162" spans="1:28" ht="15.75">
      <c r="A162" s="326" t="s">
        <v>4894</v>
      </c>
      <c r="B162" s="602" t="s">
        <v>4899</v>
      </c>
      <c r="C162" s="762"/>
      <c r="D162" s="763" t="s">
        <v>11</v>
      </c>
      <c r="E162" s="764" t="s">
        <v>11</v>
      </c>
      <c r="F162" s="763" t="s">
        <v>24</v>
      </c>
      <c r="G162" s="763" t="s">
        <v>11</v>
      </c>
      <c r="H162" s="764" t="s">
        <v>11</v>
      </c>
      <c r="I162" s="764" t="s">
        <v>11</v>
      </c>
      <c r="J162" s="764" t="s">
        <v>11</v>
      </c>
      <c r="K162" s="764" t="s">
        <v>11</v>
      </c>
      <c r="L162" s="764" t="s">
        <v>11</v>
      </c>
      <c r="M162" s="764" t="s">
        <v>11</v>
      </c>
      <c r="N162" s="764" t="s">
        <v>11</v>
      </c>
      <c r="O162" s="764" t="s">
        <v>11</v>
      </c>
      <c r="P162" s="764" t="s">
        <v>11</v>
      </c>
      <c r="Q162" s="764" t="s">
        <v>24</v>
      </c>
      <c r="R162" s="765"/>
      <c r="S162" s="765"/>
      <c r="T162" s="766"/>
      <c r="U162" s="767"/>
      <c r="V162" s="766"/>
      <c r="W162" s="766"/>
      <c r="X162" s="766"/>
      <c r="Y162" s="766"/>
      <c r="Z162" s="766"/>
      <c r="AA162" s="149" t="s">
        <v>4872</v>
      </c>
      <c r="AB162" s="88" t="s">
        <v>4873</v>
      </c>
    </row>
    <row r="163" spans="1:28" ht="15.75">
      <c r="A163" s="326" t="s">
        <v>4896</v>
      </c>
      <c r="B163" s="602" t="s">
        <v>4901</v>
      </c>
      <c r="C163" s="149"/>
      <c r="D163" s="88" t="s">
        <v>145</v>
      </c>
      <c r="E163" s="24" t="s">
        <v>145</v>
      </c>
      <c r="F163" s="24" t="s">
        <v>24</v>
      </c>
      <c r="G163" s="24" t="s">
        <v>145</v>
      </c>
      <c r="H163" s="24" t="s">
        <v>145</v>
      </c>
      <c r="I163" s="24" t="s">
        <v>145</v>
      </c>
      <c r="J163" s="24" t="s">
        <v>145</v>
      </c>
      <c r="K163" s="24" t="s">
        <v>145</v>
      </c>
      <c r="L163" s="24" t="s">
        <v>145</v>
      </c>
      <c r="M163" s="24" t="s">
        <v>145</v>
      </c>
      <c r="N163" s="24" t="s">
        <v>145</v>
      </c>
      <c r="O163" s="24" t="s">
        <v>145</v>
      </c>
      <c r="P163" s="24" t="s">
        <v>145</v>
      </c>
      <c r="Q163" s="764" t="s">
        <v>24</v>
      </c>
      <c r="R163" s="149"/>
      <c r="S163" s="149"/>
      <c r="AA163" s="149" t="s">
        <v>4872</v>
      </c>
      <c r="AB163" s="88" t="s">
        <v>4873</v>
      </c>
    </row>
    <row r="164" spans="1:28" ht="12">
      <c r="A164" s="326" t="s">
        <v>4898</v>
      </c>
      <c r="B164" s="602" t="s">
        <v>4903</v>
      </c>
      <c r="C164" s="250"/>
      <c r="D164" s="539" t="s">
        <v>11</v>
      </c>
      <c r="E164" s="540" t="s">
        <v>11</v>
      </c>
      <c r="F164" s="539" t="s">
        <v>24</v>
      </c>
      <c r="G164" s="539" t="s">
        <v>11</v>
      </c>
      <c r="H164" s="540" t="s">
        <v>11</v>
      </c>
      <c r="I164" s="540" t="s">
        <v>11</v>
      </c>
      <c r="J164" s="540" t="s">
        <v>11</v>
      </c>
      <c r="K164" s="540" t="s">
        <v>11</v>
      </c>
      <c r="L164" s="540" t="s">
        <v>11</v>
      </c>
      <c r="M164" s="540" t="s">
        <v>11</v>
      </c>
      <c r="N164" s="540" t="s">
        <v>11</v>
      </c>
      <c r="O164" s="540" t="s">
        <v>11</v>
      </c>
      <c r="P164" s="540" t="s">
        <v>11</v>
      </c>
      <c r="Q164" s="540" t="s">
        <v>24</v>
      </c>
      <c r="R164" s="250"/>
      <c r="S164" s="250"/>
      <c r="T164" s="768"/>
      <c r="U164" s="769"/>
      <c r="AA164" s="149" t="s">
        <v>4872</v>
      </c>
      <c r="AB164" s="88" t="s">
        <v>4873</v>
      </c>
    </row>
    <row r="165" spans="1:28" ht="12">
      <c r="A165" s="326" t="s">
        <v>4900</v>
      </c>
      <c r="B165" s="602" t="s">
        <v>4905</v>
      </c>
      <c r="C165" s="250"/>
      <c r="D165" s="539" t="s">
        <v>11</v>
      </c>
      <c r="E165" s="540" t="s">
        <v>11</v>
      </c>
      <c r="F165" s="539" t="s">
        <v>24</v>
      </c>
      <c r="G165" s="539" t="s">
        <v>11</v>
      </c>
      <c r="H165" s="540" t="s">
        <v>11</v>
      </c>
      <c r="I165" s="540" t="s">
        <v>11</v>
      </c>
      <c r="J165" s="540" t="s">
        <v>11</v>
      </c>
      <c r="K165" s="540" t="s">
        <v>11</v>
      </c>
      <c r="L165" s="540" t="s">
        <v>11</v>
      </c>
      <c r="M165" s="540" t="s">
        <v>11</v>
      </c>
      <c r="N165" s="540" t="s">
        <v>11</v>
      </c>
      <c r="O165" s="540" t="s">
        <v>11</v>
      </c>
      <c r="P165" s="540" t="s">
        <v>11</v>
      </c>
      <c r="Q165" s="540" t="s">
        <v>24</v>
      </c>
      <c r="R165" s="250"/>
      <c r="S165" s="250"/>
      <c r="T165" s="768"/>
      <c r="U165" s="769"/>
      <c r="AA165" s="149" t="s">
        <v>4872</v>
      </c>
      <c r="AB165" s="88" t="s">
        <v>4873</v>
      </c>
    </row>
    <row r="166" spans="1:28" ht="12">
      <c r="A166" s="326" t="s">
        <v>4902</v>
      </c>
      <c r="B166" s="602" t="s">
        <v>4906</v>
      </c>
      <c r="C166" s="250"/>
      <c r="D166" s="539" t="s">
        <v>11</v>
      </c>
      <c r="E166" s="540" t="s">
        <v>11</v>
      </c>
      <c r="F166" s="539" t="s">
        <v>24</v>
      </c>
      <c r="G166" s="539" t="s">
        <v>11</v>
      </c>
      <c r="H166" s="540" t="s">
        <v>11</v>
      </c>
      <c r="I166" s="540" t="s">
        <v>11</v>
      </c>
      <c r="J166" s="540" t="s">
        <v>11</v>
      </c>
      <c r="K166" s="540" t="s">
        <v>11</v>
      </c>
      <c r="L166" s="540" t="s">
        <v>11</v>
      </c>
      <c r="M166" s="540" t="s">
        <v>11</v>
      </c>
      <c r="N166" s="540" t="s">
        <v>11</v>
      </c>
      <c r="O166" s="540" t="s">
        <v>11</v>
      </c>
      <c r="P166" s="540" t="s">
        <v>11</v>
      </c>
      <c r="Q166" s="540" t="s">
        <v>24</v>
      </c>
      <c r="R166" s="250"/>
      <c r="S166" s="250"/>
      <c r="T166" s="768"/>
      <c r="U166" s="769"/>
      <c r="AA166" s="149" t="s">
        <v>4872</v>
      </c>
      <c r="AB166" s="88" t="s">
        <v>4873</v>
      </c>
    </row>
    <row r="167" spans="1:28" ht="15.75">
      <c r="A167" s="772" t="s">
        <v>4904</v>
      </c>
      <c r="B167" s="773" t="s">
        <v>6478</v>
      </c>
      <c r="C167" s="774"/>
      <c r="D167" s="775" t="s">
        <v>11</v>
      </c>
      <c r="E167" s="776" t="s">
        <v>11</v>
      </c>
      <c r="F167" s="775" t="s">
        <v>24</v>
      </c>
      <c r="G167" s="775" t="s">
        <v>148</v>
      </c>
      <c r="H167" s="776" t="s">
        <v>11</v>
      </c>
      <c r="I167" s="776" t="s">
        <v>11</v>
      </c>
      <c r="J167" s="776" t="s">
        <v>11</v>
      </c>
      <c r="K167" s="776" t="s">
        <v>11</v>
      </c>
      <c r="L167" s="776" t="s">
        <v>11</v>
      </c>
      <c r="M167" s="776" t="s">
        <v>11</v>
      </c>
      <c r="N167" s="776" t="s">
        <v>11</v>
      </c>
      <c r="O167" s="776" t="s">
        <v>11</v>
      </c>
      <c r="P167" s="776" t="s">
        <v>11</v>
      </c>
      <c r="Q167" s="776" t="s">
        <v>24</v>
      </c>
      <c r="R167" s="774"/>
      <c r="S167" s="774"/>
      <c r="T167" s="777"/>
      <c r="U167" s="778"/>
      <c r="V167" s="777"/>
      <c r="W167" s="777"/>
      <c r="X167" s="777"/>
      <c r="Y167" s="777"/>
      <c r="Z167" s="777"/>
      <c r="AA167" s="779" t="s">
        <v>6479</v>
      </c>
      <c r="AB167" s="772" t="s">
        <v>4873</v>
      </c>
    </row>
  </sheetData>
  <sheetProtection formatCells="0" formatColumns="0" formatRows="0"/>
  <mergeCells count="12">
    <mergeCell ref="AB5:AB6"/>
    <mergeCell ref="A2:M2"/>
    <mergeCell ref="A3:M3"/>
    <mergeCell ref="A4:M4"/>
    <mergeCell ref="D5:D6"/>
    <mergeCell ref="E5:E6"/>
    <mergeCell ref="A5:A6"/>
    <mergeCell ref="B5:B6"/>
    <mergeCell ref="C5:C6"/>
    <mergeCell ref="L5:S5"/>
    <mergeCell ref="F5:K5"/>
    <mergeCell ref="AA5:AA6"/>
  </mergeCells>
  <phoneticPr fontId="28" type="noConversion"/>
  <conditionalFormatting sqref="A7:A100 J37:K60 I41:I88 A110:A116 Q114:Q149 F120:P149 A139:A149 E150:E161 Q156:Q161">
    <cfRule type="cellIs" dxfId="72" priority="5" stopIfTrue="1" operator="equal">
      <formula>"tbd"</formula>
    </cfRule>
  </conditionalFormatting>
  <conditionalFormatting sqref="A5:B5">
    <cfRule type="cellIs" dxfId="71" priority="71" stopIfTrue="1" operator="equal">
      <formula>"tbd"</formula>
    </cfRule>
  </conditionalFormatting>
  <conditionalFormatting sqref="D83:F83">
    <cfRule type="cellIs" dxfId="70" priority="27" stopIfTrue="1" operator="equal">
      <formula>"tbd"</formula>
    </cfRule>
  </conditionalFormatting>
  <conditionalFormatting sqref="D37:G40">
    <cfRule type="cellIs" dxfId="69" priority="50" stopIfTrue="1" operator="equal">
      <formula>"tbd"</formula>
    </cfRule>
  </conditionalFormatting>
  <conditionalFormatting sqref="D52:G52">
    <cfRule type="cellIs" dxfId="68" priority="35" stopIfTrue="1" operator="equal">
      <formula>"tbd"</formula>
    </cfRule>
  </conditionalFormatting>
  <conditionalFormatting sqref="E117">
    <cfRule type="cellIs" dxfId="67" priority="26" stopIfTrue="1" operator="equal">
      <formula>"tbd"</formula>
    </cfRule>
  </conditionalFormatting>
  <conditionalFormatting sqref="E7:K14 E15:G23 H15:K36">
    <cfRule type="cellIs" dxfId="66" priority="57" stopIfTrue="1" operator="equal">
      <formula>"tbd"</formula>
    </cfRule>
  </conditionalFormatting>
  <conditionalFormatting sqref="E163:P163">
    <cfRule type="cellIs" dxfId="65" priority="13" stopIfTrue="1" operator="equal">
      <formula>"tbd"</formula>
    </cfRule>
  </conditionalFormatting>
  <conditionalFormatting sqref="F101:G104">
    <cfRule type="cellIs" dxfId="64" priority="8" stopIfTrue="1" operator="equal">
      <formula>"tbd"</formula>
    </cfRule>
  </conditionalFormatting>
  <conditionalFormatting sqref="F150:Q150">
    <cfRule type="cellIs" dxfId="63" priority="15" stopIfTrue="1" operator="equal">
      <formula>"tbd"</formula>
    </cfRule>
  </conditionalFormatting>
  <conditionalFormatting sqref="G42:G45">
    <cfRule type="cellIs" dxfId="62" priority="49" stopIfTrue="1" operator="equal">
      <formula>"tbd"</formula>
    </cfRule>
  </conditionalFormatting>
  <conditionalFormatting sqref="G47">
    <cfRule type="cellIs" dxfId="61" priority="48" stopIfTrue="1" operator="equal">
      <formula>"tbd"</formula>
    </cfRule>
  </conditionalFormatting>
  <conditionalFormatting sqref="G49">
    <cfRule type="cellIs" dxfId="60" priority="47" stopIfTrue="1" operator="equal">
      <formula>"tbd"</formula>
    </cfRule>
  </conditionalFormatting>
  <conditionalFormatting sqref="G53:G54">
    <cfRule type="cellIs" dxfId="59" priority="46" stopIfTrue="1" operator="equal">
      <formula>"tbd"</formula>
    </cfRule>
  </conditionalFormatting>
  <conditionalFormatting sqref="G58">
    <cfRule type="cellIs" dxfId="58" priority="45" stopIfTrue="1" operator="equal">
      <formula>"tbd"</formula>
    </cfRule>
  </conditionalFormatting>
  <conditionalFormatting sqref="G62:G64">
    <cfRule type="cellIs" dxfId="57" priority="44" stopIfTrue="1" operator="equal">
      <formula>"tbd"</formula>
    </cfRule>
  </conditionalFormatting>
  <conditionalFormatting sqref="G70:G84">
    <cfRule type="cellIs" dxfId="56" priority="43" stopIfTrue="1" operator="equal">
      <formula>"tbd"</formula>
    </cfRule>
  </conditionalFormatting>
  <conditionalFormatting sqref="G89">
    <cfRule type="cellIs" dxfId="55" priority="42" stopIfTrue="1" operator="equal">
      <formula>"tbd"</formula>
    </cfRule>
  </conditionalFormatting>
  <conditionalFormatting sqref="G92">
    <cfRule type="cellIs" dxfId="54" priority="41" stopIfTrue="1" operator="equal">
      <formula>"tbd"</formula>
    </cfRule>
  </conditionalFormatting>
  <conditionalFormatting sqref="G95">
    <cfRule type="cellIs" dxfId="53" priority="40" stopIfTrue="1" operator="equal">
      <formula>"tbd"</formula>
    </cfRule>
  </conditionalFormatting>
  <conditionalFormatting sqref="G98">
    <cfRule type="cellIs" dxfId="52" priority="39" stopIfTrue="1" operator="equal">
      <formula>"tbd"</formula>
    </cfRule>
  </conditionalFormatting>
  <conditionalFormatting sqref="G159:P161">
    <cfRule type="cellIs" dxfId="51" priority="6" stopIfTrue="1" operator="equal">
      <formula>"tbd"</formula>
    </cfRule>
  </conditionalFormatting>
  <conditionalFormatting sqref="G151:Q155 F156:P158">
    <cfRule type="cellIs" dxfId="50" priority="16" stopIfTrue="1" operator="equal">
      <formula>"tbd"</formula>
    </cfRule>
  </conditionalFormatting>
  <conditionalFormatting sqref="I118">
    <cfRule type="cellIs" dxfId="49" priority="37" stopIfTrue="1" operator="equal">
      <formula>"tbd"</formula>
    </cfRule>
  </conditionalFormatting>
  <conditionalFormatting sqref="J101:P104">
    <cfRule type="cellIs" dxfId="48" priority="7" stopIfTrue="1" operator="equal">
      <formula>"tbd"</formula>
    </cfRule>
  </conditionalFormatting>
  <conditionalFormatting sqref="L5">
    <cfRule type="cellIs" dxfId="47" priority="68" stopIfTrue="1" operator="equal">
      <formula>"tbd"</formula>
    </cfRule>
  </conditionalFormatting>
  <conditionalFormatting sqref="L7:S88 H37:H104 E61:G61 J61:P61 J62:K88 H88:S88 I89:S100 Q101:Q112 H105:P112 R105:S113 H113:Q113 I114:I116 F114:H119 J114:P119 E119">
    <cfRule type="cellIs" dxfId="46" priority="30" stopIfTrue="1" operator="equal">
      <formula>"tbd"</formula>
    </cfRule>
  </conditionalFormatting>
  <conditionalFormatting sqref="R114:R116">
    <cfRule type="cellIs" dxfId="45" priority="55" stopIfTrue="1" operator="equal">
      <formula>"tbd"</formula>
    </cfRule>
  </conditionalFormatting>
  <dataValidations count="1">
    <dataValidation type="list" allowBlank="1" showInputMessage="1" showErrorMessage="1" sqref="L2:O4 Q2:R4 R61 L162:O162 Q162:Q163 R101:R104 L168:O1048576 L105:O113 Q105:R113 R37:R40 Q168:R1048576 R117:R163" xr:uid="{2064F31F-849D-4D49-9184-D16D7372E8B1}">
      <formula1>#REF!</formula1>
    </dataValidation>
  </dataValidations>
  <printOptions horizontalCentered="1"/>
  <pageMargins left="0.70763888888888904" right="0.70763888888888904" top="0.74791666666666701" bottom="0.74791666666666701" header="0.31388888888888899" footer="0.31388888888888899"/>
  <pageSetup paperSize="9" scale="55" orientation="landscape"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工作表13">
    <tabColor rgb="FFFFFF00"/>
  </sheetPr>
  <dimension ref="A1:AC637"/>
  <sheetViews>
    <sheetView zoomScale="85" zoomScaleNormal="85" workbookViewId="0">
      <pane ySplit="9" topLeftCell="A595" activePane="bottomLeft" state="frozen"/>
      <selection pane="bottomLeft" activeCell="B609" sqref="B609"/>
    </sheetView>
  </sheetViews>
  <sheetFormatPr defaultColWidth="9" defaultRowHeight="15.75" outlineLevelCol="2"/>
  <cols>
    <col min="1" max="1" width="7.375" style="150" bestFit="1" customWidth="1"/>
    <col min="2" max="2" width="13.375" style="259" bestFit="1" customWidth="1"/>
    <col min="3" max="3" width="40.5" style="48" customWidth="1"/>
    <col min="4" max="4" width="6.625" style="150" customWidth="1"/>
    <col min="5" max="5" width="5.375" style="150" customWidth="1"/>
    <col min="6" max="6" width="9.5" style="150" customWidth="1"/>
    <col min="7" max="7" width="8.125" style="150" customWidth="1"/>
    <col min="8" max="8" width="39.75" style="48" customWidth="1"/>
    <col min="9" max="9" width="9.875" style="48" customWidth="1"/>
    <col min="10" max="10" width="13.25" style="48" customWidth="1"/>
    <col min="11" max="11" width="8.375" style="127" customWidth="1"/>
    <col min="12" max="12" width="10" style="126" customWidth="1"/>
    <col min="13" max="13" width="37.75" style="126" customWidth="1"/>
    <col min="14" max="14" width="6.5" style="126" customWidth="1"/>
    <col min="15" max="15" width="6" style="126" customWidth="1"/>
    <col min="16" max="16" width="9" style="126" customWidth="1"/>
    <col min="17" max="17" width="15.375" style="126" customWidth="1"/>
    <col min="18" max="19" width="11.75" style="126" customWidth="1"/>
    <col min="20" max="20" width="10.125" style="126" customWidth="1"/>
    <col min="21" max="22" width="11.75" style="126" customWidth="1"/>
    <col min="23" max="23" width="55.5" style="126" customWidth="1"/>
    <col min="24" max="24" width="11.375" style="150" customWidth="1"/>
    <col min="25" max="26" width="5.25" style="48" customWidth="1"/>
    <col min="27" max="27" width="12.25" style="150" customWidth="1"/>
    <col min="28" max="28" width="9" style="48"/>
    <col min="29" max="29" width="9" style="48" outlineLevel="2"/>
    <col min="30" max="16384" width="9" style="48"/>
  </cols>
  <sheetData>
    <row r="1" spans="1:27" ht="18.75">
      <c r="A1" s="738" t="s">
        <v>0</v>
      </c>
      <c r="B1" s="257"/>
      <c r="C1" s="59"/>
      <c r="D1" s="535"/>
      <c r="E1" s="535"/>
      <c r="F1" s="535"/>
      <c r="G1" s="535"/>
      <c r="H1" s="61"/>
      <c r="I1" s="60"/>
      <c r="J1" s="60"/>
      <c r="K1" s="70"/>
      <c r="L1" s="60"/>
      <c r="M1" s="71"/>
      <c r="N1" s="71"/>
      <c r="O1" s="71"/>
      <c r="P1" s="71"/>
      <c r="Q1" s="71"/>
      <c r="R1" s="71"/>
      <c r="S1" s="71"/>
      <c r="T1" s="71"/>
      <c r="U1" s="71"/>
      <c r="V1" s="71"/>
      <c r="W1" s="71"/>
      <c r="X1" s="249"/>
    </row>
    <row r="2" spans="1:27" s="18" customFormat="1">
      <c r="A2" s="907" t="s">
        <v>4907</v>
      </c>
      <c r="B2" s="908"/>
      <c r="C2" s="908"/>
      <c r="D2" s="908"/>
      <c r="E2" s="908"/>
      <c r="F2" s="908"/>
      <c r="G2" s="908"/>
      <c r="H2" s="908"/>
      <c r="I2" s="908"/>
      <c r="J2" s="908"/>
      <c r="K2" s="908"/>
      <c r="L2" s="908"/>
      <c r="M2" s="908"/>
      <c r="N2" s="908"/>
      <c r="O2" s="908"/>
      <c r="P2" s="908"/>
      <c r="Q2" s="908"/>
      <c r="R2" s="908"/>
      <c r="S2" s="908"/>
      <c r="T2" s="908"/>
      <c r="U2" s="908"/>
      <c r="V2" s="908"/>
      <c r="W2" s="908"/>
      <c r="X2" s="908"/>
      <c r="AA2" s="55"/>
    </row>
    <row r="3" spans="1:27" s="18" customFormat="1">
      <c r="A3" s="909"/>
      <c r="B3" s="908"/>
      <c r="C3" s="908"/>
      <c r="D3" s="908"/>
      <c r="E3" s="908"/>
      <c r="F3" s="908"/>
      <c r="G3" s="908"/>
      <c r="H3" s="908"/>
      <c r="I3" s="908"/>
      <c r="J3" s="908"/>
      <c r="K3" s="908"/>
      <c r="L3" s="908"/>
      <c r="M3" s="908"/>
      <c r="N3" s="908"/>
      <c r="O3" s="908"/>
      <c r="P3" s="908"/>
      <c r="Q3" s="908"/>
      <c r="R3" s="908"/>
      <c r="S3" s="908"/>
      <c r="T3" s="908"/>
      <c r="U3" s="908"/>
      <c r="V3" s="908"/>
      <c r="W3" s="908"/>
      <c r="X3" s="908"/>
      <c r="AA3" s="55"/>
    </row>
    <row r="4" spans="1:27" s="18" customFormat="1" ht="18.75">
      <c r="A4" s="739"/>
      <c r="B4" s="258"/>
      <c r="C4" s="64"/>
      <c r="D4" s="536"/>
      <c r="E4" s="536"/>
      <c r="F4" s="536"/>
      <c r="G4" s="536"/>
      <c r="H4" s="66"/>
      <c r="I4" s="67"/>
      <c r="J4" s="67"/>
      <c r="K4" s="72"/>
      <c r="L4" s="68"/>
      <c r="M4" s="73"/>
      <c r="N4" s="73"/>
      <c r="O4" s="73"/>
      <c r="P4" s="73"/>
      <c r="Q4" s="73"/>
      <c r="R4" s="73"/>
      <c r="S4" s="73"/>
      <c r="T4" s="73"/>
      <c r="U4" s="73"/>
      <c r="V4" s="73"/>
      <c r="W4" s="73"/>
      <c r="X4" s="248"/>
      <c r="AA4" s="55"/>
    </row>
    <row r="5" spans="1:27" s="19" customFormat="1" ht="12.75">
      <c r="A5" s="910" t="s">
        <v>4908</v>
      </c>
      <c r="B5" s="911"/>
      <c r="C5" s="912"/>
      <c r="D5" s="912"/>
      <c r="E5" s="912"/>
      <c r="F5" s="912"/>
      <c r="G5" s="912"/>
      <c r="H5" s="912"/>
      <c r="I5" s="912"/>
      <c r="J5" s="912"/>
      <c r="K5" s="912"/>
      <c r="L5" s="912"/>
      <c r="M5" s="912"/>
      <c r="N5" s="912"/>
      <c r="O5" s="912"/>
      <c r="P5" s="912"/>
      <c r="Q5" s="912"/>
      <c r="R5" s="912"/>
      <c r="S5" s="912"/>
      <c r="T5" s="912"/>
      <c r="U5" s="912"/>
      <c r="V5" s="912"/>
      <c r="W5" s="912"/>
      <c r="X5" s="912"/>
      <c r="AA5" s="732"/>
    </row>
    <row r="6" spans="1:27" s="22" customFormat="1" ht="11.25">
      <c r="A6" s="24" t="s">
        <v>4909</v>
      </c>
      <c r="B6" s="938" t="s">
        <v>4910</v>
      </c>
      <c r="C6" s="938"/>
      <c r="D6" s="938"/>
      <c r="E6" s="938"/>
      <c r="F6" s="938"/>
      <c r="G6" s="938"/>
      <c r="H6" s="938"/>
      <c r="I6" s="938"/>
      <c r="J6" s="938"/>
      <c r="K6" s="938"/>
      <c r="L6" s="938"/>
      <c r="M6" s="938"/>
      <c r="N6" s="938"/>
      <c r="O6" s="938"/>
      <c r="P6" s="938"/>
      <c r="Q6" s="938"/>
      <c r="R6" s="938"/>
      <c r="S6" s="938"/>
      <c r="T6" s="74"/>
      <c r="U6" s="74"/>
      <c r="V6" s="74"/>
      <c r="W6" s="74"/>
      <c r="X6" s="248"/>
      <c r="AA6" s="733"/>
    </row>
    <row r="7" spans="1:27" ht="15">
      <c r="A7" s="914" t="s">
        <v>4911</v>
      </c>
      <c r="B7" s="915"/>
      <c r="C7" s="915"/>
      <c r="D7" s="915"/>
      <c r="E7" s="915"/>
      <c r="F7" s="915"/>
      <c r="G7" s="915"/>
      <c r="H7" s="915"/>
      <c r="I7" s="915"/>
      <c r="J7" s="915"/>
      <c r="K7" s="915"/>
      <c r="L7" s="915"/>
      <c r="M7" s="915"/>
      <c r="N7" s="915"/>
      <c r="O7" s="915"/>
      <c r="P7" s="915"/>
      <c r="Q7" s="915"/>
      <c r="R7" s="915"/>
      <c r="S7" s="915"/>
      <c r="T7" s="915"/>
      <c r="U7" s="915"/>
      <c r="V7" s="915"/>
      <c r="W7" s="915"/>
      <c r="X7" s="915"/>
    </row>
    <row r="8" spans="1:27" ht="15" customHeight="1">
      <c r="A8" s="875" t="s">
        <v>4452</v>
      </c>
      <c r="B8" s="875" t="s">
        <v>4912</v>
      </c>
      <c r="C8" s="875" t="s">
        <v>4571</v>
      </c>
      <c r="D8" s="875" t="s">
        <v>4456</v>
      </c>
      <c r="E8" s="875" t="s">
        <v>4457</v>
      </c>
      <c r="F8" s="916" t="s">
        <v>4458</v>
      </c>
      <c r="G8" s="916" t="s">
        <v>4459</v>
      </c>
      <c r="H8" s="875" t="s">
        <v>4460</v>
      </c>
      <c r="I8" s="875" t="s">
        <v>4461</v>
      </c>
      <c r="J8" s="875" t="s">
        <v>4462</v>
      </c>
      <c r="K8" s="875" t="s">
        <v>54</v>
      </c>
      <c r="L8" s="875" t="s">
        <v>4463</v>
      </c>
      <c r="M8" s="875" t="s">
        <v>4464</v>
      </c>
      <c r="N8" s="875" t="s">
        <v>4465</v>
      </c>
      <c r="O8" s="875" t="s">
        <v>4466</v>
      </c>
      <c r="P8" s="875" t="s">
        <v>4913</v>
      </c>
      <c r="Q8" s="875" t="s">
        <v>4914</v>
      </c>
      <c r="R8" s="875"/>
      <c r="S8" s="875"/>
      <c r="T8" s="875" t="s">
        <v>4915</v>
      </c>
      <c r="U8" s="875"/>
      <c r="V8" s="875"/>
      <c r="W8" s="875" t="s">
        <v>4916</v>
      </c>
      <c r="X8" s="875" t="s">
        <v>4917</v>
      </c>
      <c r="AA8" s="875" t="s">
        <v>4918</v>
      </c>
    </row>
    <row r="9" spans="1:27" ht="48" customHeight="1">
      <c r="A9" s="875"/>
      <c r="B9" s="875"/>
      <c r="C9" s="875"/>
      <c r="D9" s="875"/>
      <c r="E9" s="875"/>
      <c r="F9" s="916"/>
      <c r="G9" s="916"/>
      <c r="H9" s="875"/>
      <c r="I9" s="875"/>
      <c r="J9" s="875"/>
      <c r="K9" s="875"/>
      <c r="L9" s="875"/>
      <c r="M9" s="875"/>
      <c r="N9" s="875"/>
      <c r="O9" s="875"/>
      <c r="P9" s="875"/>
      <c r="Q9" s="56" t="s">
        <v>4919</v>
      </c>
      <c r="R9" s="56" t="s">
        <v>4920</v>
      </c>
      <c r="S9" s="56" t="s">
        <v>467</v>
      </c>
      <c r="T9" s="56" t="s">
        <v>4919</v>
      </c>
      <c r="U9" s="56" t="s">
        <v>4920</v>
      </c>
      <c r="V9" s="56" t="s">
        <v>467</v>
      </c>
      <c r="W9" s="875"/>
      <c r="X9" s="917"/>
      <c r="AA9" s="917"/>
    </row>
    <row r="10" spans="1:27" s="18" customFormat="1" ht="11.25">
      <c r="A10" s="337" t="s">
        <v>4467</v>
      </c>
      <c r="B10" s="333" t="s">
        <v>4921</v>
      </c>
      <c r="C10" s="334" t="s">
        <v>4922</v>
      </c>
      <c r="D10" s="337" t="s">
        <v>1861</v>
      </c>
      <c r="E10" s="337"/>
      <c r="F10" s="337"/>
      <c r="G10" s="337"/>
      <c r="H10" s="335"/>
      <c r="I10" s="334"/>
      <c r="J10" s="334"/>
      <c r="K10" s="332"/>
      <c r="L10" s="332"/>
      <c r="M10" s="332"/>
      <c r="N10" s="332"/>
      <c r="O10" s="332"/>
      <c r="P10" s="332" t="s">
        <v>4923</v>
      </c>
      <c r="Q10" s="336" t="s">
        <v>4924</v>
      </c>
      <c r="R10" s="336"/>
      <c r="S10" s="336"/>
      <c r="T10" s="336"/>
      <c r="U10" s="336"/>
      <c r="V10" s="336"/>
      <c r="W10" s="336" t="s">
        <v>25</v>
      </c>
      <c r="X10" s="337" t="s">
        <v>4925</v>
      </c>
      <c r="AA10" s="337" t="s">
        <v>148</v>
      </c>
    </row>
    <row r="11" spans="1:27" s="18" customFormat="1" ht="11.25">
      <c r="A11" s="88"/>
      <c r="B11" s="262"/>
      <c r="C11" s="254"/>
      <c r="D11" s="88"/>
      <c r="E11" s="88" t="s">
        <v>94</v>
      </c>
      <c r="F11" s="88" t="s">
        <v>4477</v>
      </c>
      <c r="G11" s="88" t="s">
        <v>4926</v>
      </c>
      <c r="H11" s="149" t="s">
        <v>4927</v>
      </c>
      <c r="I11" s="252"/>
      <c r="J11" s="252"/>
      <c r="K11" s="252"/>
      <c r="L11" s="252" t="s">
        <v>161</v>
      </c>
      <c r="M11" s="252"/>
      <c r="N11" s="252" t="s">
        <v>4467</v>
      </c>
      <c r="O11" s="252" t="s">
        <v>94</v>
      </c>
      <c r="P11" s="252"/>
      <c r="Q11" s="252"/>
      <c r="R11" s="252"/>
      <c r="S11" s="252"/>
      <c r="T11" s="252"/>
      <c r="U11" s="252"/>
      <c r="V11" s="252"/>
      <c r="W11" s="252"/>
      <c r="X11" s="88"/>
      <c r="AA11" s="88"/>
    </row>
    <row r="12" spans="1:27" s="18" customFormat="1" ht="11.25">
      <c r="A12" s="337">
        <f>A10+1</f>
        <v>2</v>
      </c>
      <c r="B12" s="333" t="s">
        <v>4587</v>
      </c>
      <c r="C12" s="334" t="s">
        <v>4588</v>
      </c>
      <c r="D12" s="337" t="s">
        <v>4517</v>
      </c>
      <c r="E12" s="337"/>
      <c r="F12" s="337"/>
      <c r="G12" s="337"/>
      <c r="H12" s="335"/>
      <c r="I12" s="334"/>
      <c r="J12" s="334"/>
      <c r="K12" s="332"/>
      <c r="L12" s="332"/>
      <c r="M12" s="332"/>
      <c r="N12" s="332"/>
      <c r="O12" s="332"/>
      <c r="P12" s="332" t="s">
        <v>4923</v>
      </c>
      <c r="Q12" s="336" t="s">
        <v>4924</v>
      </c>
      <c r="R12" s="336"/>
      <c r="S12" s="336"/>
      <c r="T12" s="336"/>
      <c r="U12" s="336"/>
      <c r="V12" s="336"/>
      <c r="W12" s="336" t="s">
        <v>25</v>
      </c>
      <c r="X12" s="337" t="s">
        <v>4925</v>
      </c>
      <c r="AA12" s="337" t="s">
        <v>148</v>
      </c>
    </row>
    <row r="13" spans="1:27" s="18" customFormat="1" ht="11.25">
      <c r="A13" s="88"/>
      <c r="B13" s="262"/>
      <c r="C13" s="254"/>
      <c r="D13" s="88"/>
      <c r="E13" s="88" t="s">
        <v>94</v>
      </c>
      <c r="F13" s="88" t="s">
        <v>4477</v>
      </c>
      <c r="G13" s="88" t="s">
        <v>4928</v>
      </c>
      <c r="H13" s="149" t="s">
        <v>4929</v>
      </c>
      <c r="I13" s="252"/>
      <c r="J13" s="252"/>
      <c r="K13" s="252"/>
      <c r="L13" s="252" t="s">
        <v>161</v>
      </c>
      <c r="M13" s="252"/>
      <c r="N13" s="252" t="s">
        <v>4467</v>
      </c>
      <c r="O13" s="252" t="s">
        <v>94</v>
      </c>
      <c r="P13" s="252"/>
      <c r="Q13" s="252"/>
      <c r="R13" s="252"/>
      <c r="S13" s="252"/>
      <c r="T13" s="252"/>
      <c r="U13" s="252"/>
      <c r="V13" s="252"/>
      <c r="W13" s="252"/>
      <c r="X13" s="88"/>
      <c r="AA13" s="88"/>
    </row>
    <row r="14" spans="1:27" s="18" customFormat="1" ht="11.25">
      <c r="A14" s="337">
        <f>A12+1</f>
        <v>3</v>
      </c>
      <c r="B14" s="333" t="s">
        <v>4593</v>
      </c>
      <c r="C14" s="334" t="s">
        <v>4594</v>
      </c>
      <c r="D14" s="337" t="s">
        <v>1861</v>
      </c>
      <c r="E14" s="337"/>
      <c r="F14" s="337"/>
      <c r="G14" s="337"/>
      <c r="H14" s="335"/>
      <c r="I14" s="334"/>
      <c r="J14" s="334"/>
      <c r="K14" s="332"/>
      <c r="L14" s="332"/>
      <c r="M14" s="332"/>
      <c r="N14" s="332"/>
      <c r="O14" s="332"/>
      <c r="P14" s="332" t="s">
        <v>4923</v>
      </c>
      <c r="Q14" s="336" t="s">
        <v>4924</v>
      </c>
      <c r="R14" s="336"/>
      <c r="S14" s="336"/>
      <c r="T14" s="336"/>
      <c r="U14" s="336"/>
      <c r="V14" s="336"/>
      <c r="W14" s="336" t="s">
        <v>25</v>
      </c>
      <c r="X14" s="337" t="s">
        <v>4925</v>
      </c>
      <c r="AA14" s="337" t="s">
        <v>148</v>
      </c>
    </row>
    <row r="15" spans="1:27" s="18" customFormat="1" ht="11.25">
      <c r="A15" s="88"/>
      <c r="B15" s="262"/>
      <c r="C15" s="254"/>
      <c r="D15" s="88"/>
      <c r="E15" s="88" t="s">
        <v>94</v>
      </c>
      <c r="F15" s="88" t="s">
        <v>4477</v>
      </c>
      <c r="G15" s="88" t="s">
        <v>4926</v>
      </c>
      <c r="H15" s="149" t="s">
        <v>4930</v>
      </c>
      <c r="I15" s="252"/>
      <c r="J15" s="252"/>
      <c r="K15" s="252"/>
      <c r="L15" s="252" t="s">
        <v>161</v>
      </c>
      <c r="M15" s="252"/>
      <c r="N15" s="252" t="s">
        <v>4467</v>
      </c>
      <c r="O15" s="252" t="s">
        <v>94</v>
      </c>
      <c r="P15" s="252"/>
      <c r="Q15" s="252"/>
      <c r="R15" s="252"/>
      <c r="S15" s="252"/>
      <c r="T15" s="252"/>
      <c r="U15" s="252"/>
      <c r="V15" s="252"/>
      <c r="W15" s="252"/>
      <c r="X15" s="88"/>
      <c r="AA15" s="88"/>
    </row>
    <row r="16" spans="1:27" s="18" customFormat="1" ht="11.25">
      <c r="A16" s="337">
        <f>A14+1</f>
        <v>4</v>
      </c>
      <c r="B16" s="333" t="s">
        <v>4597</v>
      </c>
      <c r="C16" s="334" t="s">
        <v>4598</v>
      </c>
      <c r="D16" s="337" t="s">
        <v>1861</v>
      </c>
      <c r="E16" s="337"/>
      <c r="F16" s="337"/>
      <c r="G16" s="337"/>
      <c r="H16" s="335"/>
      <c r="I16" s="334"/>
      <c r="J16" s="334"/>
      <c r="K16" s="332"/>
      <c r="L16" s="332"/>
      <c r="M16" s="332"/>
      <c r="N16" s="332"/>
      <c r="O16" s="332"/>
      <c r="P16" s="332" t="s">
        <v>4923</v>
      </c>
      <c r="Q16" s="336" t="s">
        <v>4924</v>
      </c>
      <c r="R16" s="336"/>
      <c r="S16" s="336"/>
      <c r="T16" s="336"/>
      <c r="U16" s="336"/>
      <c r="V16" s="336"/>
      <c r="W16" s="336" t="s">
        <v>25</v>
      </c>
      <c r="X16" s="337" t="s">
        <v>4925</v>
      </c>
      <c r="AA16" s="337" t="s">
        <v>148</v>
      </c>
    </row>
    <row r="17" spans="1:27" s="18" customFormat="1" ht="11.25">
      <c r="A17" s="88"/>
      <c r="B17" s="262"/>
      <c r="C17" s="254"/>
      <c r="D17" s="88"/>
      <c r="E17" s="88" t="s">
        <v>94</v>
      </c>
      <c r="F17" s="88" t="s">
        <v>4477</v>
      </c>
      <c r="G17" s="88" t="s">
        <v>4926</v>
      </c>
      <c r="H17" s="149" t="s">
        <v>4931</v>
      </c>
      <c r="I17" s="252"/>
      <c r="J17" s="252"/>
      <c r="K17" s="252"/>
      <c r="L17" s="252" t="s">
        <v>161</v>
      </c>
      <c r="M17" s="252"/>
      <c r="N17" s="252" t="s">
        <v>4467</v>
      </c>
      <c r="O17" s="252" t="s">
        <v>94</v>
      </c>
      <c r="P17" s="252"/>
      <c r="Q17" s="252"/>
      <c r="R17" s="252"/>
      <c r="S17" s="252"/>
      <c r="T17" s="252"/>
      <c r="U17" s="252"/>
      <c r="V17" s="252"/>
      <c r="W17" s="252"/>
      <c r="X17" s="88"/>
      <c r="AA17" s="88"/>
    </row>
    <row r="18" spans="1:27" s="18" customFormat="1" ht="11.25">
      <c r="A18" s="337">
        <f>A16+1</f>
        <v>5</v>
      </c>
      <c r="B18" s="333" t="s">
        <v>4599</v>
      </c>
      <c r="C18" s="334" t="s">
        <v>4600</v>
      </c>
      <c r="D18" s="337" t="s">
        <v>1934</v>
      </c>
      <c r="E18" s="337"/>
      <c r="F18" s="337"/>
      <c r="G18" s="337"/>
      <c r="H18" s="335"/>
      <c r="I18" s="334"/>
      <c r="J18" s="334"/>
      <c r="K18" s="332"/>
      <c r="L18" s="332"/>
      <c r="M18" s="332"/>
      <c r="N18" s="332"/>
      <c r="O18" s="332"/>
      <c r="P18" s="332" t="s">
        <v>4932</v>
      </c>
      <c r="Q18" s="336" t="s">
        <v>4924</v>
      </c>
      <c r="R18" s="336"/>
      <c r="S18" s="336"/>
      <c r="T18" s="336" t="s">
        <v>478</v>
      </c>
      <c r="U18" s="336"/>
      <c r="V18" s="336" t="s">
        <v>479</v>
      </c>
      <c r="W18" s="336" t="s">
        <v>25</v>
      </c>
      <c r="X18" s="337" t="s">
        <v>4925</v>
      </c>
      <c r="AA18" s="337" t="s">
        <v>148</v>
      </c>
    </row>
    <row r="19" spans="1:27" s="18" customFormat="1" ht="11.25">
      <c r="A19" s="88"/>
      <c r="B19" s="262"/>
      <c r="C19" s="254"/>
      <c r="D19" s="88"/>
      <c r="E19" s="88" t="s">
        <v>94</v>
      </c>
      <c r="F19" s="88" t="s">
        <v>4477</v>
      </c>
      <c r="G19" s="88" t="s">
        <v>4933</v>
      </c>
      <c r="H19" s="149" t="s">
        <v>4934</v>
      </c>
      <c r="I19" s="252"/>
      <c r="J19" s="252"/>
      <c r="K19" s="252"/>
      <c r="L19" s="252" t="s">
        <v>161</v>
      </c>
      <c r="M19" s="252"/>
      <c r="N19" s="252" t="s">
        <v>4467</v>
      </c>
      <c r="O19" s="252" t="s">
        <v>94</v>
      </c>
      <c r="P19" s="252"/>
      <c r="Q19" s="252"/>
      <c r="R19" s="252"/>
      <c r="S19" s="252"/>
      <c r="T19" s="252"/>
      <c r="U19" s="252"/>
      <c r="V19" s="252"/>
      <c r="W19" s="252"/>
      <c r="X19" s="88"/>
      <c r="AA19" s="88"/>
    </row>
    <row r="20" spans="1:27" s="18" customFormat="1" ht="11.25">
      <c r="A20" s="337">
        <f>A18+1</f>
        <v>6</v>
      </c>
      <c r="B20" s="333" t="s">
        <v>4601</v>
      </c>
      <c r="C20" s="334" t="s">
        <v>4602</v>
      </c>
      <c r="D20" s="337" t="s">
        <v>1985</v>
      </c>
      <c r="E20" s="337"/>
      <c r="F20" s="337"/>
      <c r="G20" s="337"/>
      <c r="H20" s="335"/>
      <c r="I20" s="334"/>
      <c r="J20" s="334"/>
      <c r="K20" s="332"/>
      <c r="L20" s="332"/>
      <c r="M20" s="332"/>
      <c r="N20" s="332"/>
      <c r="O20" s="332"/>
      <c r="P20" s="332" t="s">
        <v>4932</v>
      </c>
      <c r="Q20" s="336" t="s">
        <v>4924</v>
      </c>
      <c r="R20" s="336"/>
      <c r="S20" s="336"/>
      <c r="T20" s="336" t="s">
        <v>478</v>
      </c>
      <c r="U20" s="336"/>
      <c r="V20" s="336" t="s">
        <v>479</v>
      </c>
      <c r="W20" s="336" t="s">
        <v>25</v>
      </c>
      <c r="X20" s="337" t="s">
        <v>4925</v>
      </c>
      <c r="AA20" s="337" t="s">
        <v>148</v>
      </c>
    </row>
    <row r="21" spans="1:27" s="18" customFormat="1" ht="11.25">
      <c r="A21" s="88"/>
      <c r="B21" s="262"/>
      <c r="C21" s="254"/>
      <c r="D21" s="88"/>
      <c r="E21" s="88" t="s">
        <v>94</v>
      </c>
      <c r="F21" s="88" t="s">
        <v>4477</v>
      </c>
      <c r="G21" s="88" t="s">
        <v>4935</v>
      </c>
      <c r="H21" s="149" t="s">
        <v>4936</v>
      </c>
      <c r="I21" s="252"/>
      <c r="J21" s="252"/>
      <c r="K21" s="252"/>
      <c r="L21" s="252" t="s">
        <v>161</v>
      </c>
      <c r="M21" s="252"/>
      <c r="N21" s="252" t="s">
        <v>4467</v>
      </c>
      <c r="O21" s="252" t="s">
        <v>94</v>
      </c>
      <c r="P21" s="252"/>
      <c r="Q21" s="252"/>
      <c r="R21" s="252"/>
      <c r="S21" s="252"/>
      <c r="T21" s="252"/>
      <c r="U21" s="252"/>
      <c r="V21" s="252"/>
      <c r="W21" s="252"/>
      <c r="X21" s="88"/>
      <c r="AA21" s="88"/>
    </row>
    <row r="22" spans="1:27" s="18" customFormat="1" ht="11.25">
      <c r="A22" s="337">
        <f>A20+1</f>
        <v>7</v>
      </c>
      <c r="B22" s="333" t="s">
        <v>4603</v>
      </c>
      <c r="C22" s="334" t="s">
        <v>4604</v>
      </c>
      <c r="D22" s="337" t="s">
        <v>4937</v>
      </c>
      <c r="E22" s="337"/>
      <c r="F22" s="337"/>
      <c r="G22" s="337"/>
      <c r="H22" s="335"/>
      <c r="I22" s="334"/>
      <c r="J22" s="334"/>
      <c r="K22" s="332"/>
      <c r="L22" s="332"/>
      <c r="M22" s="332"/>
      <c r="N22" s="332"/>
      <c r="O22" s="332"/>
      <c r="P22" s="332" t="s">
        <v>4923</v>
      </c>
      <c r="Q22" s="336" t="s">
        <v>476</v>
      </c>
      <c r="R22" s="336"/>
      <c r="S22" s="336"/>
      <c r="T22" s="336"/>
      <c r="U22" s="336"/>
      <c r="V22" s="336"/>
      <c r="W22" s="336" t="s">
        <v>25</v>
      </c>
      <c r="X22" s="337" t="s">
        <v>4925</v>
      </c>
      <c r="AA22" s="337" t="s">
        <v>148</v>
      </c>
    </row>
    <row r="23" spans="1:27" s="18" customFormat="1" ht="11.25">
      <c r="A23" s="88"/>
      <c r="B23" s="262"/>
      <c r="C23" s="254"/>
      <c r="D23" s="88"/>
      <c r="E23" s="88" t="s">
        <v>94</v>
      </c>
      <c r="F23" s="88" t="s">
        <v>4477</v>
      </c>
      <c r="G23" s="88" t="s">
        <v>4926</v>
      </c>
      <c r="H23" s="149" t="s">
        <v>4938</v>
      </c>
      <c r="I23" s="252"/>
      <c r="J23" s="252"/>
      <c r="K23" s="252"/>
      <c r="L23" s="252" t="s">
        <v>161</v>
      </c>
      <c r="M23" s="252"/>
      <c r="N23" s="252" t="s">
        <v>4467</v>
      </c>
      <c r="O23" s="252" t="s">
        <v>94</v>
      </c>
      <c r="P23" s="252"/>
      <c r="Q23" s="252"/>
      <c r="R23" s="252"/>
      <c r="S23" s="252"/>
      <c r="T23" s="252"/>
      <c r="U23" s="252"/>
      <c r="V23" s="252"/>
      <c r="W23" s="252"/>
      <c r="X23" s="88"/>
      <c r="AA23" s="88"/>
    </row>
    <row r="24" spans="1:27" s="18" customFormat="1" ht="11.25">
      <c r="A24" s="337">
        <f>A22+1</f>
        <v>8</v>
      </c>
      <c r="B24" s="333" t="s">
        <v>4605</v>
      </c>
      <c r="C24" s="334" t="s">
        <v>4472</v>
      </c>
      <c r="D24" s="337" t="s">
        <v>4467</v>
      </c>
      <c r="E24" s="337"/>
      <c r="F24" s="337"/>
      <c r="G24" s="337"/>
      <c r="H24" s="335"/>
      <c r="I24" s="334"/>
      <c r="J24" s="334"/>
      <c r="K24" s="332"/>
      <c r="L24" s="332"/>
      <c r="M24" s="332"/>
      <c r="N24" s="332"/>
      <c r="O24" s="332"/>
      <c r="P24" s="332" t="s">
        <v>4923</v>
      </c>
      <c r="Q24" s="336" t="s">
        <v>4924</v>
      </c>
      <c r="R24" s="336"/>
      <c r="S24" s="336"/>
      <c r="T24" s="336"/>
      <c r="U24" s="336"/>
      <c r="V24" s="336"/>
      <c r="W24" s="336" t="s">
        <v>25</v>
      </c>
      <c r="X24" s="337" t="s">
        <v>4925</v>
      </c>
      <c r="AA24" s="337" t="s">
        <v>148</v>
      </c>
    </row>
    <row r="25" spans="1:27" s="18" customFormat="1" ht="67.5">
      <c r="A25" s="88"/>
      <c r="B25" s="262"/>
      <c r="C25" s="254"/>
      <c r="D25" s="88"/>
      <c r="E25" s="88">
        <v>0</v>
      </c>
      <c r="F25" s="88">
        <v>7</v>
      </c>
      <c r="G25" s="88">
        <v>0</v>
      </c>
      <c r="H25" s="395" t="s">
        <v>4472</v>
      </c>
      <c r="I25" s="395" t="s">
        <v>30</v>
      </c>
      <c r="J25" s="395" t="s">
        <v>42</v>
      </c>
      <c r="K25" s="313"/>
      <c r="L25" s="313" t="s">
        <v>4444</v>
      </c>
      <c r="M25" s="395" t="s">
        <v>4473</v>
      </c>
      <c r="N25" s="395" t="s">
        <v>33</v>
      </c>
      <c r="O25" s="395" t="s">
        <v>30</v>
      </c>
      <c r="P25" s="252"/>
      <c r="Q25" s="252"/>
      <c r="R25" s="252"/>
      <c r="S25" s="252"/>
      <c r="T25" s="252"/>
      <c r="U25" s="252"/>
      <c r="V25" s="252"/>
      <c r="W25" s="252"/>
      <c r="X25" s="88"/>
      <c r="AA25" s="88"/>
    </row>
    <row r="26" spans="1:27" s="18" customFormat="1" ht="11.25">
      <c r="A26" s="337">
        <f>A24+1</f>
        <v>9</v>
      </c>
      <c r="B26" s="333" t="s">
        <v>4548</v>
      </c>
      <c r="C26" s="334" t="s">
        <v>4606</v>
      </c>
      <c r="D26" s="337" t="s">
        <v>4474</v>
      </c>
      <c r="E26" s="337"/>
      <c r="F26" s="337"/>
      <c r="G26" s="337"/>
      <c r="H26" s="335"/>
      <c r="I26" s="334"/>
      <c r="J26" s="334"/>
      <c r="K26" s="332"/>
      <c r="L26" s="332"/>
      <c r="M26" s="332"/>
      <c r="N26" s="332"/>
      <c r="O26" s="332"/>
      <c r="P26" s="332" t="s">
        <v>4923</v>
      </c>
      <c r="Q26" s="336" t="s">
        <v>4924</v>
      </c>
      <c r="R26" s="336"/>
      <c r="S26" s="336"/>
      <c r="T26" s="336"/>
      <c r="U26" s="336"/>
      <c r="V26" s="336"/>
      <c r="W26" s="336" t="s">
        <v>25</v>
      </c>
      <c r="X26" s="337" t="s">
        <v>4925</v>
      </c>
      <c r="AA26" s="337" t="s">
        <v>148</v>
      </c>
    </row>
    <row r="27" spans="1:27" s="18" customFormat="1" ht="11.25">
      <c r="A27" s="88"/>
      <c r="B27" s="262"/>
      <c r="C27" s="254"/>
      <c r="D27" s="88"/>
      <c r="E27" s="88" t="s">
        <v>94</v>
      </c>
      <c r="F27" s="88" t="s">
        <v>4477</v>
      </c>
      <c r="G27" s="88" t="s">
        <v>4478</v>
      </c>
      <c r="H27" s="395" t="s">
        <v>4476</v>
      </c>
      <c r="I27" s="395" t="s">
        <v>30</v>
      </c>
      <c r="J27" s="395" t="s">
        <v>4479</v>
      </c>
      <c r="K27" s="395" t="s">
        <v>4480</v>
      </c>
      <c r="L27" s="313" t="s">
        <v>4444</v>
      </c>
      <c r="M27" s="395" t="s">
        <v>15</v>
      </c>
      <c r="N27" s="395" t="s">
        <v>4481</v>
      </c>
      <c r="O27" s="395" t="s">
        <v>30</v>
      </c>
      <c r="P27" s="252"/>
      <c r="Q27" s="252"/>
      <c r="R27" s="252"/>
      <c r="S27" s="252"/>
      <c r="T27" s="252"/>
      <c r="U27" s="252"/>
      <c r="V27" s="252"/>
      <c r="W27" s="252"/>
      <c r="X27" s="88"/>
      <c r="AA27" s="88"/>
    </row>
    <row r="28" spans="1:27" s="18" customFormat="1" ht="11.25">
      <c r="A28" s="337">
        <f>A26+1</f>
        <v>10</v>
      </c>
      <c r="B28" s="333" t="s">
        <v>4549</v>
      </c>
      <c r="C28" s="334" t="s">
        <v>4607</v>
      </c>
      <c r="D28" s="337" t="s">
        <v>42</v>
      </c>
      <c r="E28" s="337"/>
      <c r="F28" s="337"/>
      <c r="G28" s="337"/>
      <c r="H28" s="335"/>
      <c r="I28" s="334"/>
      <c r="J28" s="334"/>
      <c r="K28" s="332"/>
      <c r="L28" s="332"/>
      <c r="M28" s="332"/>
      <c r="N28" s="332"/>
      <c r="O28" s="332"/>
      <c r="P28" s="332" t="s">
        <v>4923</v>
      </c>
      <c r="Q28" s="336" t="s">
        <v>4924</v>
      </c>
      <c r="R28" s="336"/>
      <c r="S28" s="336"/>
      <c r="T28" s="336"/>
      <c r="U28" s="336"/>
      <c r="V28" s="336"/>
      <c r="W28" s="336" t="s">
        <v>25</v>
      </c>
      <c r="X28" s="337" t="s">
        <v>4925</v>
      </c>
      <c r="AA28" s="337" t="s">
        <v>148</v>
      </c>
    </row>
    <row r="29" spans="1:27" s="18" customFormat="1" ht="11.25">
      <c r="A29" s="88"/>
      <c r="B29" s="262"/>
      <c r="C29" s="254"/>
      <c r="D29" s="88"/>
      <c r="E29" s="88" t="s">
        <v>94</v>
      </c>
      <c r="F29" s="88" t="s">
        <v>4477</v>
      </c>
      <c r="G29" s="88" t="s">
        <v>94</v>
      </c>
      <c r="H29" s="149" t="s">
        <v>4485</v>
      </c>
      <c r="I29" s="252" t="s">
        <v>30</v>
      </c>
      <c r="J29" s="252" t="s">
        <v>2253</v>
      </c>
      <c r="K29" s="252" t="s">
        <v>4486</v>
      </c>
      <c r="L29" s="252" t="s">
        <v>4444</v>
      </c>
      <c r="M29" s="252"/>
      <c r="N29" s="252" t="s">
        <v>4467</v>
      </c>
      <c r="O29" s="252" t="s">
        <v>94</v>
      </c>
      <c r="P29" s="252"/>
      <c r="Q29" s="252"/>
      <c r="R29" s="252"/>
      <c r="S29" s="252"/>
      <c r="T29" s="252"/>
      <c r="U29" s="252"/>
      <c r="V29" s="252"/>
      <c r="W29" s="252"/>
      <c r="X29" s="88"/>
      <c r="AA29" s="88"/>
    </row>
    <row r="30" spans="1:27" s="18" customFormat="1" ht="11.25">
      <c r="A30" s="315"/>
      <c r="B30" s="311"/>
      <c r="C30" s="312"/>
      <c r="D30" s="315"/>
      <c r="E30" s="315" t="s">
        <v>33</v>
      </c>
      <c r="F30" s="315" t="s">
        <v>4487</v>
      </c>
      <c r="G30" s="315" t="s">
        <v>4478</v>
      </c>
      <c r="H30" s="314" t="s">
        <v>4488</v>
      </c>
      <c r="I30" s="312" t="s">
        <v>30</v>
      </c>
      <c r="J30" s="312" t="s">
        <v>2253</v>
      </c>
      <c r="K30" s="313" t="s">
        <v>4489</v>
      </c>
      <c r="L30" s="313" t="s">
        <v>4444</v>
      </c>
      <c r="M30" s="313"/>
      <c r="N30" s="313" t="s">
        <v>4467</v>
      </c>
      <c r="O30" s="313" t="s">
        <v>94</v>
      </c>
      <c r="P30" s="313"/>
      <c r="Q30" s="36"/>
      <c r="R30" s="36"/>
      <c r="S30" s="36"/>
      <c r="T30" s="36"/>
      <c r="U30" s="36"/>
      <c r="V30" s="36"/>
      <c r="W30" s="36"/>
      <c r="X30" s="315"/>
      <c r="AA30" s="88"/>
    </row>
    <row r="31" spans="1:27" s="18" customFormat="1" ht="11.25">
      <c r="A31" s="315"/>
      <c r="B31" s="311"/>
      <c r="C31" s="312"/>
      <c r="D31" s="315"/>
      <c r="E31" s="315" t="s">
        <v>4474</v>
      </c>
      <c r="F31" s="315" t="s">
        <v>4490</v>
      </c>
      <c r="G31" s="315" t="s">
        <v>566</v>
      </c>
      <c r="H31" s="314" t="s">
        <v>4491</v>
      </c>
      <c r="I31" s="313" t="s">
        <v>94</v>
      </c>
      <c r="J31" s="313" t="s">
        <v>4490</v>
      </c>
      <c r="K31" s="313" t="s">
        <v>4492</v>
      </c>
      <c r="L31" s="313" t="s">
        <v>4444</v>
      </c>
      <c r="M31" s="313"/>
      <c r="N31" s="313" t="s">
        <v>4467</v>
      </c>
      <c r="O31" s="313" t="s">
        <v>94</v>
      </c>
      <c r="P31" s="313"/>
      <c r="Q31" s="313"/>
      <c r="R31" s="313"/>
      <c r="S31" s="313"/>
      <c r="T31" s="313"/>
      <c r="U31" s="313"/>
      <c r="V31" s="313"/>
      <c r="W31" s="313"/>
      <c r="X31" s="315"/>
      <c r="AA31" s="88"/>
    </row>
    <row r="32" spans="1:27" s="18" customFormat="1" ht="11.25">
      <c r="A32" s="315"/>
      <c r="B32" s="311"/>
      <c r="C32" s="312"/>
      <c r="D32" s="315"/>
      <c r="E32" s="315" t="s">
        <v>38</v>
      </c>
      <c r="F32" s="315" t="s">
        <v>4493</v>
      </c>
      <c r="G32" s="315" t="s">
        <v>4494</v>
      </c>
      <c r="H32" s="314" t="s">
        <v>4495</v>
      </c>
      <c r="I32" s="312" t="s">
        <v>33</v>
      </c>
      <c r="J32" s="312" t="s">
        <v>2021</v>
      </c>
      <c r="K32" s="313" t="s">
        <v>4496</v>
      </c>
      <c r="L32" s="313" t="s">
        <v>4444</v>
      </c>
      <c r="M32" s="313"/>
      <c r="N32" s="313" t="s">
        <v>4467</v>
      </c>
      <c r="O32" s="313" t="s">
        <v>94</v>
      </c>
      <c r="P32" s="313"/>
      <c r="Q32" s="36"/>
      <c r="R32" s="36"/>
      <c r="S32" s="36"/>
      <c r="T32" s="36"/>
      <c r="U32" s="36"/>
      <c r="V32" s="36"/>
      <c r="W32" s="36"/>
      <c r="X32" s="315"/>
      <c r="AA32" s="88"/>
    </row>
    <row r="33" spans="1:27" s="18" customFormat="1" ht="11.25">
      <c r="A33" s="88"/>
      <c r="B33" s="262"/>
      <c r="C33" s="254"/>
      <c r="D33" s="88"/>
      <c r="E33" s="88" t="s">
        <v>4501</v>
      </c>
      <c r="F33" s="88" t="s">
        <v>4497</v>
      </c>
      <c r="G33" s="88" t="s">
        <v>4498</v>
      </c>
      <c r="H33" s="149" t="s">
        <v>4499</v>
      </c>
      <c r="I33" s="252" t="s">
        <v>33</v>
      </c>
      <c r="J33" s="252" t="s">
        <v>1881</v>
      </c>
      <c r="K33" s="252" t="s">
        <v>4500</v>
      </c>
      <c r="L33" s="252" t="s">
        <v>4444</v>
      </c>
      <c r="M33" s="252"/>
      <c r="N33" s="252" t="s">
        <v>4467</v>
      </c>
      <c r="O33" s="252" t="s">
        <v>94</v>
      </c>
      <c r="P33" s="252"/>
      <c r="Q33" s="252"/>
      <c r="R33" s="252"/>
      <c r="S33" s="252"/>
      <c r="T33" s="252"/>
      <c r="U33" s="252"/>
      <c r="V33" s="252"/>
      <c r="W33" s="252"/>
      <c r="X33" s="88"/>
      <c r="AA33" s="88"/>
    </row>
    <row r="34" spans="1:27" s="18" customFormat="1" ht="11.25">
      <c r="A34" s="337">
        <f>A28+1</f>
        <v>11</v>
      </c>
      <c r="B34" s="333" t="s">
        <v>4939</v>
      </c>
      <c r="C34" s="334" t="s">
        <v>4609</v>
      </c>
      <c r="D34" s="337" t="s">
        <v>1861</v>
      </c>
      <c r="E34" s="337"/>
      <c r="F34" s="337"/>
      <c r="G34" s="337"/>
      <c r="H34" s="335"/>
      <c r="I34" s="334"/>
      <c r="J34" s="334"/>
      <c r="K34" s="332"/>
      <c r="L34" s="332"/>
      <c r="M34" s="332"/>
      <c r="N34" s="332"/>
      <c r="O34" s="332"/>
      <c r="P34" s="332" t="s">
        <v>4923</v>
      </c>
      <c r="Q34" s="336" t="s">
        <v>4924</v>
      </c>
      <c r="R34" s="336"/>
      <c r="S34" s="336"/>
      <c r="T34" s="336"/>
      <c r="U34" s="336"/>
      <c r="V34" s="336"/>
      <c r="W34" s="336" t="s">
        <v>25</v>
      </c>
      <c r="X34" s="337" t="s">
        <v>4925</v>
      </c>
      <c r="AA34" s="337" t="s">
        <v>148</v>
      </c>
    </row>
    <row r="35" spans="1:27" s="18" customFormat="1" ht="11.25">
      <c r="A35" s="88"/>
      <c r="B35" s="262"/>
      <c r="C35" s="254"/>
      <c r="D35" s="88"/>
      <c r="E35" s="88" t="s">
        <v>94</v>
      </c>
      <c r="F35" s="88" t="s">
        <v>4477</v>
      </c>
      <c r="G35" s="88" t="s">
        <v>4926</v>
      </c>
      <c r="H35" s="149" t="s">
        <v>4940</v>
      </c>
      <c r="I35" s="252"/>
      <c r="J35" s="252"/>
      <c r="K35" s="252"/>
      <c r="L35" s="252" t="s">
        <v>161</v>
      </c>
      <c r="M35" s="252"/>
      <c r="N35" s="252" t="s">
        <v>4467</v>
      </c>
      <c r="O35" s="252" t="s">
        <v>94</v>
      </c>
      <c r="P35" s="252"/>
      <c r="Q35" s="252"/>
      <c r="R35" s="252"/>
      <c r="S35" s="252"/>
      <c r="T35" s="252"/>
      <c r="U35" s="252"/>
      <c r="V35" s="252"/>
      <c r="W35" s="252"/>
      <c r="X35" s="88"/>
      <c r="AA35" s="88"/>
    </row>
    <row r="36" spans="1:27" s="18" customFormat="1" ht="11.25">
      <c r="A36" s="337">
        <f>A34+1</f>
        <v>12</v>
      </c>
      <c r="B36" s="333" t="s">
        <v>4941</v>
      </c>
      <c r="C36" s="334" t="s">
        <v>4590</v>
      </c>
      <c r="D36" s="337" t="s">
        <v>1997</v>
      </c>
      <c r="E36" s="337"/>
      <c r="F36" s="337"/>
      <c r="G36" s="337"/>
      <c r="H36" s="335"/>
      <c r="I36" s="334"/>
      <c r="J36" s="334"/>
      <c r="K36" s="332"/>
      <c r="L36" s="332"/>
      <c r="M36" s="332"/>
      <c r="N36" s="332"/>
      <c r="O36" s="332"/>
      <c r="P36" s="332" t="s">
        <v>4923</v>
      </c>
      <c r="Q36" s="336" t="s">
        <v>4924</v>
      </c>
      <c r="R36" s="336"/>
      <c r="S36" s="336"/>
      <c r="T36" s="336"/>
      <c r="U36" s="336"/>
      <c r="V36" s="336"/>
      <c r="W36" s="336" t="s">
        <v>25</v>
      </c>
      <c r="X36" s="337" t="s">
        <v>4925</v>
      </c>
      <c r="AA36" s="337" t="s">
        <v>148</v>
      </c>
    </row>
    <row r="37" spans="1:27" s="18" customFormat="1" ht="11.25">
      <c r="A37" s="88"/>
      <c r="B37" s="262"/>
      <c r="C37" s="254"/>
      <c r="D37" s="88"/>
      <c r="E37" s="88" t="s">
        <v>94</v>
      </c>
      <c r="F37" s="88" t="s">
        <v>4477</v>
      </c>
      <c r="G37" s="88" t="s">
        <v>4942</v>
      </c>
      <c r="H37" s="149" t="s">
        <v>4943</v>
      </c>
      <c r="I37" s="252"/>
      <c r="J37" s="252"/>
      <c r="K37" s="252"/>
      <c r="L37" s="252" t="s">
        <v>161</v>
      </c>
      <c r="M37" s="252"/>
      <c r="N37" s="252" t="s">
        <v>4467</v>
      </c>
      <c r="O37" s="252" t="s">
        <v>94</v>
      </c>
      <c r="P37" s="252"/>
      <c r="Q37" s="252"/>
      <c r="R37" s="252"/>
      <c r="S37" s="252"/>
      <c r="T37" s="252"/>
      <c r="U37" s="252"/>
      <c r="V37" s="252"/>
      <c r="W37" s="252"/>
      <c r="X37" s="88"/>
      <c r="AA37" s="88"/>
    </row>
    <row r="38" spans="1:27" s="18" customFormat="1" ht="11.25">
      <c r="A38" s="337">
        <f>A36+1</f>
        <v>13</v>
      </c>
      <c r="B38" s="333" t="s">
        <v>4610</v>
      </c>
      <c r="C38" s="334" t="s">
        <v>4611</v>
      </c>
      <c r="D38" s="337" t="s">
        <v>1861</v>
      </c>
      <c r="E38" s="337"/>
      <c r="F38" s="337"/>
      <c r="G38" s="337"/>
      <c r="H38" s="335"/>
      <c r="I38" s="334"/>
      <c r="J38" s="334"/>
      <c r="K38" s="332"/>
      <c r="L38" s="332"/>
      <c r="M38" s="332"/>
      <c r="N38" s="332"/>
      <c r="O38" s="332"/>
      <c r="P38" s="332" t="s">
        <v>4932</v>
      </c>
      <c r="Q38" s="336" t="s">
        <v>4924</v>
      </c>
      <c r="R38" s="336"/>
      <c r="S38" s="336"/>
      <c r="T38" s="336"/>
      <c r="U38" s="336" t="s">
        <v>486</v>
      </c>
      <c r="V38" s="336" t="s">
        <v>478</v>
      </c>
      <c r="W38" s="336" t="s">
        <v>25</v>
      </c>
      <c r="X38" s="337" t="s">
        <v>4925</v>
      </c>
      <c r="AA38" s="337" t="s">
        <v>148</v>
      </c>
    </row>
    <row r="39" spans="1:27" s="18" customFormat="1" ht="11.25">
      <c r="A39" s="88"/>
      <c r="B39" s="262"/>
      <c r="C39" s="254"/>
      <c r="D39" s="88"/>
      <c r="E39" s="88" t="s">
        <v>94</v>
      </c>
      <c r="F39" s="88" t="s">
        <v>4477</v>
      </c>
      <c r="G39" s="88" t="s">
        <v>4926</v>
      </c>
      <c r="H39" s="149" t="s">
        <v>4944</v>
      </c>
      <c r="I39" s="252"/>
      <c r="J39" s="252"/>
      <c r="K39" s="252"/>
      <c r="L39" s="252" t="s">
        <v>161</v>
      </c>
      <c r="M39" s="252"/>
      <c r="N39" s="252" t="s">
        <v>4467</v>
      </c>
      <c r="O39" s="252" t="s">
        <v>94</v>
      </c>
      <c r="P39" s="252"/>
      <c r="Q39" s="252"/>
      <c r="R39" s="252"/>
      <c r="S39" s="252"/>
      <c r="T39" s="252"/>
      <c r="U39" s="252"/>
      <c r="V39" s="252"/>
      <c r="W39" s="252"/>
      <c r="X39" s="88"/>
      <c r="AA39" s="88"/>
    </row>
    <row r="40" spans="1:27" s="18" customFormat="1" ht="11.25">
      <c r="A40" s="337">
        <f>A38+1</f>
        <v>14</v>
      </c>
      <c r="B40" s="333" t="s">
        <v>4612</v>
      </c>
      <c r="C40" s="334" t="s">
        <v>4613</v>
      </c>
      <c r="D40" s="337" t="s">
        <v>1861</v>
      </c>
      <c r="E40" s="337"/>
      <c r="F40" s="337"/>
      <c r="G40" s="337"/>
      <c r="H40" s="335"/>
      <c r="I40" s="334"/>
      <c r="J40" s="334"/>
      <c r="K40" s="332"/>
      <c r="L40" s="332"/>
      <c r="M40" s="332"/>
      <c r="N40" s="332"/>
      <c r="O40" s="332"/>
      <c r="P40" s="332" t="s">
        <v>4932</v>
      </c>
      <c r="Q40" s="336" t="s">
        <v>4924</v>
      </c>
      <c r="R40" s="336"/>
      <c r="S40" s="336"/>
      <c r="T40" s="336"/>
      <c r="U40" s="336" t="s">
        <v>486</v>
      </c>
      <c r="V40" s="336" t="s">
        <v>478</v>
      </c>
      <c r="W40" s="336" t="s">
        <v>25</v>
      </c>
      <c r="X40" s="337" t="s">
        <v>4925</v>
      </c>
      <c r="AA40" s="337" t="s">
        <v>148</v>
      </c>
    </row>
    <row r="41" spans="1:27" s="18" customFormat="1" ht="11.25">
      <c r="A41" s="88"/>
      <c r="B41" s="262"/>
      <c r="C41" s="254"/>
      <c r="D41" s="88"/>
      <c r="E41" s="88" t="s">
        <v>94</v>
      </c>
      <c r="F41" s="88" t="s">
        <v>4477</v>
      </c>
      <c r="G41" s="88" t="s">
        <v>4926</v>
      </c>
      <c r="H41" s="149" t="s">
        <v>4945</v>
      </c>
      <c r="I41" s="252"/>
      <c r="J41" s="252"/>
      <c r="K41" s="252"/>
      <c r="L41" s="252" t="s">
        <v>161</v>
      </c>
      <c r="M41" s="252"/>
      <c r="N41" s="252" t="s">
        <v>4467</v>
      </c>
      <c r="O41" s="252" t="s">
        <v>94</v>
      </c>
      <c r="P41" s="252"/>
      <c r="Q41" s="252"/>
      <c r="R41" s="252"/>
      <c r="S41" s="252"/>
      <c r="T41" s="252"/>
      <c r="U41" s="252"/>
      <c r="V41" s="252"/>
      <c r="W41" s="252"/>
      <c r="X41" s="88"/>
      <c r="AA41" s="88"/>
    </row>
    <row r="42" spans="1:27" s="18" customFormat="1" ht="11.25">
      <c r="A42" s="337">
        <f>A40+1</f>
        <v>15</v>
      </c>
      <c r="B42" s="333" t="s">
        <v>4635</v>
      </c>
      <c r="C42" s="334" t="s">
        <v>4636</v>
      </c>
      <c r="D42" s="337" t="s">
        <v>33</v>
      </c>
      <c r="E42" s="337"/>
      <c r="F42" s="337"/>
      <c r="G42" s="337"/>
      <c r="H42" s="335"/>
      <c r="I42" s="334"/>
      <c r="J42" s="334"/>
      <c r="K42" s="332"/>
      <c r="L42" s="332"/>
      <c r="M42" s="332"/>
      <c r="N42" s="332"/>
      <c r="O42" s="332"/>
      <c r="P42" s="332" t="s">
        <v>4932</v>
      </c>
      <c r="Q42" s="336" t="s">
        <v>4924</v>
      </c>
      <c r="R42" s="336"/>
      <c r="S42" s="336"/>
      <c r="T42" s="336" t="s">
        <v>489</v>
      </c>
      <c r="U42" s="336"/>
      <c r="V42" s="336" t="s">
        <v>4946</v>
      </c>
      <c r="W42" s="336"/>
      <c r="X42" s="337" t="s">
        <v>4947</v>
      </c>
      <c r="AA42" s="337" t="s">
        <v>148</v>
      </c>
    </row>
    <row r="43" spans="1:27" s="18" customFormat="1" ht="11.25">
      <c r="A43" s="88"/>
      <c r="B43" s="262"/>
      <c r="C43" s="254"/>
      <c r="D43" s="88"/>
      <c r="E43" s="88" t="s">
        <v>94</v>
      </c>
      <c r="F43" s="88" t="s">
        <v>4467</v>
      </c>
      <c r="G43" s="88" t="s">
        <v>94</v>
      </c>
      <c r="H43" s="149" t="s">
        <v>4948</v>
      </c>
      <c r="I43" s="252" t="s">
        <v>30</v>
      </c>
      <c r="J43" s="252" t="s">
        <v>36</v>
      </c>
      <c r="K43" s="252"/>
      <c r="L43" s="252" t="s">
        <v>4444</v>
      </c>
      <c r="M43" s="252" t="s">
        <v>4949</v>
      </c>
      <c r="N43" s="252" t="s">
        <v>4467</v>
      </c>
      <c r="O43" s="252" t="s">
        <v>94</v>
      </c>
      <c r="P43" s="252"/>
      <c r="Q43" s="252"/>
      <c r="R43" s="252"/>
      <c r="S43" s="252"/>
      <c r="T43" s="252"/>
      <c r="U43" s="252"/>
      <c r="V43" s="252"/>
      <c r="W43" s="252"/>
      <c r="X43" s="88"/>
      <c r="AA43" s="88"/>
    </row>
    <row r="44" spans="1:27" s="18" customFormat="1" ht="11.25">
      <c r="A44" s="337">
        <f>A42+1</f>
        <v>16</v>
      </c>
      <c r="B44" s="333" t="s">
        <v>4638</v>
      </c>
      <c r="C44" s="334" t="s">
        <v>4639</v>
      </c>
      <c r="D44" s="337" t="s">
        <v>1847</v>
      </c>
      <c r="E44" s="337"/>
      <c r="F44" s="337"/>
      <c r="G44" s="337"/>
      <c r="H44" s="335"/>
      <c r="I44" s="334"/>
      <c r="J44" s="334"/>
      <c r="K44" s="332"/>
      <c r="L44" s="332"/>
      <c r="M44" s="332"/>
      <c r="N44" s="332"/>
      <c r="O44" s="332"/>
      <c r="P44" s="332" t="s">
        <v>4932</v>
      </c>
      <c r="Q44" s="336" t="s">
        <v>4924</v>
      </c>
      <c r="R44" s="336"/>
      <c r="S44" s="336"/>
      <c r="T44" s="336" t="s">
        <v>489</v>
      </c>
      <c r="U44" s="336"/>
      <c r="V44" s="336" t="s">
        <v>4950</v>
      </c>
      <c r="W44" s="336"/>
      <c r="X44" s="337" t="s">
        <v>4947</v>
      </c>
      <c r="AA44" s="337" t="s">
        <v>148</v>
      </c>
    </row>
    <row r="45" spans="1:27" s="18" customFormat="1" ht="22.5" customHeight="1">
      <c r="A45" s="88"/>
      <c r="B45" s="262"/>
      <c r="C45" s="254"/>
      <c r="D45" s="88"/>
      <c r="E45" s="88" t="s">
        <v>94</v>
      </c>
      <c r="F45" s="88" t="s">
        <v>4477</v>
      </c>
      <c r="G45" s="88" t="s">
        <v>4951</v>
      </c>
      <c r="H45" s="149" t="s">
        <v>4952</v>
      </c>
      <c r="I45" s="252"/>
      <c r="J45" s="252"/>
      <c r="K45" s="252"/>
      <c r="L45" s="252" t="s">
        <v>152</v>
      </c>
      <c r="M45" s="252"/>
      <c r="N45" s="252" t="s">
        <v>4467</v>
      </c>
      <c r="O45" s="252" t="s">
        <v>94</v>
      </c>
      <c r="P45" s="252"/>
      <c r="Q45" s="252"/>
      <c r="R45" s="252"/>
      <c r="S45" s="252"/>
      <c r="T45" s="252"/>
      <c r="U45" s="252"/>
      <c r="V45" s="252"/>
      <c r="W45" s="262" t="s">
        <v>6472</v>
      </c>
      <c r="X45" s="88"/>
      <c r="AA45" s="88"/>
    </row>
    <row r="46" spans="1:27" s="18" customFormat="1" ht="11.25">
      <c r="A46" s="337">
        <f>A44+1</f>
        <v>17</v>
      </c>
      <c r="B46" s="333" t="s">
        <v>4640</v>
      </c>
      <c r="C46" s="334" t="s">
        <v>4641</v>
      </c>
      <c r="D46" s="337" t="s">
        <v>33</v>
      </c>
      <c r="E46" s="337"/>
      <c r="F46" s="337"/>
      <c r="G46" s="337"/>
      <c r="H46" s="335"/>
      <c r="I46" s="334"/>
      <c r="J46" s="334"/>
      <c r="K46" s="332"/>
      <c r="L46" s="332"/>
      <c r="M46" s="332"/>
      <c r="N46" s="332"/>
      <c r="O46" s="332"/>
      <c r="P46" s="332" t="s">
        <v>4932</v>
      </c>
      <c r="Q46" s="336" t="s">
        <v>4924</v>
      </c>
      <c r="R46" s="336"/>
      <c r="S46" s="336"/>
      <c r="T46" s="336" t="s">
        <v>489</v>
      </c>
      <c r="U46" s="336"/>
      <c r="V46" s="336" t="s">
        <v>4946</v>
      </c>
      <c r="W46" s="336"/>
      <c r="X46" s="337" t="s">
        <v>4947</v>
      </c>
      <c r="AA46" s="337" t="s">
        <v>148</v>
      </c>
    </row>
    <row r="47" spans="1:27" s="18" customFormat="1" ht="11.25">
      <c r="A47" s="88"/>
      <c r="B47" s="262"/>
      <c r="C47" s="254"/>
      <c r="D47" s="88"/>
      <c r="E47" s="88" t="s">
        <v>94</v>
      </c>
      <c r="F47" s="88" t="s">
        <v>4467</v>
      </c>
      <c r="G47" s="88" t="s">
        <v>94</v>
      </c>
      <c r="H47" s="149" t="s">
        <v>4953</v>
      </c>
      <c r="I47" s="252" t="s">
        <v>30</v>
      </c>
      <c r="J47" s="252" t="s">
        <v>33</v>
      </c>
      <c r="K47" s="252"/>
      <c r="L47" s="252" t="s">
        <v>4444</v>
      </c>
      <c r="M47" s="252" t="s">
        <v>4954</v>
      </c>
      <c r="N47" s="252" t="s">
        <v>4467</v>
      </c>
      <c r="O47" s="252" t="s">
        <v>94</v>
      </c>
      <c r="P47" s="252"/>
      <c r="Q47" s="252"/>
      <c r="R47" s="252"/>
      <c r="S47" s="252"/>
      <c r="T47" s="252"/>
      <c r="U47" s="252"/>
      <c r="V47" s="252"/>
      <c r="W47" s="252"/>
      <c r="X47" s="88"/>
      <c r="AA47" s="88"/>
    </row>
    <row r="48" spans="1:27" s="18" customFormat="1" ht="11.25">
      <c r="A48" s="337">
        <f>A46+1</f>
        <v>18</v>
      </c>
      <c r="B48" s="333" t="s">
        <v>4646</v>
      </c>
      <c r="C48" s="334" t="s">
        <v>4647</v>
      </c>
      <c r="D48" s="337" t="s">
        <v>38</v>
      </c>
      <c r="E48" s="337"/>
      <c r="F48" s="337"/>
      <c r="G48" s="337"/>
      <c r="H48" s="335"/>
      <c r="I48" s="334"/>
      <c r="J48" s="334"/>
      <c r="K48" s="332"/>
      <c r="L48" s="332"/>
      <c r="M48" s="332"/>
      <c r="N48" s="332"/>
      <c r="O48" s="332"/>
      <c r="P48" s="332" t="s">
        <v>4923</v>
      </c>
      <c r="Q48" s="336" t="s">
        <v>4924</v>
      </c>
      <c r="R48" s="336"/>
      <c r="S48" s="336"/>
      <c r="T48" s="336"/>
      <c r="U48" s="336"/>
      <c r="V48" s="336"/>
      <c r="W48" s="336"/>
      <c r="X48" s="337" t="s">
        <v>4947</v>
      </c>
      <c r="AA48" s="337" t="s">
        <v>148</v>
      </c>
    </row>
    <row r="49" spans="1:27" s="18" customFormat="1" ht="11.25">
      <c r="A49" s="538"/>
      <c r="B49" s="262"/>
      <c r="C49" s="254"/>
      <c r="D49" s="88"/>
      <c r="E49" s="88" t="s">
        <v>94</v>
      </c>
      <c r="F49" s="88" t="s">
        <v>4477</v>
      </c>
      <c r="G49" s="88" t="s">
        <v>4955</v>
      </c>
      <c r="H49" s="149" t="s">
        <v>4956</v>
      </c>
      <c r="I49" s="252" t="s">
        <v>30</v>
      </c>
      <c r="J49" s="252" t="s">
        <v>4957</v>
      </c>
      <c r="K49" s="252" t="s">
        <v>4511</v>
      </c>
      <c r="L49" s="252" t="s">
        <v>4444</v>
      </c>
      <c r="M49" s="252"/>
      <c r="N49" s="252" t="s">
        <v>4958</v>
      </c>
      <c r="O49" s="252" t="s">
        <v>94</v>
      </c>
      <c r="P49" s="252"/>
      <c r="Q49" s="252"/>
      <c r="R49" s="252"/>
      <c r="S49" s="252"/>
      <c r="T49" s="252"/>
      <c r="U49" s="252"/>
      <c r="V49" s="252"/>
      <c r="W49" s="252"/>
      <c r="X49" s="88"/>
      <c r="AA49" s="88"/>
    </row>
    <row r="50" spans="1:27" s="18" customFormat="1" ht="11.25">
      <c r="A50" s="735"/>
      <c r="B50" s="311"/>
      <c r="C50" s="312"/>
      <c r="D50" s="315"/>
      <c r="E50" s="315" t="s">
        <v>33</v>
      </c>
      <c r="F50" s="315" t="s">
        <v>1871</v>
      </c>
      <c r="G50" s="315" t="s">
        <v>1923</v>
      </c>
      <c r="H50" s="314" t="s">
        <v>4959</v>
      </c>
      <c r="I50" s="312" t="s">
        <v>30</v>
      </c>
      <c r="J50" s="312" t="s">
        <v>4957</v>
      </c>
      <c r="K50" s="313" t="s">
        <v>4511</v>
      </c>
      <c r="L50" s="313" t="s">
        <v>4444</v>
      </c>
      <c r="M50" s="313"/>
      <c r="N50" s="313" t="s">
        <v>4960</v>
      </c>
      <c r="O50" s="313" t="s">
        <v>30</v>
      </c>
      <c r="P50" s="313"/>
      <c r="Q50" s="36"/>
      <c r="R50" s="36"/>
      <c r="S50" s="36"/>
      <c r="T50" s="36"/>
      <c r="U50" s="36"/>
      <c r="V50" s="36"/>
      <c r="W50" s="36"/>
      <c r="X50" s="315"/>
      <c r="AA50" s="88"/>
    </row>
    <row r="51" spans="1:27" s="18" customFormat="1" ht="11.25">
      <c r="A51" s="337">
        <f>A48+1</f>
        <v>19</v>
      </c>
      <c r="B51" s="333" t="s">
        <v>4648</v>
      </c>
      <c r="C51" s="334" t="s">
        <v>4649</v>
      </c>
      <c r="D51" s="337" t="s">
        <v>38</v>
      </c>
      <c r="E51" s="337"/>
      <c r="F51" s="337"/>
      <c r="G51" s="337"/>
      <c r="H51" s="335"/>
      <c r="I51" s="332"/>
      <c r="J51" s="332"/>
      <c r="K51" s="332"/>
      <c r="L51" s="332"/>
      <c r="M51" s="332"/>
      <c r="N51" s="332"/>
      <c r="O51" s="332"/>
      <c r="P51" s="332" t="s">
        <v>4923</v>
      </c>
      <c r="Q51" s="332" t="s">
        <v>4924</v>
      </c>
      <c r="R51" s="332"/>
      <c r="S51" s="332"/>
      <c r="T51" s="332"/>
      <c r="U51" s="332"/>
      <c r="V51" s="332"/>
      <c r="W51" s="332"/>
      <c r="X51" s="337" t="s">
        <v>4637</v>
      </c>
      <c r="AA51" s="337" t="s">
        <v>24</v>
      </c>
    </row>
    <row r="52" spans="1:27" s="18" customFormat="1" ht="11.25">
      <c r="A52" s="735"/>
      <c r="B52" s="311"/>
      <c r="C52" s="312"/>
      <c r="D52" s="315"/>
      <c r="E52" s="315" t="s">
        <v>30</v>
      </c>
      <c r="F52" s="315" t="s">
        <v>46</v>
      </c>
      <c r="G52" s="315" t="s">
        <v>1881</v>
      </c>
      <c r="H52" s="314" t="s">
        <v>4956</v>
      </c>
      <c r="I52" s="312" t="s">
        <v>30</v>
      </c>
      <c r="J52" s="312" t="s">
        <v>4957</v>
      </c>
      <c r="K52" s="313" t="s">
        <v>4511</v>
      </c>
      <c r="L52" s="313" t="s">
        <v>4444</v>
      </c>
      <c r="M52" s="313"/>
      <c r="N52" s="313" t="s">
        <v>4960</v>
      </c>
      <c r="O52" s="313" t="s">
        <v>30</v>
      </c>
      <c r="P52" s="313"/>
      <c r="Q52" s="36"/>
      <c r="R52" s="36"/>
      <c r="S52" s="36"/>
      <c r="T52" s="36"/>
      <c r="U52" s="36"/>
      <c r="V52" s="36"/>
      <c r="W52" s="36"/>
      <c r="X52" s="315"/>
      <c r="AA52" s="88"/>
    </row>
    <row r="53" spans="1:27" s="18" customFormat="1" ht="11.25">
      <c r="A53" s="538"/>
      <c r="B53" s="262"/>
      <c r="C53" s="254"/>
      <c r="D53" s="88"/>
      <c r="E53" s="88" t="s">
        <v>4467</v>
      </c>
      <c r="F53" s="88" t="s">
        <v>4961</v>
      </c>
      <c r="G53" s="88" t="s">
        <v>566</v>
      </c>
      <c r="H53" s="149" t="s">
        <v>4959</v>
      </c>
      <c r="I53" s="252" t="s">
        <v>30</v>
      </c>
      <c r="J53" s="252" t="s">
        <v>4957</v>
      </c>
      <c r="K53" s="252" t="s">
        <v>4511</v>
      </c>
      <c r="L53" s="252" t="s">
        <v>4444</v>
      </c>
      <c r="M53" s="252"/>
      <c r="N53" s="252" t="s">
        <v>4958</v>
      </c>
      <c r="O53" s="252" t="s">
        <v>94</v>
      </c>
      <c r="P53" s="252"/>
      <c r="Q53" s="252"/>
      <c r="R53" s="252"/>
      <c r="S53" s="252"/>
      <c r="T53" s="252"/>
      <c r="U53" s="252"/>
      <c r="V53" s="252"/>
      <c r="W53" s="252"/>
      <c r="X53" s="88"/>
      <c r="AA53" s="88"/>
    </row>
    <row r="54" spans="1:27" s="18" customFormat="1" ht="11.25">
      <c r="A54" s="337">
        <f>A51+1</f>
        <v>20</v>
      </c>
      <c r="B54" s="333" t="s">
        <v>4614</v>
      </c>
      <c r="C54" s="334" t="s">
        <v>4615</v>
      </c>
      <c r="D54" s="337" t="s">
        <v>33</v>
      </c>
      <c r="E54" s="337"/>
      <c r="F54" s="337"/>
      <c r="G54" s="337"/>
      <c r="H54" s="335"/>
      <c r="I54" s="334"/>
      <c r="J54" s="334"/>
      <c r="K54" s="332"/>
      <c r="L54" s="332"/>
      <c r="M54" s="332"/>
      <c r="N54" s="332"/>
      <c r="O54" s="332"/>
      <c r="P54" s="332" t="s">
        <v>4932</v>
      </c>
      <c r="Q54" s="336" t="s">
        <v>4924</v>
      </c>
      <c r="R54" s="336"/>
      <c r="S54" s="336"/>
      <c r="T54" s="336" t="s">
        <v>489</v>
      </c>
      <c r="U54" s="336"/>
      <c r="V54" s="336" t="s">
        <v>4946</v>
      </c>
      <c r="W54" s="336"/>
      <c r="X54" s="337" t="s">
        <v>4964</v>
      </c>
      <c r="AA54" s="337" t="s">
        <v>148</v>
      </c>
    </row>
    <row r="55" spans="1:27" s="18" customFormat="1" ht="11.25">
      <c r="A55" s="538"/>
      <c r="B55" s="262"/>
      <c r="C55" s="254"/>
      <c r="D55" s="88"/>
      <c r="E55" s="88" t="s">
        <v>94</v>
      </c>
      <c r="F55" s="88" t="s">
        <v>4477</v>
      </c>
      <c r="G55" s="88" t="s">
        <v>94</v>
      </c>
      <c r="H55" s="149" t="s">
        <v>4615</v>
      </c>
      <c r="I55" s="252" t="s">
        <v>30</v>
      </c>
      <c r="J55" s="252" t="s">
        <v>4965</v>
      </c>
      <c r="K55" s="252" t="s">
        <v>4966</v>
      </c>
      <c r="L55" s="252" t="s">
        <v>4444</v>
      </c>
      <c r="M55" s="252"/>
      <c r="N55" s="252" t="s">
        <v>4937</v>
      </c>
      <c r="O55" s="252" t="s">
        <v>94</v>
      </c>
      <c r="P55" s="252"/>
      <c r="Q55" s="252"/>
      <c r="R55" s="252"/>
      <c r="S55" s="252"/>
      <c r="T55" s="252"/>
      <c r="U55" s="252"/>
      <c r="V55" s="252"/>
      <c r="W55" s="252"/>
      <c r="X55" s="88"/>
      <c r="AA55" s="88"/>
    </row>
    <row r="56" spans="1:27" s="18" customFormat="1" ht="11.25">
      <c r="A56" s="337">
        <f>A54+1</f>
        <v>21</v>
      </c>
      <c r="B56" s="333" t="s">
        <v>4617</v>
      </c>
      <c r="C56" s="334" t="s">
        <v>4618</v>
      </c>
      <c r="D56" s="337" t="s">
        <v>33</v>
      </c>
      <c r="E56" s="337"/>
      <c r="F56" s="337"/>
      <c r="G56" s="337"/>
      <c r="H56" s="335"/>
      <c r="I56" s="334"/>
      <c r="J56" s="334"/>
      <c r="K56" s="332"/>
      <c r="L56" s="332"/>
      <c r="M56" s="332"/>
      <c r="N56" s="332"/>
      <c r="O56" s="332"/>
      <c r="P56" s="332" t="s">
        <v>4932</v>
      </c>
      <c r="Q56" s="336" t="s">
        <v>4924</v>
      </c>
      <c r="R56" s="336"/>
      <c r="S56" s="336"/>
      <c r="T56" s="336" t="s">
        <v>489</v>
      </c>
      <c r="U56" s="336"/>
      <c r="V56" s="336" t="s">
        <v>4946</v>
      </c>
      <c r="W56" s="336"/>
      <c r="X56" s="337" t="s">
        <v>4964</v>
      </c>
      <c r="AA56" s="337" t="s">
        <v>148</v>
      </c>
    </row>
    <row r="57" spans="1:27" s="18" customFormat="1" ht="11.25">
      <c r="A57" s="538"/>
      <c r="B57" s="262"/>
      <c r="C57" s="254"/>
      <c r="D57" s="88"/>
      <c r="E57" s="88" t="s">
        <v>94</v>
      </c>
      <c r="F57" s="88" t="s">
        <v>4477</v>
      </c>
      <c r="G57" s="88" t="s">
        <v>94</v>
      </c>
      <c r="H57" s="149" t="s">
        <v>4618</v>
      </c>
      <c r="I57" s="252" t="s">
        <v>30</v>
      </c>
      <c r="J57" s="252" t="s">
        <v>4965</v>
      </c>
      <c r="K57" s="252" t="s">
        <v>4966</v>
      </c>
      <c r="L57" s="252" t="s">
        <v>4444</v>
      </c>
      <c r="M57" s="252"/>
      <c r="N57" s="252" t="s">
        <v>4937</v>
      </c>
      <c r="O57" s="252" t="s">
        <v>94</v>
      </c>
      <c r="P57" s="252"/>
      <c r="Q57" s="252"/>
      <c r="R57" s="252"/>
      <c r="S57" s="252"/>
      <c r="T57" s="252"/>
      <c r="U57" s="252"/>
      <c r="V57" s="252"/>
      <c r="W57" s="252"/>
      <c r="X57" s="88"/>
      <c r="AA57" s="88"/>
    </row>
    <row r="58" spans="1:27" s="18" customFormat="1" ht="11.25">
      <c r="A58" s="734">
        <f>A56+1</f>
        <v>22</v>
      </c>
      <c r="B58" s="333" t="s">
        <v>4619</v>
      </c>
      <c r="C58" s="334" t="s">
        <v>4620</v>
      </c>
      <c r="D58" s="337" t="s">
        <v>33</v>
      </c>
      <c r="E58" s="337"/>
      <c r="F58" s="337"/>
      <c r="G58" s="337"/>
      <c r="H58" s="335"/>
      <c r="I58" s="334"/>
      <c r="J58" s="334"/>
      <c r="K58" s="332"/>
      <c r="L58" s="332"/>
      <c r="M58" s="332"/>
      <c r="N58" s="332"/>
      <c r="O58" s="332"/>
      <c r="P58" s="332" t="s">
        <v>4932</v>
      </c>
      <c r="Q58" s="336" t="s">
        <v>4924</v>
      </c>
      <c r="R58" s="336"/>
      <c r="S58" s="336"/>
      <c r="T58" s="336" t="s">
        <v>489</v>
      </c>
      <c r="U58" s="336"/>
      <c r="V58" s="336" t="s">
        <v>4946</v>
      </c>
      <c r="W58" s="336"/>
      <c r="X58" s="337" t="s">
        <v>4964</v>
      </c>
      <c r="AA58" s="337" t="s">
        <v>148</v>
      </c>
    </row>
    <row r="59" spans="1:27" s="18" customFormat="1" ht="11.25">
      <c r="A59" s="538"/>
      <c r="B59" s="262"/>
      <c r="C59" s="254"/>
      <c r="D59" s="88"/>
      <c r="E59" s="88" t="s">
        <v>94</v>
      </c>
      <c r="F59" s="88" t="s">
        <v>4477</v>
      </c>
      <c r="G59" s="88" t="s">
        <v>94</v>
      </c>
      <c r="H59" s="149" t="s">
        <v>4620</v>
      </c>
      <c r="I59" s="252" t="s">
        <v>30</v>
      </c>
      <c r="J59" s="252" t="s">
        <v>4965</v>
      </c>
      <c r="K59" s="252" t="s">
        <v>4966</v>
      </c>
      <c r="L59" s="252" t="s">
        <v>4444</v>
      </c>
      <c r="M59" s="252"/>
      <c r="N59" s="252" t="s">
        <v>4937</v>
      </c>
      <c r="O59" s="252" t="s">
        <v>94</v>
      </c>
      <c r="P59" s="252"/>
      <c r="Q59" s="252"/>
      <c r="R59" s="252"/>
      <c r="S59" s="252"/>
      <c r="T59" s="252"/>
      <c r="U59" s="252"/>
      <c r="V59" s="252"/>
      <c r="W59" s="252"/>
      <c r="X59" s="88"/>
      <c r="AA59" s="88"/>
    </row>
    <row r="60" spans="1:27" s="18" customFormat="1" ht="11.25">
      <c r="A60" s="734">
        <f>A58+1</f>
        <v>23</v>
      </c>
      <c r="B60" s="333" t="s">
        <v>4621</v>
      </c>
      <c r="C60" s="334" t="s">
        <v>4622</v>
      </c>
      <c r="D60" s="337" t="s">
        <v>33</v>
      </c>
      <c r="E60" s="337"/>
      <c r="F60" s="337"/>
      <c r="G60" s="337"/>
      <c r="H60" s="335"/>
      <c r="I60" s="334"/>
      <c r="J60" s="334"/>
      <c r="K60" s="332"/>
      <c r="L60" s="332"/>
      <c r="M60" s="332"/>
      <c r="N60" s="332"/>
      <c r="O60" s="332"/>
      <c r="P60" s="332" t="s">
        <v>4932</v>
      </c>
      <c r="Q60" s="336" t="s">
        <v>4924</v>
      </c>
      <c r="R60" s="336"/>
      <c r="S60" s="336"/>
      <c r="T60" s="336" t="s">
        <v>489</v>
      </c>
      <c r="U60" s="336"/>
      <c r="V60" s="336" t="s">
        <v>4946</v>
      </c>
      <c r="W60" s="336"/>
      <c r="X60" s="337" t="s">
        <v>4964</v>
      </c>
      <c r="AA60" s="337" t="s">
        <v>148</v>
      </c>
    </row>
    <row r="61" spans="1:27" s="18" customFormat="1" ht="11.25">
      <c r="A61" s="538"/>
      <c r="B61" s="262"/>
      <c r="C61" s="254"/>
      <c r="D61" s="88"/>
      <c r="E61" s="88" t="s">
        <v>94</v>
      </c>
      <c r="F61" s="88" t="s">
        <v>4477</v>
      </c>
      <c r="G61" s="88" t="s">
        <v>94</v>
      </c>
      <c r="H61" s="149" t="s">
        <v>4622</v>
      </c>
      <c r="I61" s="252" t="s">
        <v>30</v>
      </c>
      <c r="J61" s="252" t="s">
        <v>4965</v>
      </c>
      <c r="K61" s="252" t="s">
        <v>4966</v>
      </c>
      <c r="L61" s="252" t="s">
        <v>4444</v>
      </c>
      <c r="M61" s="252"/>
      <c r="N61" s="252" t="s">
        <v>4937</v>
      </c>
      <c r="O61" s="252" t="s">
        <v>94</v>
      </c>
      <c r="P61" s="252"/>
      <c r="Q61" s="252"/>
      <c r="R61" s="252"/>
      <c r="S61" s="252"/>
      <c r="T61" s="252"/>
      <c r="U61" s="252"/>
      <c r="V61" s="252"/>
      <c r="W61" s="252"/>
      <c r="X61" s="88"/>
      <c r="AA61" s="88"/>
    </row>
    <row r="62" spans="1:27" s="18" customFormat="1" ht="11.25">
      <c r="A62" s="734">
        <f>A60+1</f>
        <v>24</v>
      </c>
      <c r="B62" s="333" t="s">
        <v>4623</v>
      </c>
      <c r="C62" s="334" t="s">
        <v>4624</v>
      </c>
      <c r="D62" s="337" t="s">
        <v>33</v>
      </c>
      <c r="E62" s="337"/>
      <c r="F62" s="337"/>
      <c r="G62" s="337"/>
      <c r="H62" s="335"/>
      <c r="I62" s="334"/>
      <c r="J62" s="334"/>
      <c r="K62" s="332"/>
      <c r="L62" s="332"/>
      <c r="M62" s="332"/>
      <c r="N62" s="332"/>
      <c r="O62" s="332"/>
      <c r="P62" s="332" t="s">
        <v>4932</v>
      </c>
      <c r="Q62" s="336" t="s">
        <v>4924</v>
      </c>
      <c r="R62" s="336"/>
      <c r="S62" s="336"/>
      <c r="T62" s="336" t="s">
        <v>489</v>
      </c>
      <c r="U62" s="336"/>
      <c r="V62" s="336" t="s">
        <v>4946</v>
      </c>
      <c r="W62" s="336"/>
      <c r="X62" s="337" t="s">
        <v>4964</v>
      </c>
      <c r="AA62" s="337" t="s">
        <v>148</v>
      </c>
    </row>
    <row r="63" spans="1:27" s="18" customFormat="1" ht="11.25">
      <c r="A63" s="538"/>
      <c r="B63" s="262"/>
      <c r="C63" s="254"/>
      <c r="D63" s="88"/>
      <c r="E63" s="88" t="s">
        <v>94</v>
      </c>
      <c r="F63" s="88" t="s">
        <v>4501</v>
      </c>
      <c r="G63" s="88" t="s">
        <v>94</v>
      </c>
      <c r="H63" s="149" t="s">
        <v>4624</v>
      </c>
      <c r="I63" s="252" t="s">
        <v>1861</v>
      </c>
      <c r="J63" s="252" t="s">
        <v>2724</v>
      </c>
      <c r="K63" s="252" t="s">
        <v>4486</v>
      </c>
      <c r="L63" s="252" t="s">
        <v>4444</v>
      </c>
      <c r="M63" s="252"/>
      <c r="N63" s="252" t="s">
        <v>4484</v>
      </c>
      <c r="O63" s="252" t="s">
        <v>4937</v>
      </c>
      <c r="P63" s="252"/>
      <c r="Q63" s="252"/>
      <c r="R63" s="252"/>
      <c r="S63" s="252"/>
      <c r="T63" s="252"/>
      <c r="U63" s="252"/>
      <c r="V63" s="252"/>
      <c r="W63" s="252"/>
      <c r="X63" s="88"/>
      <c r="AA63" s="88"/>
    </row>
    <row r="64" spans="1:27" s="18" customFormat="1" ht="11.25">
      <c r="A64" s="734">
        <f>A62+1</f>
        <v>25</v>
      </c>
      <c r="B64" s="333" t="s">
        <v>4625</v>
      </c>
      <c r="C64" s="334" t="s">
        <v>4626</v>
      </c>
      <c r="D64" s="337" t="s">
        <v>33</v>
      </c>
      <c r="E64" s="337"/>
      <c r="F64" s="337"/>
      <c r="G64" s="337"/>
      <c r="H64" s="335"/>
      <c r="I64" s="334"/>
      <c r="J64" s="334"/>
      <c r="K64" s="332"/>
      <c r="L64" s="332"/>
      <c r="M64" s="332"/>
      <c r="N64" s="332"/>
      <c r="O64" s="332"/>
      <c r="P64" s="332" t="s">
        <v>4932</v>
      </c>
      <c r="Q64" s="336" t="s">
        <v>4924</v>
      </c>
      <c r="R64" s="336"/>
      <c r="S64" s="336"/>
      <c r="T64" s="336" t="s">
        <v>489</v>
      </c>
      <c r="U64" s="336"/>
      <c r="V64" s="336" t="s">
        <v>4946</v>
      </c>
      <c r="W64" s="336"/>
      <c r="X64" s="337" t="s">
        <v>4964</v>
      </c>
      <c r="AA64" s="337" t="s">
        <v>148</v>
      </c>
    </row>
    <row r="65" spans="1:27" s="18" customFormat="1" ht="11.25">
      <c r="A65" s="538"/>
      <c r="B65" s="262"/>
      <c r="C65" s="254"/>
      <c r="D65" s="88"/>
      <c r="E65" s="88" t="s">
        <v>94</v>
      </c>
      <c r="F65" s="88" t="s">
        <v>94</v>
      </c>
      <c r="G65" s="88" t="s">
        <v>94</v>
      </c>
      <c r="H65" s="149" t="s">
        <v>4626</v>
      </c>
      <c r="I65" s="252"/>
      <c r="J65" s="252"/>
      <c r="K65" s="252"/>
      <c r="L65" s="252" t="s">
        <v>4444</v>
      </c>
      <c r="M65" s="252" t="s">
        <v>4516</v>
      </c>
      <c r="N65" s="252" t="s">
        <v>4467</v>
      </c>
      <c r="O65" s="252" t="s">
        <v>94</v>
      </c>
      <c r="P65" s="252"/>
      <c r="Q65" s="252"/>
      <c r="R65" s="252"/>
      <c r="S65" s="252"/>
      <c r="T65" s="252"/>
      <c r="U65" s="252"/>
      <c r="V65" s="252"/>
      <c r="W65" s="252"/>
      <c r="X65" s="88"/>
      <c r="AA65" s="88"/>
    </row>
    <row r="66" spans="1:27" s="18" customFormat="1" ht="11.25">
      <c r="A66" s="734">
        <f>A64+1</f>
        <v>26</v>
      </c>
      <c r="B66" s="333" t="s">
        <v>4627</v>
      </c>
      <c r="C66" s="334" t="s">
        <v>4628</v>
      </c>
      <c r="D66" s="337" t="s">
        <v>33</v>
      </c>
      <c r="E66" s="337"/>
      <c r="F66" s="337"/>
      <c r="G66" s="337"/>
      <c r="H66" s="335"/>
      <c r="I66" s="334"/>
      <c r="J66" s="334"/>
      <c r="K66" s="332"/>
      <c r="L66" s="332"/>
      <c r="M66" s="332"/>
      <c r="N66" s="332"/>
      <c r="O66" s="332"/>
      <c r="P66" s="332" t="s">
        <v>4932</v>
      </c>
      <c r="Q66" s="336" t="s">
        <v>4924</v>
      </c>
      <c r="R66" s="336"/>
      <c r="S66" s="336"/>
      <c r="T66" s="336" t="s">
        <v>489</v>
      </c>
      <c r="U66" s="336"/>
      <c r="V66" s="336" t="s">
        <v>4946</v>
      </c>
      <c r="W66" s="336"/>
      <c r="X66" s="337" t="s">
        <v>4964</v>
      </c>
      <c r="AA66" s="337" t="s">
        <v>148</v>
      </c>
    </row>
    <row r="67" spans="1:27" s="18" customFormat="1" ht="11.25">
      <c r="A67" s="538"/>
      <c r="B67" s="262"/>
      <c r="C67" s="254"/>
      <c r="D67" s="88"/>
      <c r="E67" s="88" t="s">
        <v>94</v>
      </c>
      <c r="F67" s="88" t="s">
        <v>94</v>
      </c>
      <c r="G67" s="88" t="s">
        <v>94</v>
      </c>
      <c r="H67" s="149" t="s">
        <v>4628</v>
      </c>
      <c r="I67" s="252"/>
      <c r="J67" s="252"/>
      <c r="K67" s="252"/>
      <c r="L67" s="252" t="s">
        <v>4444</v>
      </c>
      <c r="M67" s="252" t="s">
        <v>4967</v>
      </c>
      <c r="N67" s="252" t="s">
        <v>4467</v>
      </c>
      <c r="O67" s="252" t="s">
        <v>94</v>
      </c>
      <c r="P67" s="252"/>
      <c r="Q67" s="252"/>
      <c r="R67" s="252"/>
      <c r="S67" s="252"/>
      <c r="T67" s="252"/>
      <c r="U67" s="252"/>
      <c r="V67" s="252"/>
      <c r="W67" s="252"/>
      <c r="X67" s="88"/>
      <c r="AA67" s="88"/>
    </row>
    <row r="68" spans="1:27" s="18" customFormat="1" ht="11.25">
      <c r="A68" s="734">
        <f>A66+1</f>
        <v>27</v>
      </c>
      <c r="B68" s="333" t="s">
        <v>4629</v>
      </c>
      <c r="C68" s="334" t="s">
        <v>4968</v>
      </c>
      <c r="D68" s="337" t="s">
        <v>33</v>
      </c>
      <c r="E68" s="337"/>
      <c r="F68" s="337"/>
      <c r="G68" s="337"/>
      <c r="H68" s="335"/>
      <c r="I68" s="334"/>
      <c r="J68" s="334"/>
      <c r="K68" s="332"/>
      <c r="L68" s="332"/>
      <c r="M68" s="332"/>
      <c r="N68" s="332"/>
      <c r="O68" s="332"/>
      <c r="P68" s="332" t="s">
        <v>4932</v>
      </c>
      <c r="Q68" s="336" t="s">
        <v>4924</v>
      </c>
      <c r="R68" s="336"/>
      <c r="S68" s="336"/>
      <c r="T68" s="336" t="s">
        <v>489</v>
      </c>
      <c r="U68" s="336"/>
      <c r="V68" s="336" t="s">
        <v>4946</v>
      </c>
      <c r="W68" s="336"/>
      <c r="X68" s="337" t="s">
        <v>4964</v>
      </c>
      <c r="AA68" s="337" t="s">
        <v>148</v>
      </c>
    </row>
    <row r="69" spans="1:27" s="18" customFormat="1" ht="11.25">
      <c r="A69" s="538"/>
      <c r="B69" s="262"/>
      <c r="C69" s="254"/>
      <c r="D69" s="88"/>
      <c r="E69" s="88" t="s">
        <v>94</v>
      </c>
      <c r="F69" s="88" t="s">
        <v>94</v>
      </c>
      <c r="G69" s="88" t="s">
        <v>94</v>
      </c>
      <c r="H69" s="149" t="s">
        <v>4969</v>
      </c>
      <c r="I69" s="252" t="s">
        <v>30</v>
      </c>
      <c r="J69" s="252">
        <v>1</v>
      </c>
      <c r="K69" s="252"/>
      <c r="L69" s="252" t="s">
        <v>4444</v>
      </c>
      <c r="M69" s="252" t="s">
        <v>4967</v>
      </c>
      <c r="N69" s="252" t="s">
        <v>4467</v>
      </c>
      <c r="O69" s="252" t="s">
        <v>94</v>
      </c>
      <c r="P69" s="252"/>
      <c r="Q69" s="252"/>
      <c r="R69" s="252"/>
      <c r="S69" s="252"/>
      <c r="T69" s="252"/>
      <c r="U69" s="252"/>
      <c r="V69" s="252"/>
      <c r="W69" s="252"/>
      <c r="X69" s="88"/>
      <c r="AA69" s="88"/>
    </row>
    <row r="70" spans="1:27" s="18" customFormat="1" ht="11.25">
      <c r="A70" s="734">
        <f>A68+1</f>
        <v>28</v>
      </c>
      <c r="B70" s="333" t="s">
        <v>4631</v>
      </c>
      <c r="C70" s="334" t="s">
        <v>4632</v>
      </c>
      <c r="D70" s="337" t="s">
        <v>33</v>
      </c>
      <c r="E70" s="337"/>
      <c r="F70" s="337"/>
      <c r="G70" s="337"/>
      <c r="H70" s="335"/>
      <c r="I70" s="334"/>
      <c r="J70" s="334"/>
      <c r="K70" s="332"/>
      <c r="L70" s="332"/>
      <c r="M70" s="332"/>
      <c r="N70" s="332"/>
      <c r="O70" s="332"/>
      <c r="P70" s="332" t="s">
        <v>4932</v>
      </c>
      <c r="Q70" s="336" t="s">
        <v>4924</v>
      </c>
      <c r="R70" s="336"/>
      <c r="S70" s="336"/>
      <c r="T70" s="336" t="s">
        <v>489</v>
      </c>
      <c r="U70" s="336"/>
      <c r="V70" s="336" t="s">
        <v>4946</v>
      </c>
      <c r="W70" s="336"/>
      <c r="X70" s="337" t="s">
        <v>4964</v>
      </c>
      <c r="AA70" s="337" t="s">
        <v>148</v>
      </c>
    </row>
    <row r="71" spans="1:27" s="18" customFormat="1" ht="11.25">
      <c r="A71" s="538"/>
      <c r="B71" s="262"/>
      <c r="C71" s="254"/>
      <c r="D71" s="88"/>
      <c r="E71" s="88" t="s">
        <v>94</v>
      </c>
      <c r="F71" s="88" t="s">
        <v>94</v>
      </c>
      <c r="G71" s="88" t="s">
        <v>94</v>
      </c>
      <c r="H71" s="149" t="s">
        <v>4970</v>
      </c>
      <c r="I71" s="252" t="s">
        <v>30</v>
      </c>
      <c r="J71" s="252">
        <v>1</v>
      </c>
      <c r="K71" s="252"/>
      <c r="L71" s="252" t="s">
        <v>4444</v>
      </c>
      <c r="M71" s="252" t="s">
        <v>4967</v>
      </c>
      <c r="N71" s="252" t="s">
        <v>4467</v>
      </c>
      <c r="O71" s="252" t="s">
        <v>94</v>
      </c>
      <c r="P71" s="252"/>
      <c r="Q71" s="252"/>
      <c r="R71" s="252"/>
      <c r="S71" s="252"/>
      <c r="T71" s="252"/>
      <c r="U71" s="252"/>
      <c r="V71" s="252"/>
      <c r="W71" s="252"/>
      <c r="X71" s="88"/>
      <c r="AA71" s="88"/>
    </row>
    <row r="72" spans="1:27" s="18" customFormat="1" ht="11.25">
      <c r="A72" s="735"/>
      <c r="B72" s="311"/>
      <c r="C72" s="312"/>
      <c r="D72" s="315"/>
      <c r="E72" s="315" t="s">
        <v>30</v>
      </c>
      <c r="F72" s="315" t="s">
        <v>46</v>
      </c>
      <c r="G72" s="315" t="s">
        <v>33</v>
      </c>
      <c r="H72" s="314" t="s">
        <v>4971</v>
      </c>
      <c r="I72" s="312" t="s">
        <v>30</v>
      </c>
      <c r="J72" s="312" t="s">
        <v>2568</v>
      </c>
      <c r="K72" s="313" t="s">
        <v>4486</v>
      </c>
      <c r="L72" s="313" t="s">
        <v>4444</v>
      </c>
      <c r="M72" s="313"/>
      <c r="N72" s="313" t="s">
        <v>33</v>
      </c>
      <c r="O72" s="313" t="s">
        <v>30</v>
      </c>
      <c r="P72" s="313"/>
      <c r="Q72" s="36"/>
      <c r="R72" s="36"/>
      <c r="S72" s="36"/>
      <c r="T72" s="36"/>
      <c r="U72" s="36"/>
      <c r="V72" s="36"/>
      <c r="W72" s="36"/>
      <c r="X72" s="315"/>
      <c r="AA72" s="88"/>
    </row>
    <row r="73" spans="1:27" s="18" customFormat="1" ht="11.25">
      <c r="A73" s="734">
        <f>A70+1</f>
        <v>29</v>
      </c>
      <c r="B73" s="333" t="s">
        <v>4633</v>
      </c>
      <c r="C73" s="334" t="s">
        <v>4634</v>
      </c>
      <c r="D73" s="337" t="s">
        <v>33</v>
      </c>
      <c r="E73" s="337"/>
      <c r="F73" s="337"/>
      <c r="G73" s="337"/>
      <c r="H73" s="335"/>
      <c r="I73" s="332"/>
      <c r="J73" s="332"/>
      <c r="K73" s="332"/>
      <c r="L73" s="332"/>
      <c r="M73" s="332"/>
      <c r="N73" s="332"/>
      <c r="O73" s="332"/>
      <c r="P73" s="332" t="s">
        <v>4932</v>
      </c>
      <c r="Q73" s="332" t="s">
        <v>4924</v>
      </c>
      <c r="R73" s="332"/>
      <c r="S73" s="332"/>
      <c r="T73" s="332" t="s">
        <v>489</v>
      </c>
      <c r="U73" s="332"/>
      <c r="V73" s="332" t="s">
        <v>4946</v>
      </c>
      <c r="W73" s="332"/>
      <c r="X73" s="337" t="s">
        <v>4616</v>
      </c>
      <c r="AA73" s="337" t="s">
        <v>148</v>
      </c>
    </row>
    <row r="74" spans="1:27" s="18" customFormat="1" ht="11.25">
      <c r="A74" s="735"/>
      <c r="B74" s="311"/>
      <c r="C74" s="312"/>
      <c r="D74" s="315"/>
      <c r="E74" s="315" t="s">
        <v>30</v>
      </c>
      <c r="F74" s="315" t="s">
        <v>30</v>
      </c>
      <c r="G74" s="315" t="s">
        <v>30</v>
      </c>
      <c r="H74" s="314" t="s">
        <v>4972</v>
      </c>
      <c r="I74" s="312" t="e">
        <v>#REF!</v>
      </c>
      <c r="J74" s="312">
        <v>1</v>
      </c>
      <c r="K74" s="313"/>
      <c r="L74" s="313" t="s">
        <v>4444</v>
      </c>
      <c r="M74" s="313" t="s">
        <v>4967</v>
      </c>
      <c r="N74" s="313" t="s">
        <v>33</v>
      </c>
      <c r="O74" s="313" t="s">
        <v>30</v>
      </c>
      <c r="P74" s="313"/>
      <c r="Q74" s="36"/>
      <c r="R74" s="36"/>
      <c r="S74" s="36"/>
      <c r="T74" s="36"/>
      <c r="U74" s="36"/>
      <c r="V74" s="36"/>
      <c r="W74" s="36"/>
      <c r="X74" s="315"/>
      <c r="AA74" s="88"/>
    </row>
    <row r="75" spans="1:27" s="18" customFormat="1" ht="11.25">
      <c r="A75" s="538"/>
      <c r="B75" s="262"/>
      <c r="C75" s="254"/>
      <c r="D75" s="88"/>
      <c r="E75" s="88" t="s">
        <v>94</v>
      </c>
      <c r="F75" s="88" t="s">
        <v>4477</v>
      </c>
      <c r="G75" s="88" t="s">
        <v>4467</v>
      </c>
      <c r="H75" s="149" t="s">
        <v>4973</v>
      </c>
      <c r="I75" s="252" t="s">
        <v>30</v>
      </c>
      <c r="J75" s="252" t="s">
        <v>2568</v>
      </c>
      <c r="K75" s="252" t="s">
        <v>4486</v>
      </c>
      <c r="L75" s="252" t="s">
        <v>4444</v>
      </c>
      <c r="M75" s="252"/>
      <c r="N75" s="252" t="s">
        <v>4467</v>
      </c>
      <c r="O75" s="252" t="s">
        <v>94</v>
      </c>
      <c r="P75" s="252"/>
      <c r="Q75" s="252"/>
      <c r="R75" s="252"/>
      <c r="S75" s="252"/>
      <c r="T75" s="252"/>
      <c r="U75" s="252"/>
      <c r="V75" s="252"/>
      <c r="W75" s="252"/>
      <c r="X75" s="88"/>
      <c r="AA75" s="88"/>
    </row>
    <row r="76" spans="1:27" s="18" customFormat="1" ht="11.25">
      <c r="A76" s="734">
        <f>A73+1</f>
        <v>30</v>
      </c>
      <c r="B76" s="333" t="s">
        <v>4651</v>
      </c>
      <c r="C76" s="334" t="s">
        <v>4652</v>
      </c>
      <c r="D76" s="337" t="s">
        <v>33</v>
      </c>
      <c r="E76" s="337"/>
      <c r="F76" s="337"/>
      <c r="G76" s="337"/>
      <c r="H76" s="335"/>
      <c r="I76" s="334"/>
      <c r="J76" s="334"/>
      <c r="K76" s="332"/>
      <c r="L76" s="332"/>
      <c r="M76" s="332"/>
      <c r="N76" s="332"/>
      <c r="O76" s="332"/>
      <c r="P76" s="332" t="s">
        <v>4932</v>
      </c>
      <c r="Q76" s="336" t="s">
        <v>4924</v>
      </c>
      <c r="R76" s="336"/>
      <c r="S76" s="336"/>
      <c r="T76" s="336" t="s">
        <v>489</v>
      </c>
      <c r="U76" s="336"/>
      <c r="V76" s="336" t="s">
        <v>4946</v>
      </c>
      <c r="W76" s="336"/>
      <c r="X76" s="337" t="s">
        <v>4974</v>
      </c>
      <c r="AA76" s="337" t="s">
        <v>148</v>
      </c>
    </row>
    <row r="77" spans="1:27" s="18" customFormat="1" ht="11.25">
      <c r="A77" s="538"/>
      <c r="B77" s="262"/>
      <c r="C77" s="254"/>
      <c r="D77" s="88"/>
      <c r="E77" s="88" t="s">
        <v>94</v>
      </c>
      <c r="F77" s="88" t="s">
        <v>4477</v>
      </c>
      <c r="G77" s="88" t="s">
        <v>94</v>
      </c>
      <c r="H77" s="149" t="s">
        <v>4975</v>
      </c>
      <c r="I77" s="252" t="s">
        <v>30</v>
      </c>
      <c r="J77" s="252" t="s">
        <v>3686</v>
      </c>
      <c r="K77" s="252"/>
      <c r="L77" s="252" t="s">
        <v>4444</v>
      </c>
      <c r="M77" s="252" t="s">
        <v>4976</v>
      </c>
      <c r="N77" s="252" t="s">
        <v>4467</v>
      </c>
      <c r="O77" s="252" t="s">
        <v>94</v>
      </c>
      <c r="P77" s="252"/>
      <c r="Q77" s="252"/>
      <c r="R77" s="252"/>
      <c r="S77" s="252"/>
      <c r="T77" s="252"/>
      <c r="U77" s="252"/>
      <c r="V77" s="252"/>
      <c r="W77" s="252"/>
      <c r="X77" s="88"/>
      <c r="AA77" s="88"/>
    </row>
    <row r="78" spans="1:27" s="18" customFormat="1" ht="11.25">
      <c r="A78" s="734">
        <f>A76+1</f>
        <v>31</v>
      </c>
      <c r="B78" s="333" t="s">
        <v>4654</v>
      </c>
      <c r="C78" s="334" t="s">
        <v>4655</v>
      </c>
      <c r="D78" s="337" t="s">
        <v>33</v>
      </c>
      <c r="E78" s="337"/>
      <c r="F78" s="337"/>
      <c r="G78" s="337"/>
      <c r="H78" s="335"/>
      <c r="I78" s="334"/>
      <c r="J78" s="334"/>
      <c r="K78" s="332"/>
      <c r="L78" s="332"/>
      <c r="M78" s="332"/>
      <c r="N78" s="332"/>
      <c r="O78" s="332"/>
      <c r="P78" s="332" t="s">
        <v>4923</v>
      </c>
      <c r="Q78" s="336" t="s">
        <v>4924</v>
      </c>
      <c r="R78" s="336"/>
      <c r="S78" s="336"/>
      <c r="T78" s="336"/>
      <c r="U78" s="336"/>
      <c r="V78" s="336"/>
      <c r="W78" s="336"/>
      <c r="X78" s="337" t="s">
        <v>4974</v>
      </c>
      <c r="AA78" s="337" t="s">
        <v>148</v>
      </c>
    </row>
    <row r="79" spans="1:27" s="18" customFormat="1" ht="11.25">
      <c r="A79" s="538"/>
      <c r="B79" s="262"/>
      <c r="C79" s="254"/>
      <c r="D79" s="88"/>
      <c r="E79" s="88" t="s">
        <v>94</v>
      </c>
      <c r="F79" s="88" t="s">
        <v>4477</v>
      </c>
      <c r="G79" s="88" t="s">
        <v>4477</v>
      </c>
      <c r="H79" s="149" t="s">
        <v>4977</v>
      </c>
      <c r="I79" s="252" t="s">
        <v>30</v>
      </c>
      <c r="J79" s="252" t="s">
        <v>33</v>
      </c>
      <c r="K79" s="252"/>
      <c r="L79" s="252" t="s">
        <v>4444</v>
      </c>
      <c r="M79" s="252" t="s">
        <v>4516</v>
      </c>
      <c r="N79" s="252" t="s">
        <v>4467</v>
      </c>
      <c r="O79" s="252" t="s">
        <v>94</v>
      </c>
      <c r="P79" s="252"/>
      <c r="Q79" s="252"/>
      <c r="R79" s="252"/>
      <c r="S79" s="252"/>
      <c r="T79" s="252"/>
      <c r="U79" s="252"/>
      <c r="V79" s="252"/>
      <c r="W79" s="252"/>
      <c r="X79" s="88"/>
      <c r="AA79" s="88"/>
    </row>
    <row r="80" spans="1:27" s="18" customFormat="1" ht="11.25">
      <c r="A80" s="734">
        <f>A78+1</f>
        <v>32</v>
      </c>
      <c r="B80" s="333" t="s">
        <v>4552</v>
      </c>
      <c r="C80" s="334" t="s">
        <v>4507</v>
      </c>
      <c r="D80" s="337" t="s">
        <v>40</v>
      </c>
      <c r="E80" s="337"/>
      <c r="F80" s="337"/>
      <c r="G80" s="337"/>
      <c r="H80" s="335"/>
      <c r="I80" s="334"/>
      <c r="J80" s="334"/>
      <c r="K80" s="332"/>
      <c r="L80" s="332"/>
      <c r="M80" s="332"/>
      <c r="N80" s="332"/>
      <c r="O80" s="332"/>
      <c r="P80" s="332" t="s">
        <v>4923</v>
      </c>
      <c r="Q80" s="336" t="s">
        <v>4924</v>
      </c>
      <c r="R80" s="336"/>
      <c r="S80" s="336"/>
      <c r="T80" s="336"/>
      <c r="U80" s="336"/>
      <c r="V80" s="336"/>
      <c r="W80" s="336"/>
      <c r="X80" s="337" t="s">
        <v>4974</v>
      </c>
      <c r="AA80" s="337" t="s">
        <v>148</v>
      </c>
    </row>
    <row r="81" spans="1:27" s="18" customFormat="1" ht="18" customHeight="1">
      <c r="A81" s="538"/>
      <c r="B81" s="262"/>
      <c r="C81" s="254"/>
      <c r="D81" s="88"/>
      <c r="E81" s="88" t="s">
        <v>94</v>
      </c>
      <c r="F81" s="88" t="s">
        <v>4477</v>
      </c>
      <c r="G81" s="88" t="s">
        <v>94</v>
      </c>
      <c r="H81" s="149" t="s">
        <v>4508</v>
      </c>
      <c r="I81" s="252" t="s">
        <v>30</v>
      </c>
      <c r="J81" s="252" t="s">
        <v>44</v>
      </c>
      <c r="K81" s="252"/>
      <c r="L81" s="252" t="s">
        <v>4444</v>
      </c>
      <c r="M81" s="252" t="s">
        <v>4509</v>
      </c>
      <c r="N81" s="252" t="s">
        <v>4467</v>
      </c>
      <c r="O81" s="252" t="s">
        <v>94</v>
      </c>
      <c r="P81" s="252"/>
      <c r="Q81" s="252"/>
      <c r="R81" s="252"/>
      <c r="S81" s="252"/>
      <c r="T81" s="252"/>
      <c r="U81" s="252"/>
      <c r="V81" s="252"/>
      <c r="W81" s="252"/>
      <c r="X81" s="88"/>
      <c r="AA81" s="88"/>
    </row>
    <row r="82" spans="1:27" s="18" customFormat="1" ht="11.25">
      <c r="A82" s="735"/>
      <c r="B82" s="311"/>
      <c r="C82" s="312"/>
      <c r="D82" s="315"/>
      <c r="E82" s="315" t="s">
        <v>33</v>
      </c>
      <c r="F82" s="315" t="s">
        <v>103</v>
      </c>
      <c r="G82" s="315" t="s">
        <v>1847</v>
      </c>
      <c r="H82" s="314" t="s">
        <v>4510</v>
      </c>
      <c r="I82" s="312" t="s">
        <v>30</v>
      </c>
      <c r="J82" s="312" t="s">
        <v>3686</v>
      </c>
      <c r="K82" s="313" t="s">
        <v>4511</v>
      </c>
      <c r="L82" s="313" t="s">
        <v>4444</v>
      </c>
      <c r="M82" s="313"/>
      <c r="N82" s="313" t="s">
        <v>4512</v>
      </c>
      <c r="O82" s="313" t="s">
        <v>30</v>
      </c>
      <c r="P82" s="313"/>
      <c r="Q82" s="36"/>
      <c r="R82" s="36"/>
      <c r="S82" s="36"/>
      <c r="T82" s="36"/>
      <c r="U82" s="36"/>
      <c r="V82" s="36"/>
      <c r="W82" s="36"/>
      <c r="X82" s="315"/>
      <c r="AA82" s="88"/>
    </row>
    <row r="83" spans="1:27" s="18" customFormat="1" ht="11.25">
      <c r="A83" s="735"/>
      <c r="B83" s="311"/>
      <c r="C83" s="312"/>
      <c r="D83" s="315"/>
      <c r="E83" s="315" t="s">
        <v>4474</v>
      </c>
      <c r="F83" s="315" t="s">
        <v>4490</v>
      </c>
      <c r="G83" s="315" t="s">
        <v>566</v>
      </c>
      <c r="H83" s="314" t="s">
        <v>4513</v>
      </c>
      <c r="I83" s="313" t="s">
        <v>30</v>
      </c>
      <c r="J83" s="313" t="s">
        <v>2394</v>
      </c>
      <c r="K83" s="313" t="s">
        <v>4514</v>
      </c>
      <c r="L83" s="313" t="s">
        <v>4444</v>
      </c>
      <c r="M83" s="313"/>
      <c r="N83" s="313" t="s">
        <v>4467</v>
      </c>
      <c r="O83" s="313" t="s">
        <v>94</v>
      </c>
      <c r="P83" s="313"/>
      <c r="Q83" s="313"/>
      <c r="R83" s="313"/>
      <c r="S83" s="313"/>
      <c r="T83" s="313"/>
      <c r="U83" s="313"/>
      <c r="V83" s="313"/>
      <c r="W83" s="313"/>
      <c r="X83" s="315"/>
      <c r="AA83" s="88"/>
    </row>
    <row r="84" spans="1:27" s="18" customFormat="1" ht="11.25">
      <c r="A84" s="740"/>
      <c r="B84" s="311"/>
      <c r="C84" s="312"/>
      <c r="D84" s="315"/>
      <c r="E84" s="315" t="s">
        <v>38</v>
      </c>
      <c r="F84" s="315" t="s">
        <v>1993</v>
      </c>
      <c r="G84" s="315" t="s">
        <v>1993</v>
      </c>
      <c r="H84" s="314" t="s">
        <v>4515</v>
      </c>
      <c r="I84" s="312" t="s">
        <v>30</v>
      </c>
      <c r="J84" s="312" t="s">
        <v>33</v>
      </c>
      <c r="K84" s="313"/>
      <c r="L84" s="313" t="s">
        <v>4444</v>
      </c>
      <c r="M84" s="313" t="s">
        <v>4516</v>
      </c>
      <c r="N84" s="313" t="s">
        <v>33</v>
      </c>
      <c r="O84" s="313" t="s">
        <v>30</v>
      </c>
      <c r="P84" s="313"/>
      <c r="Q84" s="36"/>
      <c r="R84" s="36"/>
      <c r="S84" s="36"/>
      <c r="T84" s="36"/>
      <c r="U84" s="36"/>
      <c r="V84" s="36"/>
      <c r="W84" s="36"/>
      <c r="X84" s="315"/>
      <c r="AA84" s="88"/>
    </row>
    <row r="85" spans="1:27" s="18" customFormat="1" ht="11.25">
      <c r="A85" s="734">
        <f>A80+1</f>
        <v>33</v>
      </c>
      <c r="B85" s="333" t="s">
        <v>4656</v>
      </c>
      <c r="C85" s="334" t="s">
        <v>4978</v>
      </c>
      <c r="D85" s="337" t="s">
        <v>44</v>
      </c>
      <c r="E85" s="337"/>
      <c r="F85" s="337"/>
      <c r="G85" s="337"/>
      <c r="H85" s="335"/>
      <c r="I85" s="332"/>
      <c r="J85" s="332"/>
      <c r="K85" s="332"/>
      <c r="L85" s="332"/>
      <c r="M85" s="332"/>
      <c r="N85" s="332"/>
      <c r="O85" s="332"/>
      <c r="P85" s="332" t="s">
        <v>4923</v>
      </c>
      <c r="Q85" s="332" t="s">
        <v>4924</v>
      </c>
      <c r="R85" s="332"/>
      <c r="S85" s="332"/>
      <c r="T85" s="332"/>
      <c r="U85" s="332"/>
      <c r="V85" s="332"/>
      <c r="W85" s="332"/>
      <c r="X85" s="337" t="s">
        <v>4653</v>
      </c>
      <c r="AA85" s="337" t="s">
        <v>148</v>
      </c>
    </row>
    <row r="86" spans="1:27" s="18" customFormat="1" ht="11.25">
      <c r="A86" s="735"/>
      <c r="B86" s="311"/>
      <c r="C86" s="312"/>
      <c r="D86" s="315"/>
      <c r="E86" s="315" t="s">
        <v>30</v>
      </c>
      <c r="F86" s="315" t="s">
        <v>46</v>
      </c>
      <c r="G86" s="315" t="s">
        <v>1806</v>
      </c>
      <c r="H86" s="314" t="s">
        <v>4979</v>
      </c>
      <c r="I86" s="312" t="s">
        <v>30</v>
      </c>
      <c r="J86" s="312" t="s">
        <v>4980</v>
      </c>
      <c r="K86" s="313"/>
      <c r="L86" s="313" t="s">
        <v>152</v>
      </c>
      <c r="M86" s="313"/>
      <c r="N86" s="313" t="s">
        <v>33</v>
      </c>
      <c r="O86" s="313" t="s">
        <v>30</v>
      </c>
      <c r="P86" s="313"/>
      <c r="Q86" s="36"/>
      <c r="R86" s="36"/>
      <c r="S86" s="36"/>
      <c r="T86" s="36"/>
      <c r="U86" s="36"/>
      <c r="V86" s="36"/>
      <c r="W86" s="36"/>
      <c r="X86" s="315"/>
      <c r="AA86" s="88"/>
    </row>
    <row r="87" spans="1:27" s="18" customFormat="1" ht="11.25">
      <c r="A87" s="734">
        <f>A85+1</f>
        <v>34</v>
      </c>
      <c r="B87" s="333" t="s">
        <v>4658</v>
      </c>
      <c r="C87" s="334" t="s">
        <v>4981</v>
      </c>
      <c r="D87" s="337"/>
      <c r="E87" s="337"/>
      <c r="F87" s="337"/>
      <c r="G87" s="337"/>
      <c r="H87" s="335"/>
      <c r="I87" s="332"/>
      <c r="J87" s="332"/>
      <c r="K87" s="332"/>
      <c r="L87" s="332"/>
      <c r="M87" s="332"/>
      <c r="N87" s="332"/>
      <c r="O87" s="332"/>
      <c r="P87" s="332" t="s">
        <v>4923</v>
      </c>
      <c r="Q87" s="332" t="s">
        <v>4924</v>
      </c>
      <c r="R87" s="332"/>
      <c r="S87" s="332"/>
      <c r="T87" s="332"/>
      <c r="U87" s="332"/>
      <c r="V87" s="332"/>
      <c r="W87" s="332"/>
      <c r="X87" s="337" t="s">
        <v>4653</v>
      </c>
      <c r="AA87" s="337" t="s">
        <v>148</v>
      </c>
    </row>
    <row r="88" spans="1:27" s="18" customFormat="1" ht="11.25">
      <c r="A88" s="735"/>
      <c r="B88" s="311"/>
      <c r="C88" s="312"/>
      <c r="D88" s="315"/>
      <c r="E88" s="315"/>
      <c r="F88" s="315"/>
      <c r="G88" s="315"/>
      <c r="H88" s="314" t="s">
        <v>4659</v>
      </c>
      <c r="I88" s="312"/>
      <c r="J88" s="312"/>
      <c r="K88" s="313"/>
      <c r="L88" s="313" t="s">
        <v>4444</v>
      </c>
      <c r="M88" s="313"/>
      <c r="N88" s="313" t="s">
        <v>33</v>
      </c>
      <c r="O88" s="313" t="s">
        <v>30</v>
      </c>
      <c r="P88" s="313"/>
      <c r="Q88" s="36"/>
      <c r="R88" s="36"/>
      <c r="S88" s="36"/>
      <c r="T88" s="36"/>
      <c r="U88" s="36"/>
      <c r="V88" s="36"/>
      <c r="W88" s="36"/>
      <c r="X88" s="315"/>
      <c r="AA88" s="88"/>
    </row>
    <row r="89" spans="1:27" s="18" customFormat="1" ht="11.25">
      <c r="A89" s="734">
        <f>A87+1</f>
        <v>35</v>
      </c>
      <c r="B89" s="333" t="s">
        <v>4660</v>
      </c>
      <c r="C89" s="334" t="s">
        <v>4982</v>
      </c>
      <c r="D89" s="337"/>
      <c r="E89" s="337"/>
      <c r="F89" s="337"/>
      <c r="G89" s="337"/>
      <c r="H89" s="335"/>
      <c r="I89" s="332"/>
      <c r="J89" s="332"/>
      <c r="K89" s="332"/>
      <c r="L89" s="332"/>
      <c r="M89" s="332"/>
      <c r="N89" s="332"/>
      <c r="O89" s="332"/>
      <c r="P89" s="332" t="s">
        <v>4932</v>
      </c>
      <c r="Q89" s="332" t="s">
        <v>4924</v>
      </c>
      <c r="R89" s="332"/>
      <c r="S89" s="332"/>
      <c r="T89" s="332" t="s">
        <v>489</v>
      </c>
      <c r="U89" s="332"/>
      <c r="V89" s="332" t="s">
        <v>4950</v>
      </c>
      <c r="W89" s="332"/>
      <c r="X89" s="337" t="s">
        <v>4653</v>
      </c>
      <c r="AA89" s="337" t="s">
        <v>148</v>
      </c>
    </row>
    <row r="90" spans="1:27" s="18" customFormat="1" ht="11.25">
      <c r="A90" s="735"/>
      <c r="B90" s="311"/>
      <c r="C90" s="312"/>
      <c r="D90" s="315"/>
      <c r="E90" s="315"/>
      <c r="F90" s="315"/>
      <c r="G90" s="315"/>
      <c r="H90" s="314" t="s">
        <v>4661</v>
      </c>
      <c r="I90" s="312"/>
      <c r="J90" s="312"/>
      <c r="K90" s="313"/>
      <c r="L90" s="313" t="s">
        <v>4444</v>
      </c>
      <c r="M90" s="313"/>
      <c r="N90" s="313" t="s">
        <v>33</v>
      </c>
      <c r="O90" s="313" t="s">
        <v>30</v>
      </c>
      <c r="P90" s="313"/>
      <c r="Q90" s="36"/>
      <c r="R90" s="36"/>
      <c r="S90" s="36"/>
      <c r="T90" s="36"/>
      <c r="U90" s="36"/>
      <c r="V90" s="36"/>
      <c r="W90" s="36"/>
      <c r="X90" s="315"/>
      <c r="AA90" s="88"/>
    </row>
    <row r="91" spans="1:27" s="18" customFormat="1" ht="11.25">
      <c r="A91" s="734">
        <f>A89+1</f>
        <v>36</v>
      </c>
      <c r="B91" s="333" t="s">
        <v>4662</v>
      </c>
      <c r="C91" s="334" t="s">
        <v>4983</v>
      </c>
      <c r="D91" s="337"/>
      <c r="E91" s="337"/>
      <c r="F91" s="337"/>
      <c r="G91" s="337"/>
      <c r="H91" s="335"/>
      <c r="I91" s="332"/>
      <c r="J91" s="332"/>
      <c r="K91" s="332"/>
      <c r="L91" s="332"/>
      <c r="M91" s="332"/>
      <c r="N91" s="332"/>
      <c r="O91" s="332"/>
      <c r="P91" s="332" t="s">
        <v>4923</v>
      </c>
      <c r="Q91" s="332" t="s">
        <v>4924</v>
      </c>
      <c r="R91" s="332"/>
      <c r="S91" s="332"/>
      <c r="T91" s="332"/>
      <c r="U91" s="332"/>
      <c r="V91" s="332"/>
      <c r="W91" s="332"/>
      <c r="X91" s="337" t="s">
        <v>4653</v>
      </c>
      <c r="AA91" s="337" t="s">
        <v>148</v>
      </c>
    </row>
    <row r="92" spans="1:27" s="18" customFormat="1" ht="11.25">
      <c r="A92" s="735"/>
      <c r="B92" s="311"/>
      <c r="C92" s="312"/>
      <c r="D92" s="315"/>
      <c r="E92" s="315"/>
      <c r="F92" s="315"/>
      <c r="G92" s="315"/>
      <c r="H92" s="314" t="s">
        <v>4663</v>
      </c>
      <c r="I92" s="312"/>
      <c r="J92" s="312"/>
      <c r="K92" s="313"/>
      <c r="L92" s="313" t="s">
        <v>4444</v>
      </c>
      <c r="M92" s="313"/>
      <c r="N92" s="313" t="s">
        <v>33</v>
      </c>
      <c r="O92" s="313" t="s">
        <v>30</v>
      </c>
      <c r="P92" s="313"/>
      <c r="Q92" s="36"/>
      <c r="R92" s="36"/>
      <c r="S92" s="36"/>
      <c r="T92" s="36"/>
      <c r="U92" s="36"/>
      <c r="V92" s="36"/>
      <c r="W92" s="36"/>
      <c r="X92" s="315"/>
      <c r="AA92" s="88"/>
    </row>
    <row r="93" spans="1:27" s="18" customFormat="1" ht="11.25">
      <c r="A93" s="734">
        <f>A91+1</f>
        <v>37</v>
      </c>
      <c r="B93" s="333" t="s">
        <v>4664</v>
      </c>
      <c r="C93" s="334" t="s">
        <v>4984</v>
      </c>
      <c r="D93" s="337"/>
      <c r="E93" s="337"/>
      <c r="F93" s="337"/>
      <c r="G93" s="337"/>
      <c r="H93" s="335"/>
      <c r="I93" s="332"/>
      <c r="J93" s="332"/>
      <c r="K93" s="332"/>
      <c r="L93" s="332"/>
      <c r="M93" s="332"/>
      <c r="N93" s="332"/>
      <c r="O93" s="332"/>
      <c r="P93" s="332" t="s">
        <v>4932</v>
      </c>
      <c r="Q93" s="332" t="s">
        <v>4924</v>
      </c>
      <c r="R93" s="332"/>
      <c r="S93" s="332"/>
      <c r="T93" s="332" t="s">
        <v>489</v>
      </c>
      <c r="U93" s="332"/>
      <c r="V93" s="332" t="s">
        <v>4950</v>
      </c>
      <c r="W93" s="332"/>
      <c r="X93" s="337" t="s">
        <v>4653</v>
      </c>
      <c r="AA93" s="337" t="s">
        <v>148</v>
      </c>
    </row>
    <row r="94" spans="1:27" s="18" customFormat="1" ht="11.25">
      <c r="A94" s="735"/>
      <c r="B94" s="311"/>
      <c r="C94" s="312"/>
      <c r="D94" s="315"/>
      <c r="E94" s="315"/>
      <c r="F94" s="315"/>
      <c r="G94" s="315"/>
      <c r="H94" s="314" t="s">
        <v>4665</v>
      </c>
      <c r="I94" s="312"/>
      <c r="J94" s="312"/>
      <c r="K94" s="313"/>
      <c r="L94" s="313" t="s">
        <v>4444</v>
      </c>
      <c r="M94" s="313"/>
      <c r="N94" s="313" t="s">
        <v>33</v>
      </c>
      <c r="O94" s="313" t="s">
        <v>30</v>
      </c>
      <c r="P94" s="313"/>
      <c r="Q94" s="36"/>
      <c r="R94" s="36"/>
      <c r="S94" s="36"/>
      <c r="T94" s="36"/>
      <c r="U94" s="36"/>
      <c r="V94" s="36"/>
      <c r="W94" s="36"/>
      <c r="X94" s="315"/>
      <c r="AA94" s="88"/>
    </row>
    <row r="95" spans="1:27" s="18" customFormat="1" ht="11.25">
      <c r="A95" s="734">
        <f>A93+1</f>
        <v>38</v>
      </c>
      <c r="B95" s="333" t="s">
        <v>4666</v>
      </c>
      <c r="C95" s="334" t="s">
        <v>4985</v>
      </c>
      <c r="D95" s="337"/>
      <c r="E95" s="337"/>
      <c r="F95" s="337"/>
      <c r="G95" s="337"/>
      <c r="H95" s="335"/>
      <c r="I95" s="332"/>
      <c r="J95" s="332"/>
      <c r="K95" s="332"/>
      <c r="L95" s="332"/>
      <c r="M95" s="332"/>
      <c r="N95" s="332"/>
      <c r="O95" s="332"/>
      <c r="P95" s="332" t="s">
        <v>4923</v>
      </c>
      <c r="Q95" s="332" t="s">
        <v>4924</v>
      </c>
      <c r="R95" s="332"/>
      <c r="S95" s="332"/>
      <c r="T95" s="332"/>
      <c r="U95" s="332"/>
      <c r="V95" s="332"/>
      <c r="W95" s="332"/>
      <c r="X95" s="337" t="s">
        <v>4653</v>
      </c>
      <c r="AA95" s="337" t="s">
        <v>148</v>
      </c>
    </row>
    <row r="96" spans="1:27" s="18" customFormat="1" ht="11.25">
      <c r="A96" s="735"/>
      <c r="B96" s="311"/>
      <c r="C96" s="312"/>
      <c r="D96" s="315"/>
      <c r="E96" s="315"/>
      <c r="F96" s="315"/>
      <c r="G96" s="315"/>
      <c r="H96" s="314" t="s">
        <v>4667</v>
      </c>
      <c r="I96" s="312"/>
      <c r="J96" s="312"/>
      <c r="K96" s="313"/>
      <c r="L96" s="313" t="s">
        <v>4444</v>
      </c>
      <c r="M96" s="313"/>
      <c r="N96" s="313" t="s">
        <v>33</v>
      </c>
      <c r="O96" s="313" t="s">
        <v>30</v>
      </c>
      <c r="P96" s="313"/>
      <c r="Q96" s="36"/>
      <c r="R96" s="36"/>
      <c r="S96" s="36"/>
      <c r="T96" s="36"/>
      <c r="U96" s="36"/>
      <c r="V96" s="36"/>
      <c r="W96" s="36"/>
      <c r="X96" s="315"/>
      <c r="AA96" s="88"/>
    </row>
    <row r="97" spans="1:27" s="18" customFormat="1" ht="11.25">
      <c r="A97" s="734">
        <f>A95+1</f>
        <v>39</v>
      </c>
      <c r="B97" s="333" t="s">
        <v>4668</v>
      </c>
      <c r="C97" s="334" t="s">
        <v>4986</v>
      </c>
      <c r="D97" s="337"/>
      <c r="E97" s="337"/>
      <c r="F97" s="337"/>
      <c r="G97" s="337"/>
      <c r="H97" s="335"/>
      <c r="I97" s="332"/>
      <c r="J97" s="332"/>
      <c r="K97" s="332"/>
      <c r="L97" s="332"/>
      <c r="M97" s="332"/>
      <c r="N97" s="332"/>
      <c r="O97" s="332"/>
      <c r="P97" s="332" t="s">
        <v>4932</v>
      </c>
      <c r="Q97" s="332" t="s">
        <v>4924</v>
      </c>
      <c r="R97" s="332"/>
      <c r="S97" s="332"/>
      <c r="T97" s="332" t="s">
        <v>489</v>
      </c>
      <c r="U97" s="332"/>
      <c r="V97" s="332" t="s">
        <v>4950</v>
      </c>
      <c r="W97" s="332"/>
      <c r="X97" s="337" t="s">
        <v>4653</v>
      </c>
      <c r="AA97" s="337" t="s">
        <v>148</v>
      </c>
    </row>
    <row r="98" spans="1:27" s="18" customFormat="1" ht="11.25">
      <c r="A98" s="735"/>
      <c r="B98" s="311"/>
      <c r="C98" s="312"/>
      <c r="D98" s="315"/>
      <c r="E98" s="315"/>
      <c r="F98" s="315"/>
      <c r="G98" s="315"/>
      <c r="H98" s="314" t="s">
        <v>4669</v>
      </c>
      <c r="I98" s="312"/>
      <c r="J98" s="312"/>
      <c r="K98" s="313"/>
      <c r="L98" s="313" t="s">
        <v>4444</v>
      </c>
      <c r="M98" s="313"/>
      <c r="N98" s="313" t="s">
        <v>33</v>
      </c>
      <c r="O98" s="313" t="s">
        <v>30</v>
      </c>
      <c r="P98" s="313"/>
      <c r="Q98" s="36"/>
      <c r="R98" s="36"/>
      <c r="S98" s="36"/>
      <c r="T98" s="36"/>
      <c r="U98" s="36"/>
      <c r="V98" s="36"/>
      <c r="W98" s="36"/>
      <c r="X98" s="315"/>
      <c r="AA98" s="88"/>
    </row>
    <row r="99" spans="1:27" s="18" customFormat="1" ht="11.25">
      <c r="A99" s="734">
        <f>A97+1</f>
        <v>40</v>
      </c>
      <c r="B99" s="333" t="s">
        <v>4670</v>
      </c>
      <c r="C99" s="334" t="s">
        <v>4671</v>
      </c>
      <c r="D99" s="337" t="s">
        <v>33</v>
      </c>
      <c r="E99" s="337"/>
      <c r="F99" s="337"/>
      <c r="G99" s="337"/>
      <c r="H99" s="335"/>
      <c r="I99" s="332"/>
      <c r="J99" s="332"/>
      <c r="K99" s="332"/>
      <c r="L99" s="332"/>
      <c r="M99" s="332"/>
      <c r="N99" s="332"/>
      <c r="O99" s="332"/>
      <c r="P99" s="332" t="s">
        <v>4932</v>
      </c>
      <c r="Q99" s="332" t="s">
        <v>4924</v>
      </c>
      <c r="R99" s="332"/>
      <c r="S99" s="332"/>
      <c r="T99" s="332" t="s">
        <v>489</v>
      </c>
      <c r="U99" s="332"/>
      <c r="V99" s="332" t="s">
        <v>4946</v>
      </c>
      <c r="W99" s="332"/>
      <c r="X99" s="337" t="s">
        <v>4653</v>
      </c>
      <c r="AA99" s="337" t="s">
        <v>148</v>
      </c>
    </row>
    <row r="100" spans="1:27" s="18" customFormat="1" ht="11.25">
      <c r="A100" s="735"/>
      <c r="B100" s="311"/>
      <c r="C100" s="312"/>
      <c r="D100" s="315"/>
      <c r="E100" s="315" t="s">
        <v>30</v>
      </c>
      <c r="F100" s="315" t="s">
        <v>46</v>
      </c>
      <c r="G100" s="315" t="s">
        <v>30</v>
      </c>
      <c r="H100" s="314" t="s">
        <v>4671</v>
      </c>
      <c r="I100" s="312" t="s">
        <v>30</v>
      </c>
      <c r="J100" s="312" t="s">
        <v>3686</v>
      </c>
      <c r="K100" s="313"/>
      <c r="L100" s="313" t="s">
        <v>4444</v>
      </c>
      <c r="M100" s="313" t="s">
        <v>4987</v>
      </c>
      <c r="N100" s="313" t="s">
        <v>33</v>
      </c>
      <c r="O100" s="313" t="s">
        <v>30</v>
      </c>
      <c r="P100" s="313"/>
      <c r="Q100" s="36"/>
      <c r="R100" s="36"/>
      <c r="S100" s="36"/>
      <c r="T100" s="36"/>
      <c r="U100" s="36"/>
      <c r="V100" s="36"/>
      <c r="W100" s="36"/>
      <c r="X100" s="315"/>
      <c r="AA100" s="88"/>
    </row>
    <row r="101" spans="1:27" s="18" customFormat="1" ht="11.25">
      <c r="A101" s="734">
        <f>A99+1</f>
        <v>41</v>
      </c>
      <c r="B101" s="333" t="s">
        <v>4672</v>
      </c>
      <c r="C101" s="334" t="s">
        <v>4988</v>
      </c>
      <c r="D101" s="337" t="s">
        <v>33</v>
      </c>
      <c r="E101" s="337"/>
      <c r="F101" s="337"/>
      <c r="G101" s="337"/>
      <c r="H101" s="335"/>
      <c r="I101" s="332"/>
      <c r="J101" s="332"/>
      <c r="K101" s="332"/>
      <c r="L101" s="332"/>
      <c r="M101" s="332"/>
      <c r="N101" s="332"/>
      <c r="O101" s="332"/>
      <c r="P101" s="332" t="s">
        <v>4932</v>
      </c>
      <c r="Q101" s="332" t="s">
        <v>4924</v>
      </c>
      <c r="R101" s="332"/>
      <c r="S101" s="332"/>
      <c r="T101" s="332" t="s">
        <v>489</v>
      </c>
      <c r="U101" s="332"/>
      <c r="V101" s="332" t="s">
        <v>4946</v>
      </c>
      <c r="W101" s="332"/>
      <c r="X101" s="337" t="s">
        <v>4653</v>
      </c>
      <c r="AA101" s="337" t="s">
        <v>148</v>
      </c>
    </row>
    <row r="102" spans="1:27" s="18" customFormat="1" ht="11.25">
      <c r="A102" s="735"/>
      <c r="B102" s="311"/>
      <c r="C102" s="312"/>
      <c r="D102" s="315"/>
      <c r="E102" s="315" t="s">
        <v>30</v>
      </c>
      <c r="F102" s="315" t="s">
        <v>46</v>
      </c>
      <c r="G102" s="315" t="s">
        <v>30</v>
      </c>
      <c r="H102" s="314" t="s">
        <v>4989</v>
      </c>
      <c r="I102" s="312" t="s">
        <v>30</v>
      </c>
      <c r="J102" s="312" t="s">
        <v>3686</v>
      </c>
      <c r="K102" s="313"/>
      <c r="L102" s="313" t="s">
        <v>4444</v>
      </c>
      <c r="M102" s="313" t="s">
        <v>4990</v>
      </c>
      <c r="N102" s="313" t="s">
        <v>33</v>
      </c>
      <c r="O102" s="313" t="s">
        <v>30</v>
      </c>
      <c r="P102" s="313"/>
      <c r="Q102" s="36"/>
      <c r="R102" s="36"/>
      <c r="S102" s="36"/>
      <c r="T102" s="36"/>
      <c r="U102" s="36"/>
      <c r="V102" s="36"/>
      <c r="W102" s="36"/>
      <c r="X102" s="315"/>
      <c r="AA102" s="88"/>
    </row>
    <row r="103" spans="1:27" s="18" customFormat="1" ht="11.25">
      <c r="A103" s="734">
        <f>A101+1</f>
        <v>42</v>
      </c>
      <c r="B103" s="333" t="s">
        <v>4518</v>
      </c>
      <c r="C103" s="334" t="s">
        <v>4991</v>
      </c>
      <c r="D103" s="337" t="s">
        <v>1923</v>
      </c>
      <c r="E103" s="337"/>
      <c r="F103" s="337"/>
      <c r="G103" s="337"/>
      <c r="H103" s="335"/>
      <c r="I103" s="332"/>
      <c r="J103" s="332"/>
      <c r="K103" s="332"/>
      <c r="L103" s="332"/>
      <c r="M103" s="332"/>
      <c r="N103" s="332"/>
      <c r="O103" s="332"/>
      <c r="P103" s="332" t="s">
        <v>4923</v>
      </c>
      <c r="Q103" s="332" t="s">
        <v>4924</v>
      </c>
      <c r="R103" s="332"/>
      <c r="S103" s="332"/>
      <c r="T103" s="332"/>
      <c r="U103" s="332"/>
      <c r="V103" s="332"/>
      <c r="W103" s="332"/>
      <c r="X103" s="337" t="s">
        <v>4653</v>
      </c>
      <c r="AA103" s="337" t="s">
        <v>148</v>
      </c>
    </row>
    <row r="104" spans="1:27" s="18" customFormat="1" ht="11.25">
      <c r="A104" s="735"/>
      <c r="B104" s="311"/>
      <c r="C104" s="312"/>
      <c r="D104" s="315"/>
      <c r="E104" s="315" t="s">
        <v>30</v>
      </c>
      <c r="F104" s="315" t="s">
        <v>46</v>
      </c>
      <c r="G104" s="315" t="s">
        <v>30</v>
      </c>
      <c r="H104" s="314" t="s">
        <v>4520</v>
      </c>
      <c r="I104" s="312" t="s">
        <v>30</v>
      </c>
      <c r="J104" s="312" t="s">
        <v>2253</v>
      </c>
      <c r="K104" s="313" t="s">
        <v>4486</v>
      </c>
      <c r="L104" s="313" t="s">
        <v>4444</v>
      </c>
      <c r="M104" s="313"/>
      <c r="N104" s="313" t="s">
        <v>33</v>
      </c>
      <c r="O104" s="313" t="s">
        <v>30</v>
      </c>
      <c r="P104" s="313"/>
      <c r="Q104" s="36"/>
      <c r="R104" s="36"/>
      <c r="S104" s="36"/>
      <c r="T104" s="36"/>
      <c r="U104" s="36"/>
      <c r="V104" s="36"/>
      <c r="W104" s="36"/>
      <c r="X104" s="315"/>
      <c r="AA104" s="88"/>
    </row>
    <row r="105" spans="1:27" s="18" customFormat="1" ht="11.25">
      <c r="A105" s="735"/>
      <c r="B105" s="311"/>
      <c r="C105" s="312"/>
      <c r="D105" s="315"/>
      <c r="E105" s="315" t="s">
        <v>4467</v>
      </c>
      <c r="F105" s="315" t="s">
        <v>4487</v>
      </c>
      <c r="G105" s="315" t="s">
        <v>4478</v>
      </c>
      <c r="H105" s="314" t="s">
        <v>4521</v>
      </c>
      <c r="I105" s="313" t="s">
        <v>30</v>
      </c>
      <c r="J105" s="313" t="s">
        <v>2253</v>
      </c>
      <c r="K105" s="313" t="s">
        <v>4489</v>
      </c>
      <c r="L105" s="313" t="s">
        <v>4444</v>
      </c>
      <c r="M105" s="313"/>
      <c r="N105" s="313" t="s">
        <v>4467</v>
      </c>
      <c r="O105" s="313" t="s">
        <v>94</v>
      </c>
      <c r="P105" s="313"/>
      <c r="Q105" s="313"/>
      <c r="R105" s="313"/>
      <c r="S105" s="313"/>
      <c r="T105" s="313"/>
      <c r="U105" s="313"/>
      <c r="V105" s="313"/>
      <c r="W105" s="313"/>
      <c r="X105" s="315"/>
      <c r="AA105" s="88"/>
    </row>
    <row r="106" spans="1:27" s="18" customFormat="1" ht="11.25">
      <c r="A106" s="735"/>
      <c r="B106" s="311"/>
      <c r="C106" s="312"/>
      <c r="D106" s="315"/>
      <c r="E106" s="315" t="s">
        <v>36</v>
      </c>
      <c r="F106" s="315" t="s">
        <v>1989</v>
      </c>
      <c r="G106" s="315" t="s">
        <v>1923</v>
      </c>
      <c r="H106" s="314" t="s">
        <v>4522</v>
      </c>
      <c r="I106" s="312" t="s">
        <v>30</v>
      </c>
      <c r="J106" s="312" t="s">
        <v>1989</v>
      </c>
      <c r="K106" s="313" t="s">
        <v>4492</v>
      </c>
      <c r="L106" s="313" t="s">
        <v>4444</v>
      </c>
      <c r="M106" s="313"/>
      <c r="N106" s="313" t="s">
        <v>33</v>
      </c>
      <c r="O106" s="313" t="s">
        <v>30</v>
      </c>
      <c r="P106" s="313"/>
      <c r="Q106" s="36"/>
      <c r="R106" s="36"/>
      <c r="S106" s="36"/>
      <c r="T106" s="36"/>
      <c r="U106" s="36"/>
      <c r="V106" s="36"/>
      <c r="W106" s="36"/>
      <c r="X106" s="315"/>
      <c r="AA106" s="88"/>
    </row>
    <row r="107" spans="1:27" s="18" customFormat="1" ht="11.25">
      <c r="A107" s="735"/>
      <c r="B107" s="311"/>
      <c r="C107" s="312"/>
      <c r="D107" s="315"/>
      <c r="E107" s="315" t="s">
        <v>141</v>
      </c>
      <c r="F107" s="315" t="s">
        <v>4493</v>
      </c>
      <c r="G107" s="315" t="s">
        <v>4494</v>
      </c>
      <c r="H107" s="314" t="s">
        <v>4523</v>
      </c>
      <c r="I107" s="313" t="s">
        <v>33</v>
      </c>
      <c r="J107" s="313" t="s">
        <v>2021</v>
      </c>
      <c r="K107" s="313" t="s">
        <v>4496</v>
      </c>
      <c r="L107" s="313" t="s">
        <v>4444</v>
      </c>
      <c r="M107" s="313"/>
      <c r="N107" s="313" t="s">
        <v>4467</v>
      </c>
      <c r="O107" s="313" t="s">
        <v>94</v>
      </c>
      <c r="P107" s="313"/>
      <c r="Q107" s="313"/>
      <c r="R107" s="313"/>
      <c r="S107" s="313"/>
      <c r="T107" s="313"/>
      <c r="U107" s="313"/>
      <c r="V107" s="313"/>
      <c r="W107" s="313"/>
      <c r="X107" s="315"/>
      <c r="AA107" s="88"/>
    </row>
    <row r="108" spans="1:27" s="18" customFormat="1" ht="11.25">
      <c r="A108" s="735"/>
      <c r="B108" s="311"/>
      <c r="C108" s="312"/>
      <c r="D108" s="315"/>
      <c r="E108" s="315" t="s">
        <v>40</v>
      </c>
      <c r="F108" s="315" t="s">
        <v>2102</v>
      </c>
      <c r="G108" s="315" t="s">
        <v>2025</v>
      </c>
      <c r="H108" s="314" t="s">
        <v>4524</v>
      </c>
      <c r="I108" s="312" t="s">
        <v>33</v>
      </c>
      <c r="J108" s="312" t="s">
        <v>1881</v>
      </c>
      <c r="K108" s="313" t="s">
        <v>4500</v>
      </c>
      <c r="L108" s="313" t="s">
        <v>4444</v>
      </c>
      <c r="M108" s="313"/>
      <c r="N108" s="313" t="s">
        <v>33</v>
      </c>
      <c r="O108" s="313" t="s">
        <v>30</v>
      </c>
      <c r="P108" s="313"/>
      <c r="Q108" s="36"/>
      <c r="R108" s="36"/>
      <c r="S108" s="36"/>
      <c r="T108" s="36"/>
      <c r="U108" s="36"/>
      <c r="V108" s="36"/>
      <c r="W108" s="36"/>
      <c r="X108" s="315"/>
      <c r="AA108" s="88"/>
    </row>
    <row r="109" spans="1:27" s="18" customFormat="1" ht="11.25">
      <c r="A109" s="735"/>
      <c r="B109" s="311"/>
      <c r="C109" s="312"/>
      <c r="D109" s="315"/>
      <c r="E109" s="315" t="s">
        <v>4484</v>
      </c>
      <c r="F109" s="315" t="s">
        <v>4992</v>
      </c>
      <c r="G109" s="315" t="s">
        <v>4928</v>
      </c>
      <c r="H109" s="314" t="s">
        <v>4525</v>
      </c>
      <c r="I109" s="313" t="s">
        <v>30</v>
      </c>
      <c r="J109" s="313" t="s">
        <v>3686</v>
      </c>
      <c r="K109" s="313"/>
      <c r="L109" s="313" t="s">
        <v>4444</v>
      </c>
      <c r="M109" s="313"/>
      <c r="N109" s="313" t="s">
        <v>4467</v>
      </c>
      <c r="O109" s="313" t="s">
        <v>94</v>
      </c>
      <c r="P109" s="313"/>
      <c r="Q109" s="313"/>
      <c r="R109" s="313"/>
      <c r="S109" s="313"/>
      <c r="T109" s="313"/>
      <c r="U109" s="313"/>
      <c r="V109" s="313"/>
      <c r="W109" s="313"/>
      <c r="X109" s="315"/>
      <c r="AA109" s="88"/>
    </row>
    <row r="110" spans="1:27" s="18" customFormat="1" ht="11.25">
      <c r="A110" s="735"/>
      <c r="B110" s="311"/>
      <c r="C110" s="312"/>
      <c r="D110" s="315"/>
      <c r="E110" s="315" t="s">
        <v>44</v>
      </c>
      <c r="F110" s="315" t="s">
        <v>2229</v>
      </c>
      <c r="G110" s="315" t="s">
        <v>2187</v>
      </c>
      <c r="H110" s="314" t="s">
        <v>4526</v>
      </c>
      <c r="I110" s="312" t="s">
        <v>30</v>
      </c>
      <c r="J110" s="312" t="s">
        <v>3686</v>
      </c>
      <c r="K110" s="313"/>
      <c r="L110" s="313" t="s">
        <v>4444</v>
      </c>
      <c r="M110" s="313"/>
      <c r="N110" s="313" t="s">
        <v>33</v>
      </c>
      <c r="O110" s="313" t="s">
        <v>30</v>
      </c>
      <c r="P110" s="313"/>
      <c r="Q110" s="36"/>
      <c r="R110" s="36"/>
      <c r="S110" s="36"/>
      <c r="T110" s="36"/>
      <c r="U110" s="36"/>
      <c r="V110" s="36"/>
      <c r="W110" s="36"/>
      <c r="X110" s="315"/>
      <c r="AA110" s="88"/>
    </row>
    <row r="111" spans="1:27" s="18" customFormat="1" ht="11.25">
      <c r="A111" s="735"/>
      <c r="B111" s="311"/>
      <c r="C111" s="312"/>
      <c r="D111" s="315"/>
      <c r="E111" s="315" t="s">
        <v>4477</v>
      </c>
      <c r="F111" s="315" t="s">
        <v>4993</v>
      </c>
      <c r="G111" s="315" t="s">
        <v>4951</v>
      </c>
      <c r="H111" s="314" t="s">
        <v>4527</v>
      </c>
      <c r="I111" s="313" t="s">
        <v>30</v>
      </c>
      <c r="J111" s="313" t="s">
        <v>3686</v>
      </c>
      <c r="K111" s="313"/>
      <c r="L111" s="313" t="s">
        <v>4444</v>
      </c>
      <c r="M111" s="313"/>
      <c r="N111" s="313" t="s">
        <v>4467</v>
      </c>
      <c r="O111" s="313" t="s">
        <v>94</v>
      </c>
      <c r="P111" s="313"/>
      <c r="Q111" s="313"/>
      <c r="R111" s="313"/>
      <c r="S111" s="313"/>
      <c r="T111" s="313"/>
      <c r="U111" s="313"/>
      <c r="V111" s="313"/>
      <c r="W111" s="313"/>
      <c r="X111" s="315"/>
      <c r="AA111" s="88"/>
    </row>
    <row r="112" spans="1:27" s="18" customFormat="1" ht="11.25">
      <c r="A112" s="735"/>
      <c r="B112" s="311"/>
      <c r="C112" s="312"/>
      <c r="D112" s="315"/>
      <c r="E112" s="315" t="s">
        <v>1847</v>
      </c>
      <c r="F112" s="315" t="s">
        <v>2292</v>
      </c>
      <c r="G112" s="315" t="s">
        <v>113</v>
      </c>
      <c r="H112" s="314" t="s">
        <v>4528</v>
      </c>
      <c r="I112" s="312" t="s">
        <v>30</v>
      </c>
      <c r="J112" s="312" t="s">
        <v>3686</v>
      </c>
      <c r="K112" s="313"/>
      <c r="L112" s="313" t="s">
        <v>4444</v>
      </c>
      <c r="M112" s="313"/>
      <c r="N112" s="313" t="s">
        <v>33</v>
      </c>
      <c r="O112" s="313" t="s">
        <v>30</v>
      </c>
      <c r="P112" s="313"/>
      <c r="Q112" s="36"/>
      <c r="R112" s="36"/>
      <c r="S112" s="36"/>
      <c r="T112" s="36"/>
      <c r="U112" s="36"/>
      <c r="V112" s="36"/>
      <c r="W112" s="36"/>
      <c r="X112" s="315"/>
      <c r="AA112" s="88"/>
    </row>
    <row r="113" spans="1:27" s="18" customFormat="1" ht="11.25">
      <c r="A113" s="735"/>
      <c r="B113" s="311"/>
      <c r="C113" s="312"/>
      <c r="D113" s="315"/>
      <c r="E113" s="315" t="s">
        <v>4994</v>
      </c>
      <c r="F113" s="315" t="s">
        <v>4995</v>
      </c>
      <c r="G113" s="315" t="s">
        <v>4926</v>
      </c>
      <c r="H113" s="314" t="s">
        <v>4529</v>
      </c>
      <c r="I113" s="313" t="s">
        <v>30</v>
      </c>
      <c r="J113" s="313" t="s">
        <v>3686</v>
      </c>
      <c r="K113" s="313"/>
      <c r="L113" s="313" t="s">
        <v>4444</v>
      </c>
      <c r="M113" s="313"/>
      <c r="N113" s="313" t="s">
        <v>4467</v>
      </c>
      <c r="O113" s="313" t="s">
        <v>94</v>
      </c>
      <c r="P113" s="313"/>
      <c r="Q113" s="313"/>
      <c r="R113" s="313"/>
      <c r="S113" s="313"/>
      <c r="T113" s="313"/>
      <c r="U113" s="313"/>
      <c r="V113" s="313"/>
      <c r="W113" s="313"/>
      <c r="X113" s="315"/>
      <c r="AA113" s="88"/>
    </row>
    <row r="114" spans="1:27" s="18" customFormat="1" ht="11.25">
      <c r="A114" s="735"/>
      <c r="B114" s="311"/>
      <c r="C114" s="312"/>
      <c r="D114" s="315"/>
      <c r="E114" s="315" t="s">
        <v>1861</v>
      </c>
      <c r="F114" s="315" t="s">
        <v>2352</v>
      </c>
      <c r="G114" s="315" t="s">
        <v>2328</v>
      </c>
      <c r="H114" s="314" t="s">
        <v>4530</v>
      </c>
      <c r="I114" s="312" t="s">
        <v>30</v>
      </c>
      <c r="J114" s="312" t="s">
        <v>3686</v>
      </c>
      <c r="K114" s="313"/>
      <c r="L114" s="313" t="s">
        <v>4444</v>
      </c>
      <c r="M114" s="313"/>
      <c r="N114" s="313" t="s">
        <v>33</v>
      </c>
      <c r="O114" s="313" t="s">
        <v>30</v>
      </c>
      <c r="P114" s="313"/>
      <c r="Q114" s="36"/>
      <c r="R114" s="36"/>
      <c r="S114" s="36"/>
      <c r="T114" s="36"/>
      <c r="U114" s="36"/>
      <c r="V114" s="36"/>
      <c r="W114" s="36"/>
      <c r="X114" s="315"/>
      <c r="AA114" s="88"/>
    </row>
    <row r="115" spans="1:27" s="18" customFormat="1" ht="11.25">
      <c r="A115" s="735"/>
      <c r="B115" s="311"/>
      <c r="C115" s="312"/>
      <c r="D115" s="315"/>
      <c r="E115" s="315" t="s">
        <v>4961</v>
      </c>
      <c r="F115" s="315" t="s">
        <v>4996</v>
      </c>
      <c r="G115" s="315" t="s">
        <v>4997</v>
      </c>
      <c r="H115" s="314" t="s">
        <v>4531</v>
      </c>
      <c r="I115" s="313" t="s">
        <v>30</v>
      </c>
      <c r="J115" s="313" t="s">
        <v>3686</v>
      </c>
      <c r="K115" s="313"/>
      <c r="L115" s="313" t="s">
        <v>4444</v>
      </c>
      <c r="M115" s="313"/>
      <c r="N115" s="313" t="s">
        <v>4467</v>
      </c>
      <c r="O115" s="313" t="s">
        <v>94</v>
      </c>
      <c r="P115" s="313"/>
      <c r="Q115" s="313"/>
      <c r="R115" s="313"/>
      <c r="S115" s="313"/>
      <c r="T115" s="313"/>
      <c r="U115" s="313"/>
      <c r="V115" s="313"/>
      <c r="W115" s="313"/>
      <c r="X115" s="315"/>
      <c r="AA115" s="88"/>
    </row>
    <row r="116" spans="1:27" s="18" customFormat="1" ht="11.25">
      <c r="A116" s="735"/>
      <c r="B116" s="311"/>
      <c r="C116" s="312"/>
      <c r="D116" s="315"/>
      <c r="E116" s="315" t="s">
        <v>1881</v>
      </c>
      <c r="F116" s="315" t="s">
        <v>2407</v>
      </c>
      <c r="G116" s="315" t="s">
        <v>2382</v>
      </c>
      <c r="H116" s="314" t="s">
        <v>4532</v>
      </c>
      <c r="I116" s="312" t="s">
        <v>30</v>
      </c>
      <c r="J116" s="312" t="s">
        <v>3686</v>
      </c>
      <c r="K116" s="313"/>
      <c r="L116" s="313" t="s">
        <v>4444</v>
      </c>
      <c r="M116" s="313"/>
      <c r="N116" s="313" t="s">
        <v>33</v>
      </c>
      <c r="O116" s="313" t="s">
        <v>30</v>
      </c>
      <c r="P116" s="313"/>
      <c r="Q116" s="36"/>
      <c r="R116" s="36"/>
      <c r="S116" s="36"/>
      <c r="T116" s="36"/>
      <c r="U116" s="36"/>
      <c r="V116" s="36"/>
      <c r="W116" s="36"/>
      <c r="X116" s="315"/>
      <c r="AA116" s="88"/>
    </row>
    <row r="117" spans="1:27" s="18" customFormat="1" ht="11.25">
      <c r="A117" s="735"/>
      <c r="B117" s="311"/>
      <c r="C117" s="312"/>
      <c r="D117" s="315"/>
      <c r="E117" s="315" t="s">
        <v>4998</v>
      </c>
      <c r="F117" s="315" t="s">
        <v>4999</v>
      </c>
      <c r="G117" s="315" t="s">
        <v>5000</v>
      </c>
      <c r="H117" s="314" t="s">
        <v>4533</v>
      </c>
      <c r="I117" s="313" t="s">
        <v>30</v>
      </c>
      <c r="J117" s="313" t="s">
        <v>3686</v>
      </c>
      <c r="K117" s="313"/>
      <c r="L117" s="313" t="s">
        <v>4444</v>
      </c>
      <c r="M117" s="313"/>
      <c r="N117" s="313" t="s">
        <v>4467</v>
      </c>
      <c r="O117" s="313" t="s">
        <v>94</v>
      </c>
      <c r="P117" s="313"/>
      <c r="Q117" s="313"/>
      <c r="R117" s="313"/>
      <c r="S117" s="313"/>
      <c r="T117" s="313"/>
      <c r="U117" s="313"/>
      <c r="V117" s="313"/>
      <c r="W117" s="313"/>
      <c r="X117" s="315"/>
      <c r="AA117" s="88"/>
    </row>
    <row r="118" spans="1:27" s="18" customFormat="1" ht="11.25">
      <c r="A118" s="735"/>
      <c r="B118" s="311"/>
      <c r="C118" s="312"/>
      <c r="D118" s="315"/>
      <c r="E118" s="315" t="s">
        <v>1902</v>
      </c>
      <c r="F118" s="315" t="s">
        <v>2521</v>
      </c>
      <c r="G118" s="315" t="s">
        <v>2453</v>
      </c>
      <c r="H118" s="314" t="s">
        <v>4534</v>
      </c>
      <c r="I118" s="312" t="s">
        <v>30</v>
      </c>
      <c r="J118" s="312" t="s">
        <v>3686</v>
      </c>
      <c r="K118" s="313"/>
      <c r="L118" s="313" t="s">
        <v>4444</v>
      </c>
      <c r="M118" s="313"/>
      <c r="N118" s="313" t="s">
        <v>33</v>
      </c>
      <c r="O118" s="313" t="s">
        <v>30</v>
      </c>
      <c r="P118" s="313"/>
      <c r="Q118" s="36"/>
      <c r="R118" s="36"/>
      <c r="S118" s="36"/>
      <c r="T118" s="36"/>
      <c r="U118" s="36"/>
      <c r="V118" s="36"/>
      <c r="W118" s="36"/>
      <c r="X118" s="315"/>
      <c r="AA118" s="88"/>
    </row>
    <row r="119" spans="1:27" s="18" customFormat="1" ht="11.25">
      <c r="A119" s="735"/>
      <c r="B119" s="311"/>
      <c r="C119" s="312"/>
      <c r="D119" s="315"/>
      <c r="E119" s="315" t="s">
        <v>4487</v>
      </c>
      <c r="F119" s="315" t="s">
        <v>5001</v>
      </c>
      <c r="G119" s="315" t="s">
        <v>4505</v>
      </c>
      <c r="H119" s="314" t="s">
        <v>4535</v>
      </c>
      <c r="I119" s="313" t="s">
        <v>30</v>
      </c>
      <c r="J119" s="313" t="s">
        <v>3686</v>
      </c>
      <c r="K119" s="313"/>
      <c r="L119" s="313" t="s">
        <v>4444</v>
      </c>
      <c r="M119" s="313"/>
      <c r="N119" s="313" t="s">
        <v>4467</v>
      </c>
      <c r="O119" s="313" t="s">
        <v>94</v>
      </c>
      <c r="P119" s="313"/>
      <c r="Q119" s="313"/>
      <c r="R119" s="313"/>
      <c r="S119" s="313"/>
      <c r="T119" s="313"/>
      <c r="U119" s="313"/>
      <c r="V119" s="313"/>
      <c r="W119" s="313"/>
      <c r="X119" s="315"/>
      <c r="AA119" s="88"/>
    </row>
    <row r="120" spans="1:27" s="18" customFormat="1" ht="11.25">
      <c r="A120" s="734">
        <f>A103+1</f>
        <v>43</v>
      </c>
      <c r="B120" s="333" t="s">
        <v>4675</v>
      </c>
      <c r="C120" s="334" t="s">
        <v>4676</v>
      </c>
      <c r="D120" s="337"/>
      <c r="E120" s="337"/>
      <c r="F120" s="337"/>
      <c r="G120" s="337"/>
      <c r="H120" s="335"/>
      <c r="I120" s="334"/>
      <c r="J120" s="334"/>
      <c r="K120" s="332"/>
      <c r="L120" s="332"/>
      <c r="M120" s="332"/>
      <c r="N120" s="332"/>
      <c r="O120" s="332"/>
      <c r="P120" s="332" t="s">
        <v>4923</v>
      </c>
      <c r="Q120" s="336" t="s">
        <v>4924</v>
      </c>
      <c r="R120" s="336"/>
      <c r="S120" s="336"/>
      <c r="T120" s="336"/>
      <c r="U120" s="336"/>
      <c r="V120" s="336"/>
      <c r="W120" s="336"/>
      <c r="X120" s="337" t="s">
        <v>5002</v>
      </c>
      <c r="AA120" s="337" t="s">
        <v>148</v>
      </c>
    </row>
    <row r="121" spans="1:27" s="18" customFormat="1" ht="11.25">
      <c r="A121" s="538"/>
      <c r="B121" s="262"/>
      <c r="C121" s="254"/>
      <c r="D121" s="88"/>
      <c r="E121" s="88"/>
      <c r="F121" s="88"/>
      <c r="G121" s="88"/>
      <c r="H121" s="149" t="s">
        <v>4676</v>
      </c>
      <c r="I121" s="252"/>
      <c r="J121" s="252"/>
      <c r="K121" s="252"/>
      <c r="L121" s="252" t="s">
        <v>4444</v>
      </c>
      <c r="M121" s="252"/>
      <c r="N121" s="252" t="s">
        <v>4467</v>
      </c>
      <c r="O121" s="252" t="s">
        <v>94</v>
      </c>
      <c r="P121" s="252"/>
      <c r="Q121" s="252"/>
      <c r="R121" s="252"/>
      <c r="S121" s="252"/>
      <c r="T121" s="252"/>
      <c r="U121" s="252"/>
      <c r="V121" s="252"/>
      <c r="W121" s="252"/>
      <c r="X121" s="88"/>
      <c r="AA121" s="88"/>
    </row>
    <row r="122" spans="1:27" s="18" customFormat="1" ht="11.25">
      <c r="A122" s="734">
        <f>A120+1</f>
        <v>44</v>
      </c>
      <c r="B122" s="333" t="s">
        <v>4678</v>
      </c>
      <c r="C122" s="334" t="s">
        <v>4679</v>
      </c>
      <c r="D122" s="337"/>
      <c r="E122" s="337"/>
      <c r="F122" s="337"/>
      <c r="G122" s="337"/>
      <c r="H122" s="335"/>
      <c r="I122" s="334"/>
      <c r="J122" s="334"/>
      <c r="K122" s="332"/>
      <c r="L122" s="332"/>
      <c r="M122" s="332"/>
      <c r="N122" s="332"/>
      <c r="O122" s="332"/>
      <c r="P122" s="332" t="s">
        <v>4932</v>
      </c>
      <c r="Q122" s="336" t="s">
        <v>4924</v>
      </c>
      <c r="R122" s="336"/>
      <c r="S122" s="336"/>
      <c r="T122" s="336" t="s">
        <v>489</v>
      </c>
      <c r="U122" s="336"/>
      <c r="V122" s="336" t="s">
        <v>4950</v>
      </c>
      <c r="W122" s="336"/>
      <c r="X122" s="337" t="s">
        <v>5002</v>
      </c>
      <c r="AA122" s="337" t="s">
        <v>148</v>
      </c>
    </row>
    <row r="123" spans="1:27" s="18" customFormat="1" ht="11.25">
      <c r="A123" s="538"/>
      <c r="B123" s="262"/>
      <c r="C123" s="254"/>
      <c r="D123" s="88"/>
      <c r="E123" s="88"/>
      <c r="F123" s="88"/>
      <c r="G123" s="88"/>
      <c r="H123" s="149" t="s">
        <v>4679</v>
      </c>
      <c r="I123" s="252"/>
      <c r="J123" s="252"/>
      <c r="K123" s="252"/>
      <c r="L123" s="252" t="s">
        <v>4444</v>
      </c>
      <c r="M123" s="252"/>
      <c r="N123" s="252" t="s">
        <v>4467</v>
      </c>
      <c r="O123" s="252" t="s">
        <v>94</v>
      </c>
      <c r="P123" s="252"/>
      <c r="Q123" s="252"/>
      <c r="R123" s="252"/>
      <c r="S123" s="252"/>
      <c r="T123" s="252"/>
      <c r="U123" s="252"/>
      <c r="V123" s="252"/>
      <c r="W123" s="252"/>
      <c r="X123" s="88"/>
      <c r="AA123" s="88"/>
    </row>
    <row r="124" spans="1:27" s="18" customFormat="1" ht="11.25">
      <c r="A124" s="734">
        <f>A122+1</f>
        <v>45</v>
      </c>
      <c r="B124" s="333" t="s">
        <v>5003</v>
      </c>
      <c r="C124" s="334" t="s">
        <v>5004</v>
      </c>
      <c r="D124" s="337" t="s">
        <v>33</v>
      </c>
      <c r="E124" s="337"/>
      <c r="F124" s="337"/>
      <c r="G124" s="337"/>
      <c r="H124" s="335"/>
      <c r="I124" s="334"/>
      <c r="J124" s="334"/>
      <c r="K124" s="332"/>
      <c r="L124" s="332"/>
      <c r="M124" s="332"/>
      <c r="N124" s="332"/>
      <c r="O124" s="332"/>
      <c r="P124" s="332" t="s">
        <v>4932</v>
      </c>
      <c r="Q124" s="336" t="s">
        <v>4924</v>
      </c>
      <c r="R124" s="336"/>
      <c r="S124" s="336"/>
      <c r="T124" s="336" t="s">
        <v>489</v>
      </c>
      <c r="U124" s="336"/>
      <c r="V124" s="336" t="s">
        <v>489</v>
      </c>
      <c r="W124" s="336"/>
      <c r="X124" s="337" t="s">
        <v>5002</v>
      </c>
      <c r="AA124" s="337" t="s">
        <v>148</v>
      </c>
    </row>
    <row r="125" spans="1:27" s="18" customFormat="1" ht="11.25">
      <c r="A125" s="538"/>
      <c r="B125" s="262"/>
      <c r="C125" s="254"/>
      <c r="D125" s="88"/>
      <c r="E125" s="88" t="s">
        <v>94</v>
      </c>
      <c r="F125" s="88" t="s">
        <v>4477</v>
      </c>
      <c r="G125" s="88" t="s">
        <v>94</v>
      </c>
      <c r="H125" s="149" t="s">
        <v>5004</v>
      </c>
      <c r="I125" s="252" t="s">
        <v>30</v>
      </c>
      <c r="J125" s="252" t="s">
        <v>3686</v>
      </c>
      <c r="K125" s="252"/>
      <c r="L125" s="252" t="s">
        <v>4444</v>
      </c>
      <c r="M125" s="252" t="s">
        <v>5005</v>
      </c>
      <c r="N125" s="252" t="s">
        <v>4467</v>
      </c>
      <c r="O125" s="252" t="s">
        <v>94</v>
      </c>
      <c r="P125" s="252"/>
      <c r="Q125" s="252"/>
      <c r="R125" s="252"/>
      <c r="S125" s="252"/>
      <c r="T125" s="252"/>
      <c r="U125" s="252"/>
      <c r="V125" s="252"/>
      <c r="W125" s="252"/>
      <c r="X125" s="88"/>
      <c r="AA125" s="88"/>
    </row>
    <row r="126" spans="1:27" s="18" customFormat="1" ht="11.25">
      <c r="A126" s="734">
        <f>A124+1</f>
        <v>46</v>
      </c>
      <c r="B126" s="333" t="s">
        <v>4682</v>
      </c>
      <c r="C126" s="334" t="s">
        <v>4683</v>
      </c>
      <c r="D126" s="337" t="s">
        <v>33</v>
      </c>
      <c r="E126" s="337"/>
      <c r="F126" s="337"/>
      <c r="G126" s="337"/>
      <c r="H126" s="335"/>
      <c r="I126" s="334"/>
      <c r="J126" s="334"/>
      <c r="K126" s="332"/>
      <c r="L126" s="332"/>
      <c r="M126" s="332"/>
      <c r="N126" s="332"/>
      <c r="O126" s="332"/>
      <c r="P126" s="332" t="s">
        <v>4923</v>
      </c>
      <c r="Q126" s="336" t="s">
        <v>4924</v>
      </c>
      <c r="R126" s="336"/>
      <c r="S126" s="336"/>
      <c r="T126" s="336"/>
      <c r="U126" s="336"/>
      <c r="V126" s="336"/>
      <c r="W126" s="336"/>
      <c r="X126" s="337" t="s">
        <v>5002</v>
      </c>
      <c r="AA126" s="337" t="s">
        <v>148</v>
      </c>
    </row>
    <row r="127" spans="1:27" s="18" customFormat="1" ht="11.25">
      <c r="A127" s="538"/>
      <c r="B127" s="262"/>
      <c r="C127" s="254"/>
      <c r="D127" s="88"/>
      <c r="E127" s="88" t="s">
        <v>94</v>
      </c>
      <c r="F127" s="88" t="s">
        <v>4477</v>
      </c>
      <c r="G127" s="88" t="s">
        <v>94</v>
      </c>
      <c r="H127" s="149" t="s">
        <v>5006</v>
      </c>
      <c r="I127" s="252" t="s">
        <v>30</v>
      </c>
      <c r="J127" s="252" t="s">
        <v>3686</v>
      </c>
      <c r="K127" s="252"/>
      <c r="L127" s="252" t="s">
        <v>4444</v>
      </c>
      <c r="M127" s="252" t="s">
        <v>5007</v>
      </c>
      <c r="N127" s="252" t="s">
        <v>4467</v>
      </c>
      <c r="O127" s="252" t="s">
        <v>94</v>
      </c>
      <c r="P127" s="252"/>
      <c r="Q127" s="252"/>
      <c r="R127" s="252"/>
      <c r="S127" s="252"/>
      <c r="T127" s="252"/>
      <c r="U127" s="252"/>
      <c r="V127" s="252"/>
      <c r="W127" s="252"/>
      <c r="X127" s="88"/>
      <c r="AA127" s="88"/>
    </row>
    <row r="128" spans="1:27" s="18" customFormat="1" ht="11.25">
      <c r="A128" s="734">
        <f>A126+1</f>
        <v>47</v>
      </c>
      <c r="B128" s="333" t="s">
        <v>4684</v>
      </c>
      <c r="C128" s="334" t="s">
        <v>4685</v>
      </c>
      <c r="D128" s="337" t="s">
        <v>2025</v>
      </c>
      <c r="E128" s="337"/>
      <c r="F128" s="337"/>
      <c r="G128" s="337"/>
      <c r="H128" s="335"/>
      <c r="I128" s="334"/>
      <c r="J128" s="334"/>
      <c r="K128" s="332"/>
      <c r="L128" s="332"/>
      <c r="M128" s="332"/>
      <c r="N128" s="332"/>
      <c r="O128" s="332"/>
      <c r="P128" s="332" t="s">
        <v>4923</v>
      </c>
      <c r="Q128" s="336" t="s">
        <v>4924</v>
      </c>
      <c r="R128" s="336"/>
      <c r="S128" s="336"/>
      <c r="T128" s="336"/>
      <c r="U128" s="336"/>
      <c r="V128" s="336"/>
      <c r="W128" s="336"/>
      <c r="X128" s="337" t="s">
        <v>4691</v>
      </c>
      <c r="AA128" s="337" t="s">
        <v>148</v>
      </c>
    </row>
    <row r="129" spans="1:27" s="18" customFormat="1" ht="11.25">
      <c r="A129" s="538"/>
      <c r="B129" s="262"/>
      <c r="C129" s="254"/>
      <c r="D129" s="88"/>
      <c r="E129" s="88" t="s">
        <v>94</v>
      </c>
      <c r="F129" s="88" t="s">
        <v>4477</v>
      </c>
      <c r="G129" s="88" t="s">
        <v>5008</v>
      </c>
      <c r="H129" s="149" t="s">
        <v>4685</v>
      </c>
      <c r="I129" s="252"/>
      <c r="J129" s="252"/>
      <c r="K129" s="252"/>
      <c r="L129" s="252" t="s">
        <v>152</v>
      </c>
      <c r="M129" s="252"/>
      <c r="N129" s="252" t="s">
        <v>4467</v>
      </c>
      <c r="O129" s="252" t="s">
        <v>94</v>
      </c>
      <c r="P129" s="252"/>
      <c r="Q129" s="252"/>
      <c r="R129" s="252"/>
      <c r="S129" s="252"/>
      <c r="T129" s="252"/>
      <c r="U129" s="252"/>
      <c r="V129" s="252"/>
      <c r="W129" s="252"/>
      <c r="X129" s="88"/>
      <c r="AA129" s="88"/>
    </row>
    <row r="130" spans="1:27" s="18" customFormat="1" ht="11.25">
      <c r="A130" s="734">
        <f>A128+1</f>
        <v>48</v>
      </c>
      <c r="B130" s="333" t="s">
        <v>4687</v>
      </c>
      <c r="C130" s="334" t="s">
        <v>4688</v>
      </c>
      <c r="D130" s="337"/>
      <c r="E130" s="337"/>
      <c r="F130" s="337"/>
      <c r="G130" s="337"/>
      <c r="H130" s="335"/>
      <c r="I130" s="334"/>
      <c r="J130" s="334"/>
      <c r="K130" s="332"/>
      <c r="L130" s="332"/>
      <c r="M130" s="332"/>
      <c r="N130" s="332"/>
      <c r="O130" s="332"/>
      <c r="P130" s="332" t="s">
        <v>4932</v>
      </c>
      <c r="Q130" s="336" t="s">
        <v>4924</v>
      </c>
      <c r="R130" s="336"/>
      <c r="S130" s="336"/>
      <c r="T130" s="336" t="s">
        <v>489</v>
      </c>
      <c r="U130" s="336"/>
      <c r="V130" s="336" t="s">
        <v>4950</v>
      </c>
      <c r="W130" s="336"/>
      <c r="X130" s="337" t="s">
        <v>4691</v>
      </c>
      <c r="AA130" s="337" t="s">
        <v>148</v>
      </c>
    </row>
    <row r="131" spans="1:27" s="18" customFormat="1" ht="11.25">
      <c r="A131" s="538"/>
      <c r="B131" s="262"/>
      <c r="C131" s="254"/>
      <c r="D131" s="88"/>
      <c r="E131" s="88"/>
      <c r="F131" s="88"/>
      <c r="G131" s="88"/>
      <c r="H131" s="149" t="s">
        <v>4688</v>
      </c>
      <c r="I131" s="252"/>
      <c r="J131" s="252"/>
      <c r="K131" s="252"/>
      <c r="L131" s="252" t="s">
        <v>4444</v>
      </c>
      <c r="M131" s="252"/>
      <c r="N131" s="252" t="s">
        <v>4467</v>
      </c>
      <c r="O131" s="252" t="s">
        <v>94</v>
      </c>
      <c r="P131" s="252"/>
      <c r="Q131" s="252"/>
      <c r="R131" s="252"/>
      <c r="S131" s="252"/>
      <c r="T131" s="252"/>
      <c r="U131" s="252"/>
      <c r="V131" s="252"/>
      <c r="W131" s="252"/>
      <c r="X131" s="88"/>
      <c r="AA131" s="88"/>
    </row>
    <row r="132" spans="1:27" s="18" customFormat="1" ht="11.25">
      <c r="A132" s="734">
        <f>A130+1</f>
        <v>49</v>
      </c>
      <c r="B132" s="333" t="s">
        <v>4689</v>
      </c>
      <c r="C132" s="334" t="s">
        <v>5009</v>
      </c>
      <c r="D132" s="337"/>
      <c r="E132" s="337"/>
      <c r="F132" s="337"/>
      <c r="G132" s="337"/>
      <c r="H132" s="335"/>
      <c r="I132" s="334"/>
      <c r="J132" s="334"/>
      <c r="K132" s="332"/>
      <c r="L132" s="332"/>
      <c r="M132" s="332"/>
      <c r="N132" s="332"/>
      <c r="O132" s="332"/>
      <c r="P132" s="332" t="s">
        <v>4932</v>
      </c>
      <c r="Q132" s="336" t="s">
        <v>4924</v>
      </c>
      <c r="R132" s="336"/>
      <c r="S132" s="336"/>
      <c r="T132" s="336" t="s">
        <v>489</v>
      </c>
      <c r="U132" s="336"/>
      <c r="V132" s="336" t="s">
        <v>4950</v>
      </c>
      <c r="W132" s="336"/>
      <c r="X132" s="337" t="s">
        <v>4691</v>
      </c>
      <c r="AA132" s="337" t="s">
        <v>148</v>
      </c>
    </row>
    <row r="133" spans="1:27" s="18" customFormat="1" ht="11.25">
      <c r="A133" s="538"/>
      <c r="B133" s="262"/>
      <c r="C133" s="254"/>
      <c r="D133" s="88"/>
      <c r="E133" s="88"/>
      <c r="F133" s="88"/>
      <c r="G133" s="88"/>
      <c r="H133" s="149" t="s">
        <v>4690</v>
      </c>
      <c r="I133" s="252"/>
      <c r="J133" s="252"/>
      <c r="K133" s="252"/>
      <c r="L133" s="252" t="s">
        <v>4444</v>
      </c>
      <c r="M133" s="252"/>
      <c r="N133" s="252" t="s">
        <v>4467</v>
      </c>
      <c r="O133" s="252" t="s">
        <v>94</v>
      </c>
      <c r="P133" s="252"/>
      <c r="Q133" s="252"/>
      <c r="R133" s="252"/>
      <c r="S133" s="252"/>
      <c r="T133" s="252"/>
      <c r="U133" s="252"/>
      <c r="V133" s="252"/>
      <c r="W133" s="252"/>
      <c r="X133" s="88"/>
      <c r="AA133" s="88"/>
    </row>
    <row r="134" spans="1:27" s="18" customFormat="1" ht="11.25">
      <c r="A134" s="734">
        <f>A132+1</f>
        <v>50</v>
      </c>
      <c r="B134" s="333" t="s">
        <v>4692</v>
      </c>
      <c r="C134" s="334" t="s">
        <v>4693</v>
      </c>
      <c r="D134" s="337"/>
      <c r="E134" s="337"/>
      <c r="F134" s="337"/>
      <c r="G134" s="337"/>
      <c r="H134" s="335"/>
      <c r="I134" s="332"/>
      <c r="J134" s="332"/>
      <c r="K134" s="332"/>
      <c r="L134" s="332"/>
      <c r="M134" s="332"/>
      <c r="N134" s="332"/>
      <c r="O134" s="332"/>
      <c r="P134" s="332" t="s">
        <v>5010</v>
      </c>
      <c r="Q134" s="332"/>
      <c r="R134" s="332"/>
      <c r="S134" s="332"/>
      <c r="T134" s="332" t="s">
        <v>478</v>
      </c>
      <c r="U134" s="332"/>
      <c r="V134" s="332" t="s">
        <v>478</v>
      </c>
      <c r="W134" s="332" t="s">
        <v>5011</v>
      </c>
      <c r="X134" s="337" t="s">
        <v>4691</v>
      </c>
      <c r="AA134" s="337" t="s">
        <v>148</v>
      </c>
    </row>
    <row r="135" spans="1:27" s="18" customFormat="1" ht="11.25">
      <c r="A135" s="538"/>
      <c r="B135" s="262"/>
      <c r="C135" s="254"/>
      <c r="D135" s="88"/>
      <c r="E135" s="88">
        <v>0</v>
      </c>
      <c r="F135" s="88"/>
      <c r="G135" s="88"/>
      <c r="H135" s="149" t="s">
        <v>5012</v>
      </c>
      <c r="I135" s="254"/>
      <c r="J135" s="254"/>
      <c r="K135" s="252"/>
      <c r="L135" s="252" t="s">
        <v>5013</v>
      </c>
      <c r="M135" s="252"/>
      <c r="N135" s="252" t="s">
        <v>4467</v>
      </c>
      <c r="O135" s="252" t="s">
        <v>94</v>
      </c>
      <c r="P135" s="252"/>
      <c r="Q135" s="24"/>
      <c r="R135" s="24"/>
      <c r="S135" s="24"/>
      <c r="T135" s="24"/>
      <c r="U135" s="24"/>
      <c r="V135" s="24"/>
      <c r="W135" s="24"/>
      <c r="X135" s="88"/>
      <c r="AA135" s="88"/>
    </row>
    <row r="136" spans="1:27" s="18" customFormat="1" ht="11.25">
      <c r="A136" s="734">
        <f>A134+1</f>
        <v>51</v>
      </c>
      <c r="B136" s="333" t="s">
        <v>4694</v>
      </c>
      <c r="C136" s="334" t="s">
        <v>4695</v>
      </c>
      <c r="D136" s="337" t="s">
        <v>1978</v>
      </c>
      <c r="E136" s="337"/>
      <c r="F136" s="337"/>
      <c r="G136" s="337"/>
      <c r="H136" s="335"/>
      <c r="I136" s="334"/>
      <c r="J136" s="334"/>
      <c r="K136" s="332"/>
      <c r="L136" s="332"/>
      <c r="M136" s="332"/>
      <c r="N136" s="332"/>
      <c r="O136" s="332"/>
      <c r="P136" s="332" t="s">
        <v>4923</v>
      </c>
      <c r="Q136" s="336" t="s">
        <v>4924</v>
      </c>
      <c r="R136" s="336"/>
      <c r="S136" s="336"/>
      <c r="T136" s="336"/>
      <c r="U136" s="336"/>
      <c r="V136" s="336"/>
      <c r="W136" s="336"/>
      <c r="X136" s="337" t="s">
        <v>5014</v>
      </c>
      <c r="AA136" s="337" t="s">
        <v>148</v>
      </c>
    </row>
    <row r="137" spans="1:27" s="18" customFormat="1" ht="11.25">
      <c r="A137" s="538"/>
      <c r="B137" s="262"/>
      <c r="C137" s="254"/>
      <c r="D137" s="88"/>
      <c r="E137" s="88" t="s">
        <v>94</v>
      </c>
      <c r="F137" s="88" t="s">
        <v>4477</v>
      </c>
      <c r="G137" s="88" t="s">
        <v>94</v>
      </c>
      <c r="H137" s="149" t="s">
        <v>5015</v>
      </c>
      <c r="I137" s="252" t="s">
        <v>30</v>
      </c>
      <c r="J137" s="252" t="s">
        <v>3686</v>
      </c>
      <c r="K137" s="252"/>
      <c r="L137" s="252" t="s">
        <v>4444</v>
      </c>
      <c r="M137" s="252"/>
      <c r="N137" s="252" t="s">
        <v>4467</v>
      </c>
      <c r="O137" s="252" t="s">
        <v>94</v>
      </c>
      <c r="P137" s="252"/>
      <c r="Q137" s="252"/>
      <c r="R137" s="252"/>
      <c r="S137" s="252"/>
      <c r="T137" s="252"/>
      <c r="U137" s="252"/>
      <c r="V137" s="252"/>
      <c r="W137" s="252"/>
      <c r="X137" s="88"/>
      <c r="AA137" s="88"/>
    </row>
    <row r="138" spans="1:27" s="18" customFormat="1" ht="11.25">
      <c r="A138" s="735"/>
      <c r="B138" s="311"/>
      <c r="C138" s="312"/>
      <c r="D138" s="315"/>
      <c r="E138" s="315" t="s">
        <v>33</v>
      </c>
      <c r="F138" s="315" t="s">
        <v>103</v>
      </c>
      <c r="G138" s="315" t="s">
        <v>1923</v>
      </c>
      <c r="H138" s="314" t="s">
        <v>5016</v>
      </c>
      <c r="I138" s="312" t="s">
        <v>5017</v>
      </c>
      <c r="J138" s="312" t="s">
        <v>5018</v>
      </c>
      <c r="K138" s="313" t="s">
        <v>5019</v>
      </c>
      <c r="L138" s="313" t="s">
        <v>5020</v>
      </c>
      <c r="M138" s="313"/>
      <c r="N138" s="313" t="s">
        <v>33</v>
      </c>
      <c r="O138" s="313" t="s">
        <v>30</v>
      </c>
      <c r="P138" s="313"/>
      <c r="Q138" s="36"/>
      <c r="R138" s="36"/>
      <c r="S138" s="36"/>
      <c r="T138" s="36"/>
      <c r="U138" s="36"/>
      <c r="V138" s="36"/>
      <c r="W138" s="36"/>
      <c r="X138" s="315"/>
      <c r="AA138" s="88"/>
    </row>
    <row r="139" spans="1:27" s="18" customFormat="1" ht="11.25">
      <c r="A139" s="735"/>
      <c r="B139" s="311"/>
      <c r="C139" s="312"/>
      <c r="D139" s="315"/>
      <c r="E139" s="315" t="s">
        <v>141</v>
      </c>
      <c r="F139" s="315" t="s">
        <v>4493</v>
      </c>
      <c r="G139" s="315" t="s">
        <v>4494</v>
      </c>
      <c r="H139" s="314" t="s">
        <v>5021</v>
      </c>
      <c r="I139" s="313" t="s">
        <v>30</v>
      </c>
      <c r="J139" s="313" t="s">
        <v>2394</v>
      </c>
      <c r="K139" s="313" t="s">
        <v>5022</v>
      </c>
      <c r="L139" s="313" t="s">
        <v>4444</v>
      </c>
      <c r="M139" s="313"/>
      <c r="N139" s="313" t="s">
        <v>4467</v>
      </c>
      <c r="O139" s="313" t="s">
        <v>94</v>
      </c>
      <c r="P139" s="313"/>
      <c r="Q139" s="313"/>
      <c r="R139" s="313"/>
      <c r="S139" s="313"/>
      <c r="T139" s="313"/>
      <c r="U139" s="313"/>
      <c r="V139" s="313"/>
      <c r="W139" s="313"/>
      <c r="X139" s="315"/>
      <c r="AA139" s="88"/>
    </row>
    <row r="140" spans="1:27" s="18" customFormat="1" ht="11.25">
      <c r="A140" s="735"/>
      <c r="B140" s="311"/>
      <c r="C140" s="312"/>
      <c r="D140" s="315"/>
      <c r="E140" s="315" t="s">
        <v>40</v>
      </c>
      <c r="F140" s="315" t="s">
        <v>2102</v>
      </c>
      <c r="G140" s="315" t="s">
        <v>2025</v>
      </c>
      <c r="H140" s="314" t="s">
        <v>5023</v>
      </c>
      <c r="I140" s="312" t="s">
        <v>30</v>
      </c>
      <c r="J140" s="312" t="s">
        <v>2394</v>
      </c>
      <c r="K140" s="313" t="s">
        <v>5022</v>
      </c>
      <c r="L140" s="313" t="s">
        <v>4444</v>
      </c>
      <c r="M140" s="313"/>
      <c r="N140" s="313" t="s">
        <v>33</v>
      </c>
      <c r="O140" s="313" t="s">
        <v>30</v>
      </c>
      <c r="P140" s="313"/>
      <c r="Q140" s="36"/>
      <c r="R140" s="36"/>
      <c r="S140" s="36"/>
      <c r="T140" s="36"/>
      <c r="U140" s="36"/>
      <c r="V140" s="36"/>
      <c r="W140" s="36"/>
      <c r="X140" s="315"/>
      <c r="AA140" s="88"/>
    </row>
    <row r="141" spans="1:27" s="18" customFormat="1" ht="11.25">
      <c r="A141" s="538"/>
      <c r="B141" s="262"/>
      <c r="C141" s="254"/>
      <c r="D141" s="88"/>
      <c r="E141" s="88" t="s">
        <v>4484</v>
      </c>
      <c r="F141" s="88" t="s">
        <v>4992</v>
      </c>
      <c r="G141" s="88" t="s">
        <v>5024</v>
      </c>
      <c r="H141" s="149" t="s">
        <v>5025</v>
      </c>
      <c r="I141" s="252" t="s">
        <v>30</v>
      </c>
      <c r="J141" s="252" t="s">
        <v>5026</v>
      </c>
      <c r="K141" s="252" t="s">
        <v>5027</v>
      </c>
      <c r="L141" s="252" t="s">
        <v>152</v>
      </c>
      <c r="M141" s="252"/>
      <c r="N141" s="252" t="s">
        <v>4467</v>
      </c>
      <c r="O141" s="252" t="s">
        <v>94</v>
      </c>
      <c r="P141" s="252"/>
      <c r="Q141" s="252"/>
      <c r="R141" s="252"/>
      <c r="S141" s="252"/>
      <c r="T141" s="252"/>
      <c r="U141" s="252"/>
      <c r="V141" s="252"/>
      <c r="W141" s="252"/>
      <c r="X141" s="88"/>
      <c r="AA141" s="88"/>
    </row>
    <row r="142" spans="1:27" s="18" customFormat="1" ht="11.25">
      <c r="A142" s="734">
        <f>A136+1</f>
        <v>52</v>
      </c>
      <c r="B142" s="333" t="s">
        <v>4696</v>
      </c>
      <c r="C142" s="334" t="s">
        <v>4697</v>
      </c>
      <c r="D142" s="337" t="s">
        <v>46</v>
      </c>
      <c r="E142" s="337"/>
      <c r="F142" s="337"/>
      <c r="G142" s="337"/>
      <c r="H142" s="335"/>
      <c r="I142" s="334"/>
      <c r="J142" s="334"/>
      <c r="K142" s="332"/>
      <c r="L142" s="332"/>
      <c r="M142" s="332"/>
      <c r="N142" s="332"/>
      <c r="O142" s="332"/>
      <c r="P142" s="332" t="s">
        <v>4923</v>
      </c>
      <c r="Q142" s="336" t="s">
        <v>4924</v>
      </c>
      <c r="R142" s="336"/>
      <c r="S142" s="336"/>
      <c r="T142" s="336"/>
      <c r="U142" s="336"/>
      <c r="V142" s="336"/>
      <c r="W142" s="336"/>
      <c r="X142" s="337" t="s">
        <v>5014</v>
      </c>
      <c r="AA142" s="337" t="s">
        <v>148</v>
      </c>
    </row>
    <row r="143" spans="1:27" s="18" customFormat="1" ht="11.25">
      <c r="A143" s="538"/>
      <c r="B143" s="262"/>
      <c r="C143" s="254"/>
      <c r="D143" s="88"/>
      <c r="E143" s="88" t="s">
        <v>94</v>
      </c>
      <c r="F143" s="88" t="s">
        <v>4477</v>
      </c>
      <c r="G143" s="88" t="s">
        <v>94</v>
      </c>
      <c r="H143" s="149" t="s">
        <v>5028</v>
      </c>
      <c r="I143" s="252" t="s">
        <v>30</v>
      </c>
      <c r="J143" s="252" t="s">
        <v>2253</v>
      </c>
      <c r="K143" s="252" t="s">
        <v>4486</v>
      </c>
      <c r="L143" s="252" t="s">
        <v>4444</v>
      </c>
      <c r="M143" s="252"/>
      <c r="N143" s="252" t="s">
        <v>4467</v>
      </c>
      <c r="O143" s="252" t="s">
        <v>94</v>
      </c>
      <c r="P143" s="252"/>
      <c r="Q143" s="252"/>
      <c r="R143" s="252"/>
      <c r="S143" s="252"/>
      <c r="T143" s="252"/>
      <c r="U143" s="252"/>
      <c r="V143" s="252"/>
      <c r="W143" s="252"/>
      <c r="X143" s="88"/>
      <c r="AA143" s="88"/>
    </row>
    <row r="144" spans="1:27" s="18" customFormat="1" ht="22.9" customHeight="1">
      <c r="A144" s="735"/>
      <c r="B144" s="311"/>
      <c r="C144" s="312"/>
      <c r="D144" s="315"/>
      <c r="E144" s="315" t="s">
        <v>33</v>
      </c>
      <c r="F144" s="315" t="s">
        <v>103</v>
      </c>
      <c r="G144" s="315" t="s">
        <v>1847</v>
      </c>
      <c r="H144" s="314" t="s">
        <v>5029</v>
      </c>
      <c r="I144" s="312" t="s">
        <v>30</v>
      </c>
      <c r="J144" s="312" t="s">
        <v>2253</v>
      </c>
      <c r="K144" s="313" t="s">
        <v>4489</v>
      </c>
      <c r="L144" s="313" t="s">
        <v>4444</v>
      </c>
      <c r="M144" s="313"/>
      <c r="N144" s="313" t="s">
        <v>33</v>
      </c>
      <c r="O144" s="313" t="s">
        <v>30</v>
      </c>
      <c r="P144" s="313"/>
      <c r="Q144" s="36"/>
      <c r="R144" s="36"/>
      <c r="S144" s="36"/>
      <c r="T144" s="36"/>
      <c r="U144" s="36"/>
      <c r="V144" s="36"/>
      <c r="W144" s="36"/>
      <c r="X144" s="315"/>
      <c r="AA144" s="88"/>
    </row>
    <row r="145" spans="1:27" s="18" customFormat="1" ht="11.25">
      <c r="A145" s="735"/>
      <c r="B145" s="311"/>
      <c r="C145" s="312"/>
      <c r="D145" s="315"/>
      <c r="E145" s="315" t="s">
        <v>4474</v>
      </c>
      <c r="F145" s="315" t="s">
        <v>4490</v>
      </c>
      <c r="G145" s="315" t="s">
        <v>566</v>
      </c>
      <c r="H145" s="314" t="s">
        <v>5030</v>
      </c>
      <c r="I145" s="313" t="s">
        <v>30</v>
      </c>
      <c r="J145" s="313" t="s">
        <v>1989</v>
      </c>
      <c r="K145" s="313" t="s">
        <v>4492</v>
      </c>
      <c r="L145" s="313" t="s">
        <v>4444</v>
      </c>
      <c r="M145" s="313"/>
      <c r="N145" s="313" t="s">
        <v>4467</v>
      </c>
      <c r="O145" s="313" t="s">
        <v>94</v>
      </c>
      <c r="P145" s="313"/>
      <c r="Q145" s="313"/>
      <c r="R145" s="313"/>
      <c r="S145" s="313"/>
      <c r="T145" s="313"/>
      <c r="U145" s="313"/>
      <c r="V145" s="313"/>
      <c r="W145" s="313"/>
      <c r="X145" s="315"/>
      <c r="AA145" s="88"/>
    </row>
    <row r="146" spans="1:27" s="18" customFormat="1" ht="11.25">
      <c r="A146" s="735"/>
      <c r="B146" s="311"/>
      <c r="C146" s="312"/>
      <c r="D146" s="315"/>
      <c r="E146" s="315" t="s">
        <v>38</v>
      </c>
      <c r="F146" s="315" t="s">
        <v>2021</v>
      </c>
      <c r="G146" s="315" t="s">
        <v>1993</v>
      </c>
      <c r="H146" s="314" t="s">
        <v>5031</v>
      </c>
      <c r="I146" s="312" t="s">
        <v>33</v>
      </c>
      <c r="J146" s="312" t="s">
        <v>2021</v>
      </c>
      <c r="K146" s="313" t="s">
        <v>4496</v>
      </c>
      <c r="L146" s="313" t="s">
        <v>4444</v>
      </c>
      <c r="M146" s="313"/>
      <c r="N146" s="313" t="s">
        <v>33</v>
      </c>
      <c r="O146" s="313" t="s">
        <v>30</v>
      </c>
      <c r="P146" s="313"/>
      <c r="Q146" s="36"/>
      <c r="R146" s="36"/>
      <c r="S146" s="36"/>
      <c r="T146" s="36"/>
      <c r="U146" s="36"/>
      <c r="V146" s="36"/>
      <c r="W146" s="36"/>
      <c r="X146" s="315"/>
      <c r="AA146" s="88"/>
    </row>
    <row r="147" spans="1:27" s="18" customFormat="1" ht="11.25">
      <c r="A147" s="735"/>
      <c r="B147" s="311"/>
      <c r="C147" s="312"/>
      <c r="D147" s="315"/>
      <c r="E147" s="315" t="s">
        <v>4501</v>
      </c>
      <c r="F147" s="315" t="s">
        <v>4497</v>
      </c>
      <c r="G147" s="315" t="s">
        <v>4498</v>
      </c>
      <c r="H147" s="314" t="s">
        <v>5032</v>
      </c>
      <c r="I147" s="313" t="s">
        <v>33</v>
      </c>
      <c r="J147" s="313" t="s">
        <v>1881</v>
      </c>
      <c r="K147" s="313" t="s">
        <v>4500</v>
      </c>
      <c r="L147" s="313" t="s">
        <v>4444</v>
      </c>
      <c r="M147" s="313"/>
      <c r="N147" s="313" t="s">
        <v>4467</v>
      </c>
      <c r="O147" s="313" t="s">
        <v>94</v>
      </c>
      <c r="P147" s="313"/>
      <c r="Q147" s="313"/>
      <c r="R147" s="313"/>
      <c r="S147" s="313"/>
      <c r="T147" s="313"/>
      <c r="U147" s="313"/>
      <c r="V147" s="313"/>
      <c r="W147" s="313"/>
      <c r="X147" s="315"/>
      <c r="AA147" s="88"/>
    </row>
    <row r="148" spans="1:27" s="18" customFormat="1" ht="11.25">
      <c r="A148" s="735"/>
      <c r="B148" s="311"/>
      <c r="C148" s="312"/>
      <c r="D148" s="315"/>
      <c r="E148" s="315">
        <v>5</v>
      </c>
      <c r="F148" s="315">
        <v>47</v>
      </c>
      <c r="G148" s="315">
        <v>48</v>
      </c>
      <c r="H148" s="314" t="s">
        <v>5033</v>
      </c>
      <c r="I148" s="312">
        <v>0</v>
      </c>
      <c r="J148" s="312">
        <v>65535</v>
      </c>
      <c r="K148" s="313" t="s">
        <v>5034</v>
      </c>
      <c r="L148" s="313" t="s">
        <v>4444</v>
      </c>
      <c r="M148" s="313"/>
      <c r="N148" s="313" t="s">
        <v>33</v>
      </c>
      <c r="O148" s="313" t="s">
        <v>30</v>
      </c>
      <c r="P148" s="313"/>
      <c r="Q148" s="36"/>
      <c r="R148" s="36"/>
      <c r="S148" s="36"/>
      <c r="T148" s="36"/>
      <c r="U148" s="36"/>
      <c r="V148" s="36"/>
      <c r="W148" s="36"/>
      <c r="X148" s="315"/>
      <c r="AA148" s="88"/>
    </row>
    <row r="149" spans="1:27" s="18" customFormat="1" ht="11.25">
      <c r="A149" s="734">
        <f>A142+1</f>
        <v>53</v>
      </c>
      <c r="B149" s="333" t="s">
        <v>4698</v>
      </c>
      <c r="C149" s="334" t="s">
        <v>4699</v>
      </c>
      <c r="D149" s="337"/>
      <c r="E149" s="337"/>
      <c r="F149" s="337"/>
      <c r="G149" s="337"/>
      <c r="H149" s="335"/>
      <c r="I149" s="332"/>
      <c r="J149" s="332"/>
      <c r="K149" s="332"/>
      <c r="L149" s="332"/>
      <c r="M149" s="332"/>
      <c r="N149" s="332"/>
      <c r="O149" s="332"/>
      <c r="P149" s="332" t="s">
        <v>4923</v>
      </c>
      <c r="Q149" s="332" t="s">
        <v>4924</v>
      </c>
      <c r="R149" s="332"/>
      <c r="S149" s="332"/>
      <c r="T149" s="332"/>
      <c r="U149" s="332"/>
      <c r="V149" s="332"/>
      <c r="W149" s="332"/>
      <c r="X149" s="337" t="s">
        <v>3989</v>
      </c>
      <c r="AA149" s="337" t="s">
        <v>148</v>
      </c>
    </row>
    <row r="150" spans="1:27" s="18" customFormat="1" ht="11.25">
      <c r="A150" s="735"/>
      <c r="B150" s="311"/>
      <c r="C150" s="312"/>
      <c r="D150" s="315"/>
      <c r="E150" s="315"/>
      <c r="F150" s="315"/>
      <c r="G150" s="315"/>
      <c r="H150" s="314" t="s">
        <v>4699</v>
      </c>
      <c r="I150" s="312"/>
      <c r="J150" s="312"/>
      <c r="K150" s="313"/>
      <c r="L150" s="313" t="s">
        <v>4444</v>
      </c>
      <c r="M150" s="313"/>
      <c r="N150" s="313" t="s">
        <v>33</v>
      </c>
      <c r="O150" s="313" t="s">
        <v>30</v>
      </c>
      <c r="P150" s="313"/>
      <c r="Q150" s="36"/>
      <c r="R150" s="36"/>
      <c r="S150" s="36"/>
      <c r="T150" s="36"/>
      <c r="U150" s="36"/>
      <c r="V150" s="36"/>
      <c r="W150" s="36"/>
      <c r="X150" s="315"/>
      <c r="AA150" s="88"/>
    </row>
    <row r="151" spans="1:27" s="18" customFormat="1" ht="11.25">
      <c r="A151" s="734">
        <f>A149+1</f>
        <v>54</v>
      </c>
      <c r="B151" s="333" t="s">
        <v>4700</v>
      </c>
      <c r="C151" s="334" t="s">
        <v>4701</v>
      </c>
      <c r="D151" s="337"/>
      <c r="E151" s="337"/>
      <c r="F151" s="337"/>
      <c r="G151" s="337"/>
      <c r="H151" s="335"/>
      <c r="I151" s="332"/>
      <c r="J151" s="332"/>
      <c r="K151" s="332"/>
      <c r="L151" s="332"/>
      <c r="M151" s="332"/>
      <c r="N151" s="332"/>
      <c r="O151" s="332"/>
      <c r="P151" s="332" t="s">
        <v>4932</v>
      </c>
      <c r="Q151" s="332" t="s">
        <v>4924</v>
      </c>
      <c r="R151" s="332"/>
      <c r="S151" s="332"/>
      <c r="T151" s="332" t="s">
        <v>489</v>
      </c>
      <c r="U151" s="332"/>
      <c r="V151" s="332" t="s">
        <v>4950</v>
      </c>
      <c r="W151" s="332"/>
      <c r="X151" s="337" t="s">
        <v>3989</v>
      </c>
      <c r="AA151" s="337" t="s">
        <v>148</v>
      </c>
    </row>
    <row r="152" spans="1:27" s="18" customFormat="1" ht="11.25">
      <c r="A152" s="735"/>
      <c r="B152" s="311"/>
      <c r="C152" s="312"/>
      <c r="D152" s="315"/>
      <c r="E152" s="315"/>
      <c r="F152" s="315"/>
      <c r="G152" s="315"/>
      <c r="H152" s="314" t="s">
        <v>4701</v>
      </c>
      <c r="I152" s="312"/>
      <c r="J152" s="312"/>
      <c r="K152" s="313"/>
      <c r="L152" s="313" t="s">
        <v>4444</v>
      </c>
      <c r="M152" s="313"/>
      <c r="N152" s="313" t="s">
        <v>33</v>
      </c>
      <c r="O152" s="313" t="s">
        <v>30</v>
      </c>
      <c r="P152" s="313"/>
      <c r="Q152" s="36"/>
      <c r="R152" s="36"/>
      <c r="S152" s="36"/>
      <c r="T152" s="36"/>
      <c r="U152" s="36"/>
      <c r="V152" s="36"/>
      <c r="W152" s="36"/>
      <c r="X152" s="315"/>
      <c r="AA152" s="88"/>
    </row>
    <row r="153" spans="1:27" s="18" customFormat="1" ht="11.25">
      <c r="A153" s="734">
        <f>A151+1</f>
        <v>55</v>
      </c>
      <c r="B153" s="333" t="s">
        <v>4702</v>
      </c>
      <c r="C153" s="334" t="s">
        <v>4703</v>
      </c>
      <c r="D153" s="337"/>
      <c r="E153" s="337"/>
      <c r="F153" s="337"/>
      <c r="G153" s="337"/>
      <c r="H153" s="335"/>
      <c r="I153" s="332"/>
      <c r="J153" s="332"/>
      <c r="K153" s="332"/>
      <c r="L153" s="332"/>
      <c r="M153" s="332"/>
      <c r="N153" s="332"/>
      <c r="O153" s="332"/>
      <c r="P153" s="332" t="s">
        <v>4932</v>
      </c>
      <c r="Q153" s="332" t="s">
        <v>4924</v>
      </c>
      <c r="R153" s="332"/>
      <c r="S153" s="332"/>
      <c r="T153" s="332" t="s">
        <v>489</v>
      </c>
      <c r="U153" s="332"/>
      <c r="V153" s="332" t="s">
        <v>4950</v>
      </c>
      <c r="W153" s="332"/>
      <c r="X153" s="337" t="s">
        <v>3989</v>
      </c>
      <c r="AA153" s="337" t="s">
        <v>148</v>
      </c>
    </row>
    <row r="154" spans="1:27" s="18" customFormat="1" ht="11.25">
      <c r="A154" s="735"/>
      <c r="B154" s="311"/>
      <c r="C154" s="312"/>
      <c r="D154" s="315"/>
      <c r="E154" s="315"/>
      <c r="F154" s="315"/>
      <c r="G154" s="315"/>
      <c r="H154" s="314" t="s">
        <v>4703</v>
      </c>
      <c r="I154" s="312"/>
      <c r="J154" s="312"/>
      <c r="K154" s="313"/>
      <c r="L154" s="313" t="s">
        <v>4444</v>
      </c>
      <c r="M154" s="313"/>
      <c r="N154" s="313" t="s">
        <v>33</v>
      </c>
      <c r="O154" s="313" t="s">
        <v>30</v>
      </c>
      <c r="P154" s="313"/>
      <c r="Q154" s="36"/>
      <c r="R154" s="36"/>
      <c r="S154" s="36"/>
      <c r="T154" s="36"/>
      <c r="U154" s="36"/>
      <c r="V154" s="36"/>
      <c r="W154" s="36"/>
      <c r="X154" s="315"/>
      <c r="AA154" s="88"/>
    </row>
    <row r="155" spans="1:27" s="18" customFormat="1" ht="11.25">
      <c r="A155" s="734">
        <f>A153+1</f>
        <v>56</v>
      </c>
      <c r="B155" s="333" t="s">
        <v>4704</v>
      </c>
      <c r="C155" s="334" t="s">
        <v>4705</v>
      </c>
      <c r="D155" s="337" t="s">
        <v>1923</v>
      </c>
      <c r="E155" s="337"/>
      <c r="F155" s="337"/>
      <c r="G155" s="337"/>
      <c r="H155" s="335"/>
      <c r="I155" s="332"/>
      <c r="J155" s="332"/>
      <c r="K155" s="332"/>
      <c r="L155" s="332"/>
      <c r="M155" s="332"/>
      <c r="N155" s="332"/>
      <c r="O155" s="332"/>
      <c r="P155" s="332" t="s">
        <v>4932</v>
      </c>
      <c r="Q155" s="332" t="s">
        <v>4924</v>
      </c>
      <c r="R155" s="332"/>
      <c r="S155" s="332"/>
      <c r="T155" s="332" t="s">
        <v>489</v>
      </c>
      <c r="U155" s="332"/>
      <c r="V155" s="332" t="s">
        <v>4946</v>
      </c>
      <c r="W155" s="332"/>
      <c r="X155" s="337" t="s">
        <v>616</v>
      </c>
      <c r="AA155" s="337" t="s">
        <v>148</v>
      </c>
    </row>
    <row r="156" spans="1:27" s="18" customFormat="1" ht="11.25">
      <c r="A156" s="735"/>
      <c r="B156" s="311"/>
      <c r="C156" s="312"/>
      <c r="D156" s="315"/>
      <c r="E156" s="315" t="s">
        <v>30</v>
      </c>
      <c r="F156" s="315" t="s">
        <v>46</v>
      </c>
      <c r="G156" s="315" t="s">
        <v>30</v>
      </c>
      <c r="H156" s="314" t="s">
        <v>5035</v>
      </c>
      <c r="I156" s="312">
        <v>0</v>
      </c>
      <c r="J156" s="312" t="s">
        <v>3686</v>
      </c>
      <c r="K156" s="313"/>
      <c r="L156" s="313" t="s">
        <v>4444</v>
      </c>
      <c r="M156" s="313" t="s">
        <v>5036</v>
      </c>
      <c r="N156" s="313" t="s">
        <v>33</v>
      </c>
      <c r="O156" s="313" t="s">
        <v>30</v>
      </c>
      <c r="P156" s="313"/>
      <c r="Q156" s="36"/>
      <c r="R156" s="36"/>
      <c r="S156" s="36"/>
      <c r="T156" s="36"/>
      <c r="U156" s="36"/>
      <c r="V156" s="36"/>
      <c r="W156" s="36"/>
      <c r="X156" s="315"/>
      <c r="AA156" s="88"/>
    </row>
    <row r="157" spans="1:27" s="18" customFormat="1" ht="11.25">
      <c r="A157" s="735"/>
      <c r="B157" s="311"/>
      <c r="C157" s="312"/>
      <c r="D157" s="315"/>
      <c r="E157" s="315" t="s">
        <v>4467</v>
      </c>
      <c r="F157" s="315" t="s">
        <v>4487</v>
      </c>
      <c r="G157" s="315" t="s">
        <v>4478</v>
      </c>
      <c r="H157" s="314" t="s">
        <v>5037</v>
      </c>
      <c r="I157" s="313">
        <v>0</v>
      </c>
      <c r="J157" s="313" t="s">
        <v>3686</v>
      </c>
      <c r="K157" s="313"/>
      <c r="L157" s="313" t="s">
        <v>4444</v>
      </c>
      <c r="M157" s="313" t="s">
        <v>5036</v>
      </c>
      <c r="N157" s="313" t="s">
        <v>4467</v>
      </c>
      <c r="O157" s="313" t="s">
        <v>94</v>
      </c>
      <c r="P157" s="313"/>
      <c r="Q157" s="313"/>
      <c r="R157" s="313"/>
      <c r="S157" s="313"/>
      <c r="T157" s="313"/>
      <c r="U157" s="313"/>
      <c r="V157" s="313"/>
      <c r="W157" s="313"/>
      <c r="X157" s="315"/>
      <c r="AA157" s="88"/>
    </row>
    <row r="158" spans="1:27" s="18" customFormat="1" ht="11.25">
      <c r="A158" s="735"/>
      <c r="B158" s="311"/>
      <c r="C158" s="312"/>
      <c r="D158" s="315"/>
      <c r="E158" s="315" t="s">
        <v>36</v>
      </c>
      <c r="F158" s="315" t="s">
        <v>1989</v>
      </c>
      <c r="G158" s="315" t="s">
        <v>1923</v>
      </c>
      <c r="H158" s="314" t="s">
        <v>5038</v>
      </c>
      <c r="I158" s="312">
        <v>0</v>
      </c>
      <c r="J158" s="312" t="s">
        <v>3686</v>
      </c>
      <c r="K158" s="313"/>
      <c r="L158" s="313" t="s">
        <v>4444</v>
      </c>
      <c r="M158" s="313" t="s">
        <v>5036</v>
      </c>
      <c r="N158" s="313" t="s">
        <v>33</v>
      </c>
      <c r="O158" s="313" t="s">
        <v>30</v>
      </c>
      <c r="P158" s="313"/>
      <c r="Q158" s="36"/>
      <c r="R158" s="36"/>
      <c r="S158" s="36"/>
      <c r="T158" s="36"/>
      <c r="U158" s="36"/>
      <c r="V158" s="36"/>
      <c r="W158" s="36"/>
      <c r="X158" s="315"/>
      <c r="AA158" s="88"/>
    </row>
    <row r="159" spans="1:27" s="18" customFormat="1" ht="11.25">
      <c r="A159" s="735"/>
      <c r="B159" s="311"/>
      <c r="C159" s="312"/>
      <c r="D159" s="315"/>
      <c r="E159" s="315" t="s">
        <v>141</v>
      </c>
      <c r="F159" s="315" t="s">
        <v>4493</v>
      </c>
      <c r="G159" s="315" t="s">
        <v>4494</v>
      </c>
      <c r="H159" s="314" t="s">
        <v>5039</v>
      </c>
      <c r="I159" s="313">
        <v>0</v>
      </c>
      <c r="J159" s="313" t="s">
        <v>3686</v>
      </c>
      <c r="K159" s="313"/>
      <c r="L159" s="313" t="s">
        <v>4444</v>
      </c>
      <c r="M159" s="313" t="s">
        <v>5036</v>
      </c>
      <c r="N159" s="313" t="s">
        <v>4467</v>
      </c>
      <c r="O159" s="313" t="s">
        <v>94</v>
      </c>
      <c r="P159" s="313"/>
      <c r="Q159" s="313"/>
      <c r="R159" s="313"/>
      <c r="S159" s="313"/>
      <c r="T159" s="313"/>
      <c r="U159" s="313"/>
      <c r="V159" s="313"/>
      <c r="W159" s="313"/>
      <c r="X159" s="315"/>
      <c r="AA159" s="88"/>
    </row>
    <row r="160" spans="1:27" s="18" customFormat="1" ht="11.25">
      <c r="A160" s="735"/>
      <c r="B160" s="311"/>
      <c r="C160" s="312"/>
      <c r="D160" s="315"/>
      <c r="E160" s="315" t="s">
        <v>40</v>
      </c>
      <c r="F160" s="315" t="s">
        <v>2102</v>
      </c>
      <c r="G160" s="315" t="s">
        <v>2025</v>
      </c>
      <c r="H160" s="314" t="s">
        <v>5040</v>
      </c>
      <c r="I160" s="312">
        <v>0</v>
      </c>
      <c r="J160" s="312" t="s">
        <v>3686</v>
      </c>
      <c r="K160" s="313"/>
      <c r="L160" s="313" t="s">
        <v>4444</v>
      </c>
      <c r="M160" s="313" t="s">
        <v>5036</v>
      </c>
      <c r="N160" s="313" t="s">
        <v>33</v>
      </c>
      <c r="O160" s="313" t="s">
        <v>30</v>
      </c>
      <c r="P160" s="313"/>
      <c r="Q160" s="36"/>
      <c r="R160" s="36"/>
      <c r="S160" s="36"/>
      <c r="T160" s="36"/>
      <c r="U160" s="36"/>
      <c r="V160" s="36"/>
      <c r="W160" s="36"/>
      <c r="X160" s="315"/>
      <c r="AA160" s="88"/>
    </row>
    <row r="161" spans="1:27" s="18" customFormat="1" ht="11.25">
      <c r="A161" s="735"/>
      <c r="B161" s="311"/>
      <c r="C161" s="312"/>
      <c r="D161" s="315"/>
      <c r="E161" s="315" t="s">
        <v>4484</v>
      </c>
      <c r="F161" s="315" t="s">
        <v>4992</v>
      </c>
      <c r="G161" s="315" t="s">
        <v>4928</v>
      </c>
      <c r="H161" s="314" t="s">
        <v>5041</v>
      </c>
      <c r="I161" s="313">
        <v>0</v>
      </c>
      <c r="J161" s="313" t="s">
        <v>3686</v>
      </c>
      <c r="K161" s="313"/>
      <c r="L161" s="313" t="s">
        <v>4444</v>
      </c>
      <c r="M161" s="313" t="s">
        <v>5036</v>
      </c>
      <c r="N161" s="313" t="s">
        <v>4467</v>
      </c>
      <c r="O161" s="313" t="s">
        <v>94</v>
      </c>
      <c r="P161" s="313"/>
      <c r="Q161" s="313"/>
      <c r="R161" s="313"/>
      <c r="S161" s="313"/>
      <c r="T161" s="313"/>
      <c r="U161" s="313"/>
      <c r="V161" s="313"/>
      <c r="W161" s="313"/>
      <c r="X161" s="315"/>
      <c r="AA161" s="88"/>
    </row>
    <row r="162" spans="1:27" s="18" customFormat="1" ht="11.25">
      <c r="A162" s="735"/>
      <c r="B162" s="311"/>
      <c r="C162" s="312"/>
      <c r="D162" s="315"/>
      <c r="E162" s="315" t="s">
        <v>44</v>
      </c>
      <c r="F162" s="315" t="s">
        <v>2229</v>
      </c>
      <c r="G162" s="315" t="s">
        <v>2187</v>
      </c>
      <c r="H162" s="314" t="s">
        <v>5042</v>
      </c>
      <c r="I162" s="312">
        <v>0</v>
      </c>
      <c r="J162" s="312" t="s">
        <v>3686</v>
      </c>
      <c r="K162" s="313"/>
      <c r="L162" s="313" t="s">
        <v>4444</v>
      </c>
      <c r="M162" s="313" t="s">
        <v>5036</v>
      </c>
      <c r="N162" s="313" t="s">
        <v>33</v>
      </c>
      <c r="O162" s="313" t="s">
        <v>30</v>
      </c>
      <c r="P162" s="313"/>
      <c r="Q162" s="36"/>
      <c r="R162" s="36"/>
      <c r="S162" s="36"/>
      <c r="T162" s="36"/>
      <c r="U162" s="36"/>
      <c r="V162" s="36"/>
      <c r="W162" s="36"/>
      <c r="X162" s="315"/>
      <c r="AA162" s="88"/>
    </row>
    <row r="163" spans="1:27" s="18" customFormat="1" ht="11.25">
      <c r="A163" s="735"/>
      <c r="B163" s="311"/>
      <c r="C163" s="312"/>
      <c r="D163" s="315"/>
      <c r="E163" s="315" t="s">
        <v>4477</v>
      </c>
      <c r="F163" s="315" t="s">
        <v>4993</v>
      </c>
      <c r="G163" s="315" t="s">
        <v>4951</v>
      </c>
      <c r="H163" s="314" t="s">
        <v>5043</v>
      </c>
      <c r="I163" s="313">
        <v>0</v>
      </c>
      <c r="J163" s="313" t="s">
        <v>3686</v>
      </c>
      <c r="K163" s="313"/>
      <c r="L163" s="313" t="s">
        <v>4444</v>
      </c>
      <c r="M163" s="313" t="s">
        <v>5036</v>
      </c>
      <c r="N163" s="313" t="s">
        <v>4467</v>
      </c>
      <c r="O163" s="313" t="s">
        <v>94</v>
      </c>
      <c r="P163" s="313"/>
      <c r="Q163" s="313"/>
      <c r="R163" s="313"/>
      <c r="S163" s="313"/>
      <c r="T163" s="313"/>
      <c r="U163" s="313"/>
      <c r="V163" s="313"/>
      <c r="W163" s="313"/>
      <c r="X163" s="315"/>
      <c r="AA163" s="88"/>
    </row>
    <row r="164" spans="1:27" s="18" customFormat="1" ht="11.25">
      <c r="A164" s="735"/>
      <c r="B164" s="311"/>
      <c r="C164" s="312"/>
      <c r="D164" s="315"/>
      <c r="E164" s="315" t="s">
        <v>1847</v>
      </c>
      <c r="F164" s="315" t="s">
        <v>2292</v>
      </c>
      <c r="G164" s="315" t="s">
        <v>113</v>
      </c>
      <c r="H164" s="314" t="s">
        <v>5044</v>
      </c>
      <c r="I164" s="312">
        <v>0</v>
      </c>
      <c r="J164" s="312" t="s">
        <v>3686</v>
      </c>
      <c r="K164" s="313"/>
      <c r="L164" s="313" t="s">
        <v>4444</v>
      </c>
      <c r="M164" s="313" t="s">
        <v>5036</v>
      </c>
      <c r="N164" s="313" t="s">
        <v>33</v>
      </c>
      <c r="O164" s="313" t="s">
        <v>30</v>
      </c>
      <c r="P164" s="313"/>
      <c r="Q164" s="36"/>
      <c r="R164" s="36"/>
      <c r="S164" s="36"/>
      <c r="T164" s="36"/>
      <c r="U164" s="36"/>
      <c r="V164" s="36"/>
      <c r="W164" s="36"/>
      <c r="X164" s="315"/>
      <c r="AA164" s="88"/>
    </row>
    <row r="165" spans="1:27" s="18" customFormat="1" ht="11.25">
      <c r="A165" s="735"/>
      <c r="B165" s="311"/>
      <c r="C165" s="312"/>
      <c r="D165" s="315"/>
      <c r="E165" s="315" t="s">
        <v>4994</v>
      </c>
      <c r="F165" s="315" t="s">
        <v>4995</v>
      </c>
      <c r="G165" s="315" t="s">
        <v>4926</v>
      </c>
      <c r="H165" s="314" t="s">
        <v>5045</v>
      </c>
      <c r="I165" s="313">
        <v>0</v>
      </c>
      <c r="J165" s="313" t="s">
        <v>3686</v>
      </c>
      <c r="K165" s="313"/>
      <c r="L165" s="313" t="s">
        <v>4444</v>
      </c>
      <c r="M165" s="313" t="s">
        <v>5036</v>
      </c>
      <c r="N165" s="313" t="s">
        <v>4467</v>
      </c>
      <c r="O165" s="313" t="s">
        <v>94</v>
      </c>
      <c r="P165" s="313"/>
      <c r="Q165" s="313"/>
      <c r="R165" s="313"/>
      <c r="S165" s="313"/>
      <c r="T165" s="313"/>
      <c r="U165" s="313"/>
      <c r="V165" s="313"/>
      <c r="W165" s="313"/>
      <c r="X165" s="315"/>
      <c r="AA165" s="88"/>
    </row>
    <row r="166" spans="1:27" s="18" customFormat="1" ht="11.25">
      <c r="A166" s="735"/>
      <c r="B166" s="311"/>
      <c r="C166" s="312"/>
      <c r="D166" s="315"/>
      <c r="E166" s="315" t="s">
        <v>1861</v>
      </c>
      <c r="F166" s="315" t="s">
        <v>2352</v>
      </c>
      <c r="G166" s="315" t="s">
        <v>2328</v>
      </c>
      <c r="H166" s="314" t="s">
        <v>5046</v>
      </c>
      <c r="I166" s="312">
        <v>0</v>
      </c>
      <c r="J166" s="312" t="s">
        <v>3686</v>
      </c>
      <c r="K166" s="313"/>
      <c r="L166" s="313" t="s">
        <v>4444</v>
      </c>
      <c r="M166" s="313" t="s">
        <v>5036</v>
      </c>
      <c r="N166" s="313" t="s">
        <v>33</v>
      </c>
      <c r="O166" s="313" t="s">
        <v>30</v>
      </c>
      <c r="P166" s="313"/>
      <c r="Q166" s="36"/>
      <c r="R166" s="36"/>
      <c r="S166" s="36"/>
      <c r="T166" s="36"/>
      <c r="U166" s="36"/>
      <c r="V166" s="36"/>
      <c r="W166" s="36"/>
      <c r="X166" s="315"/>
      <c r="AA166" s="88"/>
    </row>
    <row r="167" spans="1:27" s="18" customFormat="1" ht="11.25">
      <c r="A167" s="735"/>
      <c r="B167" s="311"/>
      <c r="C167" s="312"/>
      <c r="D167" s="315"/>
      <c r="E167" s="315" t="s">
        <v>4961</v>
      </c>
      <c r="F167" s="315" t="s">
        <v>4996</v>
      </c>
      <c r="G167" s="315" t="s">
        <v>4997</v>
      </c>
      <c r="H167" s="314" t="s">
        <v>5047</v>
      </c>
      <c r="I167" s="313">
        <v>0</v>
      </c>
      <c r="J167" s="313" t="s">
        <v>3686</v>
      </c>
      <c r="K167" s="313"/>
      <c r="L167" s="313" t="s">
        <v>4444</v>
      </c>
      <c r="M167" s="313" t="s">
        <v>5036</v>
      </c>
      <c r="N167" s="313" t="s">
        <v>4467</v>
      </c>
      <c r="O167" s="313" t="s">
        <v>94</v>
      </c>
      <c r="P167" s="313"/>
      <c r="Q167" s="313"/>
      <c r="R167" s="313"/>
      <c r="S167" s="313"/>
      <c r="T167" s="313"/>
      <c r="U167" s="313"/>
      <c r="V167" s="313"/>
      <c r="W167" s="313"/>
      <c r="X167" s="315"/>
      <c r="AA167" s="88"/>
    </row>
    <row r="168" spans="1:27" s="18" customFormat="1" ht="11.25">
      <c r="A168" s="735"/>
      <c r="B168" s="311"/>
      <c r="C168" s="312"/>
      <c r="D168" s="315"/>
      <c r="E168" s="315" t="s">
        <v>1881</v>
      </c>
      <c r="F168" s="315" t="s">
        <v>2407</v>
      </c>
      <c r="G168" s="315" t="s">
        <v>2527</v>
      </c>
      <c r="H168" s="314" t="s">
        <v>5048</v>
      </c>
      <c r="I168" s="312">
        <v>0</v>
      </c>
      <c r="J168" s="312" t="s">
        <v>3686</v>
      </c>
      <c r="K168" s="313"/>
      <c r="L168" s="313" t="s">
        <v>4444</v>
      </c>
      <c r="M168" s="313" t="s">
        <v>5036</v>
      </c>
      <c r="N168" s="313" t="s">
        <v>33</v>
      </c>
      <c r="O168" s="313" t="s">
        <v>30</v>
      </c>
      <c r="P168" s="313"/>
      <c r="Q168" s="36"/>
      <c r="R168" s="36"/>
      <c r="S168" s="36"/>
      <c r="T168" s="36"/>
      <c r="U168" s="36"/>
      <c r="V168" s="36"/>
      <c r="W168" s="36"/>
      <c r="X168" s="315"/>
      <c r="AA168" s="88"/>
    </row>
    <row r="169" spans="1:27" s="18" customFormat="1" ht="11.25">
      <c r="A169" s="734">
        <f>A155+1</f>
        <v>57</v>
      </c>
      <c r="B169" s="333" t="s">
        <v>4706</v>
      </c>
      <c r="C169" s="334" t="s">
        <v>4707</v>
      </c>
      <c r="D169" s="337" t="s">
        <v>1923</v>
      </c>
      <c r="E169" s="337"/>
      <c r="F169" s="337"/>
      <c r="G169" s="337"/>
      <c r="H169" s="335"/>
      <c r="I169" s="332"/>
      <c r="J169" s="332"/>
      <c r="K169" s="332"/>
      <c r="L169" s="332"/>
      <c r="M169" s="332"/>
      <c r="N169" s="332"/>
      <c r="O169" s="332"/>
      <c r="P169" s="332" t="s">
        <v>4932</v>
      </c>
      <c r="Q169" s="332" t="s">
        <v>4924</v>
      </c>
      <c r="R169" s="332"/>
      <c r="S169" s="332"/>
      <c r="T169" s="332" t="s">
        <v>489</v>
      </c>
      <c r="U169" s="332"/>
      <c r="V169" s="332" t="s">
        <v>4946</v>
      </c>
      <c r="W169" s="332"/>
      <c r="X169" s="337" t="s">
        <v>616</v>
      </c>
      <c r="AA169" s="337" t="s">
        <v>148</v>
      </c>
    </row>
    <row r="170" spans="1:27" s="18" customFormat="1" ht="11.25">
      <c r="A170" s="735"/>
      <c r="B170" s="311"/>
      <c r="C170" s="312"/>
      <c r="D170" s="315"/>
      <c r="E170" s="315" t="s">
        <v>30</v>
      </c>
      <c r="F170" s="315" t="s">
        <v>46</v>
      </c>
      <c r="G170" s="315" t="s">
        <v>30</v>
      </c>
      <c r="H170" s="314" t="s">
        <v>5049</v>
      </c>
      <c r="I170" s="312" t="s">
        <v>30</v>
      </c>
      <c r="J170" s="312" t="s">
        <v>3686</v>
      </c>
      <c r="K170" s="313" t="s">
        <v>4488</v>
      </c>
      <c r="L170" s="313" t="s">
        <v>4444</v>
      </c>
      <c r="M170" s="313"/>
      <c r="N170" s="313" t="s">
        <v>33</v>
      </c>
      <c r="O170" s="313" t="s">
        <v>30</v>
      </c>
      <c r="P170" s="313"/>
      <c r="Q170" s="36"/>
      <c r="R170" s="36"/>
      <c r="S170" s="36"/>
      <c r="T170" s="36"/>
      <c r="U170" s="36"/>
      <c r="V170" s="36"/>
      <c r="W170" s="36"/>
      <c r="X170" s="315"/>
      <c r="AA170" s="88"/>
    </row>
    <row r="171" spans="1:27" s="18" customFormat="1" ht="11.25">
      <c r="A171" s="735"/>
      <c r="B171" s="311"/>
      <c r="C171" s="312"/>
      <c r="D171" s="315"/>
      <c r="E171" s="315" t="s">
        <v>4467</v>
      </c>
      <c r="F171" s="315" t="s">
        <v>4487</v>
      </c>
      <c r="G171" s="315" t="s">
        <v>4478</v>
      </c>
      <c r="H171" s="314" t="s">
        <v>5050</v>
      </c>
      <c r="I171" s="313" t="s">
        <v>30</v>
      </c>
      <c r="J171" s="313" t="s">
        <v>3686</v>
      </c>
      <c r="K171" s="313"/>
      <c r="L171" s="313" t="s">
        <v>4444</v>
      </c>
      <c r="M171" s="313"/>
      <c r="N171" s="313" t="s">
        <v>4467</v>
      </c>
      <c r="O171" s="313" t="s">
        <v>94</v>
      </c>
      <c r="P171" s="313"/>
      <c r="Q171" s="313"/>
      <c r="R171" s="313"/>
      <c r="S171" s="313"/>
      <c r="T171" s="313"/>
      <c r="U171" s="313"/>
      <c r="V171" s="313"/>
      <c r="W171" s="313"/>
      <c r="X171" s="315"/>
      <c r="AA171" s="88"/>
    </row>
    <row r="172" spans="1:27" s="18" customFormat="1" ht="11.25">
      <c r="A172" s="735"/>
      <c r="B172" s="311"/>
      <c r="C172" s="312"/>
      <c r="D172" s="315"/>
      <c r="E172" s="315" t="s">
        <v>36</v>
      </c>
      <c r="F172" s="315" t="s">
        <v>1989</v>
      </c>
      <c r="G172" s="315" t="s">
        <v>1923</v>
      </c>
      <c r="H172" s="314" t="s">
        <v>5051</v>
      </c>
      <c r="I172" s="312" t="s">
        <v>30</v>
      </c>
      <c r="J172" s="312" t="s">
        <v>3686</v>
      </c>
      <c r="K172" s="313" t="s">
        <v>5052</v>
      </c>
      <c r="L172" s="313" t="s">
        <v>4444</v>
      </c>
      <c r="M172" s="313"/>
      <c r="N172" s="313" t="s">
        <v>33</v>
      </c>
      <c r="O172" s="313" t="s">
        <v>30</v>
      </c>
      <c r="P172" s="313"/>
      <c r="Q172" s="36"/>
      <c r="R172" s="36"/>
      <c r="S172" s="36"/>
      <c r="T172" s="36"/>
      <c r="U172" s="36"/>
      <c r="V172" s="36"/>
      <c r="W172" s="36"/>
      <c r="X172" s="315"/>
      <c r="AA172" s="88"/>
    </row>
    <row r="173" spans="1:27" s="18" customFormat="1" ht="11.25">
      <c r="A173" s="735"/>
      <c r="B173" s="311"/>
      <c r="C173" s="312"/>
      <c r="D173" s="315"/>
      <c r="E173" s="315" t="s">
        <v>141</v>
      </c>
      <c r="F173" s="315" t="s">
        <v>4493</v>
      </c>
      <c r="G173" s="315" t="s">
        <v>4505</v>
      </c>
      <c r="H173" s="314" t="s">
        <v>5048</v>
      </c>
      <c r="I173" s="313"/>
      <c r="J173" s="313"/>
      <c r="K173" s="313"/>
      <c r="L173" s="313" t="s">
        <v>152</v>
      </c>
      <c r="M173" s="313"/>
      <c r="N173" s="313" t="s">
        <v>4467</v>
      </c>
      <c r="O173" s="313" t="s">
        <v>94</v>
      </c>
      <c r="P173" s="313"/>
      <c r="Q173" s="313"/>
      <c r="R173" s="313"/>
      <c r="S173" s="313"/>
      <c r="T173" s="313"/>
      <c r="U173" s="313"/>
      <c r="V173" s="313"/>
      <c r="W173" s="313"/>
      <c r="X173" s="315"/>
      <c r="AA173" s="88"/>
    </row>
    <row r="174" spans="1:27" s="18" customFormat="1" ht="11.25">
      <c r="A174" s="734">
        <f>A169+1</f>
        <v>58</v>
      </c>
      <c r="B174" s="333" t="s">
        <v>4708</v>
      </c>
      <c r="C174" s="334" t="s">
        <v>4709</v>
      </c>
      <c r="D174" s="337" t="s">
        <v>1923</v>
      </c>
      <c r="E174" s="337"/>
      <c r="F174" s="337"/>
      <c r="G174" s="337"/>
      <c r="H174" s="335"/>
      <c r="I174" s="334"/>
      <c r="J174" s="334"/>
      <c r="K174" s="332"/>
      <c r="L174" s="332"/>
      <c r="M174" s="332"/>
      <c r="N174" s="332"/>
      <c r="O174" s="332"/>
      <c r="P174" s="332" t="s">
        <v>4932</v>
      </c>
      <c r="Q174" s="336" t="s">
        <v>4924</v>
      </c>
      <c r="R174" s="336"/>
      <c r="S174" s="336"/>
      <c r="T174" s="336" t="s">
        <v>489</v>
      </c>
      <c r="U174" s="336"/>
      <c r="V174" s="336" t="s">
        <v>4946</v>
      </c>
      <c r="W174" s="336"/>
      <c r="X174" s="337" t="s">
        <v>5053</v>
      </c>
      <c r="AA174" s="337" t="s">
        <v>148</v>
      </c>
    </row>
    <row r="175" spans="1:27" s="18" customFormat="1" ht="11.25">
      <c r="A175" s="538"/>
      <c r="B175" s="262"/>
      <c r="C175" s="254"/>
      <c r="D175" s="88"/>
      <c r="E175" s="88" t="s">
        <v>94</v>
      </c>
      <c r="F175" s="88" t="s">
        <v>4477</v>
      </c>
      <c r="G175" s="88" t="s">
        <v>94</v>
      </c>
      <c r="H175" s="149" t="s">
        <v>5054</v>
      </c>
      <c r="I175" s="252" t="s">
        <v>30</v>
      </c>
      <c r="J175" s="252" t="s">
        <v>3686</v>
      </c>
      <c r="K175" s="252"/>
      <c r="L175" s="252" t="s">
        <v>4444</v>
      </c>
      <c r="M175" s="252" t="s">
        <v>5036</v>
      </c>
      <c r="N175" s="252" t="s">
        <v>4467</v>
      </c>
      <c r="O175" s="252" t="s">
        <v>94</v>
      </c>
      <c r="P175" s="252"/>
      <c r="Q175" s="252"/>
      <c r="R175" s="252"/>
      <c r="S175" s="252"/>
      <c r="T175" s="252"/>
      <c r="U175" s="252"/>
      <c r="V175" s="252"/>
      <c r="W175" s="252"/>
      <c r="X175" s="88"/>
      <c r="AA175" s="88"/>
    </row>
    <row r="176" spans="1:27" s="18" customFormat="1" ht="11.25">
      <c r="A176" s="735"/>
      <c r="B176" s="311"/>
      <c r="C176" s="312"/>
      <c r="D176" s="315"/>
      <c r="E176" s="315" t="s">
        <v>33</v>
      </c>
      <c r="F176" s="315" t="s">
        <v>103</v>
      </c>
      <c r="G176" s="315" t="s">
        <v>1847</v>
      </c>
      <c r="H176" s="314" t="s">
        <v>5055</v>
      </c>
      <c r="I176" s="312" t="s">
        <v>30</v>
      </c>
      <c r="J176" s="312" t="s">
        <v>3686</v>
      </c>
      <c r="K176" s="313"/>
      <c r="L176" s="313" t="s">
        <v>4444</v>
      </c>
      <c r="M176" s="313" t="s">
        <v>5036</v>
      </c>
      <c r="N176" s="313" t="s">
        <v>33</v>
      </c>
      <c r="O176" s="313" t="s">
        <v>30</v>
      </c>
      <c r="P176" s="313"/>
      <c r="Q176" s="36"/>
      <c r="R176" s="36"/>
      <c r="S176" s="36"/>
      <c r="T176" s="36"/>
      <c r="U176" s="36"/>
      <c r="V176" s="36"/>
      <c r="W176" s="36"/>
      <c r="X176" s="315"/>
      <c r="AA176" s="88"/>
    </row>
    <row r="177" spans="1:27" s="18" customFormat="1" ht="11.25">
      <c r="A177" s="538"/>
      <c r="B177" s="262"/>
      <c r="C177" s="254"/>
      <c r="D177" s="88"/>
      <c r="E177" s="88" t="s">
        <v>4474</v>
      </c>
      <c r="F177" s="88" t="s">
        <v>4490</v>
      </c>
      <c r="G177" s="88" t="s">
        <v>4505</v>
      </c>
      <c r="H177" s="149" t="s">
        <v>5048</v>
      </c>
      <c r="I177" s="252" t="s">
        <v>30</v>
      </c>
      <c r="J177" s="252" t="s">
        <v>3686</v>
      </c>
      <c r="K177" s="252"/>
      <c r="L177" s="252" t="s">
        <v>152</v>
      </c>
      <c r="M177" s="252"/>
      <c r="N177" s="252" t="s">
        <v>4467</v>
      </c>
      <c r="O177" s="252" t="s">
        <v>94</v>
      </c>
      <c r="P177" s="252"/>
      <c r="Q177" s="252"/>
      <c r="R177" s="252"/>
      <c r="S177" s="252"/>
      <c r="T177" s="252"/>
      <c r="U177" s="252"/>
      <c r="V177" s="252"/>
      <c r="W177" s="252"/>
      <c r="X177" s="88"/>
      <c r="AA177" s="88"/>
    </row>
    <row r="178" spans="1:27" s="18" customFormat="1" ht="11.25">
      <c r="A178" s="734">
        <f>A174+1</f>
        <v>59</v>
      </c>
      <c r="B178" s="333" t="s">
        <v>4710</v>
      </c>
      <c r="C178" s="334" t="s">
        <v>4711</v>
      </c>
      <c r="D178" s="337" t="s">
        <v>40</v>
      </c>
      <c r="E178" s="337"/>
      <c r="F178" s="337"/>
      <c r="G178" s="337"/>
      <c r="H178" s="335"/>
      <c r="I178" s="334"/>
      <c r="J178" s="334"/>
      <c r="K178" s="332"/>
      <c r="L178" s="332"/>
      <c r="M178" s="332"/>
      <c r="N178" s="332"/>
      <c r="O178" s="332"/>
      <c r="P178" s="332" t="s">
        <v>4923</v>
      </c>
      <c r="Q178" s="336" t="s">
        <v>4924</v>
      </c>
      <c r="R178" s="336"/>
      <c r="S178" s="336"/>
      <c r="T178" s="336"/>
      <c r="U178" s="336"/>
      <c r="V178" s="336"/>
      <c r="W178" s="336"/>
      <c r="X178" s="337" t="s">
        <v>5056</v>
      </c>
      <c r="AA178" s="337" t="s">
        <v>148</v>
      </c>
    </row>
    <row r="179" spans="1:27" s="18" customFormat="1" ht="11.25">
      <c r="A179" s="538"/>
      <c r="B179" s="262"/>
      <c r="C179" s="254"/>
      <c r="D179" s="88"/>
      <c r="E179" s="88" t="s">
        <v>94</v>
      </c>
      <c r="F179" s="88" t="s">
        <v>4477</v>
      </c>
      <c r="G179" s="88" t="s">
        <v>4494</v>
      </c>
      <c r="H179" s="149" t="s">
        <v>5057</v>
      </c>
      <c r="I179" s="252" t="s">
        <v>30</v>
      </c>
      <c r="J179" s="252" t="s">
        <v>5058</v>
      </c>
      <c r="K179" s="252"/>
      <c r="L179" s="252" t="s">
        <v>4444</v>
      </c>
      <c r="M179" s="252"/>
      <c r="N179" s="252" t="s">
        <v>4467</v>
      </c>
      <c r="O179" s="252" t="s">
        <v>94</v>
      </c>
      <c r="P179" s="252"/>
      <c r="Q179" s="252"/>
      <c r="R179" s="252"/>
      <c r="S179" s="252"/>
      <c r="T179" s="252"/>
      <c r="U179" s="252"/>
      <c r="V179" s="252"/>
      <c r="W179" s="252"/>
      <c r="X179" s="88"/>
      <c r="AA179" s="88"/>
    </row>
    <row r="180" spans="1:27" s="18" customFormat="1" ht="11.25">
      <c r="A180" s="734">
        <f>A178+1</f>
        <v>60</v>
      </c>
      <c r="B180" s="333" t="s">
        <v>4713</v>
      </c>
      <c r="C180" s="334" t="s">
        <v>4714</v>
      </c>
      <c r="D180" s="337" t="s">
        <v>40</v>
      </c>
      <c r="E180" s="337"/>
      <c r="F180" s="337"/>
      <c r="G180" s="337"/>
      <c r="H180" s="335"/>
      <c r="I180" s="334"/>
      <c r="J180" s="334"/>
      <c r="K180" s="332"/>
      <c r="L180" s="332"/>
      <c r="M180" s="332"/>
      <c r="N180" s="332"/>
      <c r="O180" s="332"/>
      <c r="P180" s="332" t="s">
        <v>4923</v>
      </c>
      <c r="Q180" s="336" t="s">
        <v>4924</v>
      </c>
      <c r="R180" s="336"/>
      <c r="S180" s="336"/>
      <c r="T180" s="336"/>
      <c r="U180" s="336"/>
      <c r="V180" s="336"/>
      <c r="W180" s="336"/>
      <c r="X180" s="337" t="s">
        <v>5056</v>
      </c>
      <c r="AA180" s="337" t="s">
        <v>148</v>
      </c>
    </row>
    <row r="181" spans="1:27" s="18" customFormat="1" ht="11.25">
      <c r="A181" s="538"/>
      <c r="B181" s="262"/>
      <c r="C181" s="254"/>
      <c r="D181" s="88"/>
      <c r="E181" s="88" t="s">
        <v>94</v>
      </c>
      <c r="F181" s="88" t="s">
        <v>4477</v>
      </c>
      <c r="G181" s="88" t="s">
        <v>4494</v>
      </c>
      <c r="H181" s="149" t="s">
        <v>5059</v>
      </c>
      <c r="I181" s="252" t="s">
        <v>30</v>
      </c>
      <c r="J181" s="252" t="s">
        <v>5058</v>
      </c>
      <c r="K181" s="252"/>
      <c r="L181" s="252" t="s">
        <v>4444</v>
      </c>
      <c r="M181" s="252"/>
      <c r="N181" s="252" t="s">
        <v>4467</v>
      </c>
      <c r="O181" s="252" t="s">
        <v>94</v>
      </c>
      <c r="P181" s="252"/>
      <c r="Q181" s="252"/>
      <c r="R181" s="252"/>
      <c r="S181" s="252"/>
      <c r="T181" s="252"/>
      <c r="U181" s="252"/>
      <c r="V181" s="252"/>
      <c r="W181" s="252"/>
      <c r="X181" s="88"/>
      <c r="AA181" s="88"/>
    </row>
    <row r="182" spans="1:27" s="18" customFormat="1" ht="11.25">
      <c r="A182" s="734">
        <f>A180+1</f>
        <v>61</v>
      </c>
      <c r="B182" s="333" t="s">
        <v>4715</v>
      </c>
      <c r="C182" s="334" t="s">
        <v>4716</v>
      </c>
      <c r="D182" s="337" t="s">
        <v>40</v>
      </c>
      <c r="E182" s="337"/>
      <c r="F182" s="337"/>
      <c r="G182" s="337"/>
      <c r="H182" s="335"/>
      <c r="I182" s="334"/>
      <c r="J182" s="334"/>
      <c r="K182" s="332"/>
      <c r="L182" s="332"/>
      <c r="M182" s="332"/>
      <c r="N182" s="332"/>
      <c r="O182" s="332"/>
      <c r="P182" s="332" t="s">
        <v>4923</v>
      </c>
      <c r="Q182" s="336" t="s">
        <v>4924</v>
      </c>
      <c r="R182" s="336"/>
      <c r="S182" s="336"/>
      <c r="T182" s="336"/>
      <c r="U182" s="336"/>
      <c r="V182" s="336"/>
      <c r="W182" s="336"/>
      <c r="X182" s="337" t="s">
        <v>5056</v>
      </c>
      <c r="AA182" s="337" t="s">
        <v>148</v>
      </c>
    </row>
    <row r="183" spans="1:27" s="18" customFormat="1" ht="11.25">
      <c r="A183" s="538"/>
      <c r="B183" s="262"/>
      <c r="C183" s="254"/>
      <c r="D183" s="88"/>
      <c r="E183" s="88" t="s">
        <v>94</v>
      </c>
      <c r="F183" s="88" t="s">
        <v>4477</v>
      </c>
      <c r="G183" s="88" t="s">
        <v>4494</v>
      </c>
      <c r="H183" s="149" t="s">
        <v>5060</v>
      </c>
      <c r="I183" s="252" t="s">
        <v>30</v>
      </c>
      <c r="J183" s="252" t="s">
        <v>5058</v>
      </c>
      <c r="K183" s="252"/>
      <c r="L183" s="252" t="s">
        <v>4444</v>
      </c>
      <c r="M183" s="252"/>
      <c r="N183" s="252" t="s">
        <v>4467</v>
      </c>
      <c r="O183" s="252" t="s">
        <v>94</v>
      </c>
      <c r="P183" s="252"/>
      <c r="Q183" s="252"/>
      <c r="R183" s="252"/>
      <c r="S183" s="252"/>
      <c r="T183" s="252"/>
      <c r="U183" s="252"/>
      <c r="V183" s="252"/>
      <c r="W183" s="252"/>
      <c r="X183" s="88"/>
      <c r="AA183" s="88"/>
    </row>
    <row r="184" spans="1:27" s="18" customFormat="1" ht="11.25">
      <c r="A184" s="734">
        <f>A182+1</f>
        <v>62</v>
      </c>
      <c r="B184" s="333" t="s">
        <v>4717</v>
      </c>
      <c r="C184" s="334" t="s">
        <v>4718</v>
      </c>
      <c r="D184" s="337" t="s">
        <v>40</v>
      </c>
      <c r="E184" s="337"/>
      <c r="F184" s="337"/>
      <c r="G184" s="337"/>
      <c r="H184" s="335"/>
      <c r="I184" s="334"/>
      <c r="J184" s="334"/>
      <c r="K184" s="332"/>
      <c r="L184" s="332"/>
      <c r="M184" s="332"/>
      <c r="N184" s="332"/>
      <c r="O184" s="332"/>
      <c r="P184" s="332" t="s">
        <v>4923</v>
      </c>
      <c r="Q184" s="336" t="s">
        <v>4924</v>
      </c>
      <c r="R184" s="336"/>
      <c r="S184" s="336"/>
      <c r="T184" s="336"/>
      <c r="U184" s="336"/>
      <c r="V184" s="336"/>
      <c r="W184" s="336"/>
      <c r="X184" s="337" t="s">
        <v>5056</v>
      </c>
      <c r="AA184" s="337" t="s">
        <v>148</v>
      </c>
    </row>
    <row r="185" spans="1:27" s="18" customFormat="1" ht="11.25">
      <c r="A185" s="538"/>
      <c r="B185" s="262"/>
      <c r="C185" s="254"/>
      <c r="D185" s="88"/>
      <c r="E185" s="88" t="s">
        <v>94</v>
      </c>
      <c r="F185" s="88" t="s">
        <v>4477</v>
      </c>
      <c r="G185" s="88" t="s">
        <v>4494</v>
      </c>
      <c r="H185" s="149" t="s">
        <v>5061</v>
      </c>
      <c r="I185" s="252" t="s">
        <v>30</v>
      </c>
      <c r="J185" s="252" t="s">
        <v>5058</v>
      </c>
      <c r="K185" s="252"/>
      <c r="L185" s="252" t="s">
        <v>4444</v>
      </c>
      <c r="M185" s="252"/>
      <c r="N185" s="252" t="s">
        <v>4467</v>
      </c>
      <c r="O185" s="252" t="s">
        <v>94</v>
      </c>
      <c r="P185" s="252"/>
      <c r="Q185" s="252"/>
      <c r="R185" s="252"/>
      <c r="S185" s="252"/>
      <c r="T185" s="252"/>
      <c r="U185" s="252"/>
      <c r="V185" s="252"/>
      <c r="W185" s="252"/>
      <c r="X185" s="88"/>
      <c r="AA185" s="88"/>
    </row>
    <row r="186" spans="1:27" s="18" customFormat="1" ht="11.25">
      <c r="A186" s="734">
        <f>A184+1</f>
        <v>63</v>
      </c>
      <c r="B186" s="333" t="s">
        <v>4719</v>
      </c>
      <c r="C186" s="334" t="s">
        <v>4720</v>
      </c>
      <c r="D186" s="337" t="s">
        <v>40</v>
      </c>
      <c r="E186" s="337"/>
      <c r="F186" s="337"/>
      <c r="G186" s="337"/>
      <c r="H186" s="335"/>
      <c r="I186" s="334"/>
      <c r="J186" s="334"/>
      <c r="K186" s="332"/>
      <c r="L186" s="332"/>
      <c r="M186" s="332"/>
      <c r="N186" s="332"/>
      <c r="O186" s="332"/>
      <c r="P186" s="332" t="s">
        <v>4923</v>
      </c>
      <c r="Q186" s="336" t="s">
        <v>4924</v>
      </c>
      <c r="R186" s="336"/>
      <c r="S186" s="336"/>
      <c r="T186" s="336"/>
      <c r="U186" s="336"/>
      <c r="V186" s="336"/>
      <c r="W186" s="336"/>
      <c r="X186" s="337" t="s">
        <v>5056</v>
      </c>
      <c r="AA186" s="337" t="s">
        <v>148</v>
      </c>
    </row>
    <row r="187" spans="1:27" s="18" customFormat="1" ht="11.25">
      <c r="A187" s="538"/>
      <c r="B187" s="262"/>
      <c r="C187" s="254"/>
      <c r="D187" s="88"/>
      <c r="E187" s="88" t="s">
        <v>94</v>
      </c>
      <c r="F187" s="88" t="s">
        <v>4477</v>
      </c>
      <c r="G187" s="88" t="s">
        <v>94</v>
      </c>
      <c r="H187" s="149" t="s">
        <v>5062</v>
      </c>
      <c r="I187" s="252" t="s">
        <v>30</v>
      </c>
      <c r="J187" s="252" t="s">
        <v>5063</v>
      </c>
      <c r="K187" s="252" t="s">
        <v>5064</v>
      </c>
      <c r="L187" s="252" t="s">
        <v>4444</v>
      </c>
      <c r="M187" s="252"/>
      <c r="N187" s="252" t="s">
        <v>5065</v>
      </c>
      <c r="O187" s="252" t="s">
        <v>5066</v>
      </c>
      <c r="P187" s="252"/>
      <c r="Q187" s="252"/>
      <c r="R187" s="252"/>
      <c r="S187" s="252"/>
      <c r="T187" s="252"/>
      <c r="U187" s="252"/>
      <c r="V187" s="252"/>
      <c r="W187" s="252" t="s">
        <v>5067</v>
      </c>
      <c r="X187" s="88"/>
      <c r="AA187" s="88"/>
    </row>
    <row r="188" spans="1:27" s="18" customFormat="1" ht="67.5">
      <c r="A188" s="735"/>
      <c r="B188" s="311"/>
      <c r="C188" s="312"/>
      <c r="D188" s="315"/>
      <c r="E188" s="315" t="s">
        <v>33</v>
      </c>
      <c r="F188" s="315" t="s">
        <v>103</v>
      </c>
      <c r="G188" s="315" t="s">
        <v>1847</v>
      </c>
      <c r="H188" s="314" t="s">
        <v>5068</v>
      </c>
      <c r="I188" s="312" t="s">
        <v>30</v>
      </c>
      <c r="J188" s="312" t="s">
        <v>5063</v>
      </c>
      <c r="K188" s="313" t="s">
        <v>5064</v>
      </c>
      <c r="L188" s="313" t="s">
        <v>4444</v>
      </c>
      <c r="M188" s="313"/>
      <c r="N188" s="313" t="s">
        <v>5069</v>
      </c>
      <c r="O188" s="313" t="s">
        <v>5070</v>
      </c>
      <c r="P188" s="313"/>
      <c r="Q188" s="36"/>
      <c r="R188" s="36"/>
      <c r="S188" s="36"/>
      <c r="T188" s="36"/>
      <c r="U188" s="36"/>
      <c r="V188" s="36"/>
      <c r="W188" s="36" t="s">
        <v>5071</v>
      </c>
      <c r="X188" s="315"/>
      <c r="AA188" s="88"/>
    </row>
    <row r="189" spans="1:27" s="18" customFormat="1" ht="11.25">
      <c r="A189" s="538"/>
      <c r="B189" s="262"/>
      <c r="C189" s="254"/>
      <c r="D189" s="88"/>
      <c r="E189" s="88" t="s">
        <v>4474</v>
      </c>
      <c r="F189" s="88" t="s">
        <v>4490</v>
      </c>
      <c r="G189" s="88" t="s">
        <v>566</v>
      </c>
      <c r="H189" s="149" t="s">
        <v>5072</v>
      </c>
      <c r="I189" s="252" t="s">
        <v>30</v>
      </c>
      <c r="J189" s="252" t="s">
        <v>5063</v>
      </c>
      <c r="K189" s="252" t="s">
        <v>5064</v>
      </c>
      <c r="L189" s="252" t="s">
        <v>4444</v>
      </c>
      <c r="M189" s="252"/>
      <c r="N189" s="252" t="s">
        <v>5065</v>
      </c>
      <c r="O189" s="252" t="s">
        <v>5066</v>
      </c>
      <c r="P189" s="252"/>
      <c r="Q189" s="252"/>
      <c r="R189" s="252"/>
      <c r="S189" s="252"/>
      <c r="T189" s="252"/>
      <c r="U189" s="252"/>
      <c r="V189" s="252"/>
      <c r="W189" s="252" t="s">
        <v>5067</v>
      </c>
      <c r="X189" s="88"/>
      <c r="AA189" s="88"/>
    </row>
    <row r="190" spans="1:27" s="18" customFormat="1" ht="67.5">
      <c r="A190" s="735"/>
      <c r="B190" s="311"/>
      <c r="C190" s="312"/>
      <c r="D190" s="315"/>
      <c r="E190" s="315" t="s">
        <v>38</v>
      </c>
      <c r="F190" s="315" t="s">
        <v>2021</v>
      </c>
      <c r="G190" s="315" t="s">
        <v>1993</v>
      </c>
      <c r="H190" s="314" t="s">
        <v>5073</v>
      </c>
      <c r="I190" s="312" t="s">
        <v>30</v>
      </c>
      <c r="J190" s="312" t="s">
        <v>5063</v>
      </c>
      <c r="K190" s="313" t="s">
        <v>5064</v>
      </c>
      <c r="L190" s="313" t="s">
        <v>4444</v>
      </c>
      <c r="M190" s="313"/>
      <c r="N190" s="313" t="s">
        <v>5069</v>
      </c>
      <c r="O190" s="313" t="s">
        <v>5070</v>
      </c>
      <c r="P190" s="313"/>
      <c r="Q190" s="36"/>
      <c r="R190" s="36"/>
      <c r="S190" s="36"/>
      <c r="T190" s="36"/>
      <c r="U190" s="36"/>
      <c r="V190" s="36"/>
      <c r="W190" s="36" t="s">
        <v>5071</v>
      </c>
      <c r="X190" s="315"/>
      <c r="AA190" s="88"/>
    </row>
    <row r="191" spans="1:27" s="18" customFormat="1" ht="11.25">
      <c r="A191" s="734">
        <f>A186+1</f>
        <v>64</v>
      </c>
      <c r="B191" s="333" t="s">
        <v>4721</v>
      </c>
      <c r="C191" s="334" t="s">
        <v>4722</v>
      </c>
      <c r="D191" s="337" t="s">
        <v>40</v>
      </c>
      <c r="E191" s="337"/>
      <c r="F191" s="337"/>
      <c r="G191" s="337"/>
      <c r="H191" s="335"/>
      <c r="I191" s="332"/>
      <c r="J191" s="332"/>
      <c r="K191" s="332"/>
      <c r="L191" s="332"/>
      <c r="M191" s="332"/>
      <c r="N191" s="332"/>
      <c r="O191" s="332"/>
      <c r="P191" s="332" t="s">
        <v>4923</v>
      </c>
      <c r="Q191" s="332" t="s">
        <v>4924</v>
      </c>
      <c r="R191" s="332"/>
      <c r="S191" s="332"/>
      <c r="T191" s="332"/>
      <c r="U191" s="332"/>
      <c r="V191" s="332"/>
      <c r="W191" s="332"/>
      <c r="X191" s="337" t="s">
        <v>4712</v>
      </c>
      <c r="AA191" s="337" t="s">
        <v>148</v>
      </c>
    </row>
    <row r="192" spans="1:27" s="18" customFormat="1" ht="33.75">
      <c r="A192" s="735"/>
      <c r="B192" s="311"/>
      <c r="C192" s="312"/>
      <c r="D192" s="315"/>
      <c r="E192" s="315" t="s">
        <v>30</v>
      </c>
      <c r="F192" s="315" t="s">
        <v>46</v>
      </c>
      <c r="G192" s="315" t="s">
        <v>30</v>
      </c>
      <c r="H192" s="314" t="s">
        <v>5074</v>
      </c>
      <c r="I192" s="312" t="s">
        <v>5075</v>
      </c>
      <c r="J192" s="312" t="s">
        <v>3329</v>
      </c>
      <c r="K192" s="313" t="s">
        <v>5076</v>
      </c>
      <c r="L192" s="313" t="s">
        <v>5020</v>
      </c>
      <c r="M192" s="313"/>
      <c r="N192" s="313" t="s">
        <v>33</v>
      </c>
      <c r="O192" s="313" t="s">
        <v>5075</v>
      </c>
      <c r="P192" s="313"/>
      <c r="Q192" s="36"/>
      <c r="R192" s="36"/>
      <c r="S192" s="36"/>
      <c r="T192" s="36"/>
      <c r="U192" s="36"/>
      <c r="V192" s="36"/>
      <c r="W192" s="36" t="s">
        <v>5077</v>
      </c>
      <c r="X192" s="315"/>
      <c r="AA192" s="88"/>
    </row>
    <row r="193" spans="1:27" s="18" customFormat="1" ht="11.25">
      <c r="A193" s="538"/>
      <c r="B193" s="262"/>
      <c r="C193" s="254"/>
      <c r="D193" s="88"/>
      <c r="E193" s="88" t="s">
        <v>4467</v>
      </c>
      <c r="F193" s="88" t="s">
        <v>4487</v>
      </c>
      <c r="G193" s="88" t="s">
        <v>4478</v>
      </c>
      <c r="H193" s="149" t="s">
        <v>5078</v>
      </c>
      <c r="I193" s="252" t="s">
        <v>5075</v>
      </c>
      <c r="J193" s="252" t="s">
        <v>3329</v>
      </c>
      <c r="K193" s="252" t="s">
        <v>5076</v>
      </c>
      <c r="L193" s="252" t="s">
        <v>5020</v>
      </c>
      <c r="M193" s="252"/>
      <c r="N193" s="252" t="s">
        <v>4467</v>
      </c>
      <c r="O193" s="252" t="s">
        <v>5079</v>
      </c>
      <c r="P193" s="252"/>
      <c r="Q193" s="252"/>
      <c r="R193" s="252"/>
      <c r="S193" s="252"/>
      <c r="T193" s="252"/>
      <c r="U193" s="252"/>
      <c r="V193" s="252"/>
      <c r="W193" s="252" t="s">
        <v>5080</v>
      </c>
      <c r="X193" s="88"/>
      <c r="AA193" s="88" t="s">
        <v>5081</v>
      </c>
    </row>
    <row r="194" spans="1:27" s="18" customFormat="1" ht="33.75">
      <c r="A194" s="735"/>
      <c r="B194" s="311"/>
      <c r="C194" s="312"/>
      <c r="D194" s="315"/>
      <c r="E194" s="315" t="s">
        <v>36</v>
      </c>
      <c r="F194" s="315" t="s">
        <v>1989</v>
      </c>
      <c r="G194" s="315" t="s">
        <v>1923</v>
      </c>
      <c r="H194" s="314" t="s">
        <v>5082</v>
      </c>
      <c r="I194" s="312" t="s">
        <v>5075</v>
      </c>
      <c r="J194" s="312" t="s">
        <v>3329</v>
      </c>
      <c r="K194" s="313" t="s">
        <v>5076</v>
      </c>
      <c r="L194" s="313" t="s">
        <v>5020</v>
      </c>
      <c r="M194" s="313"/>
      <c r="N194" s="313" t="s">
        <v>33</v>
      </c>
      <c r="O194" s="313" t="s">
        <v>5075</v>
      </c>
      <c r="P194" s="313"/>
      <c r="Q194" s="36"/>
      <c r="R194" s="36"/>
      <c r="S194" s="36"/>
      <c r="T194" s="36"/>
      <c r="U194" s="36"/>
      <c r="V194" s="36"/>
      <c r="W194" s="36" t="s">
        <v>5077</v>
      </c>
      <c r="X194" s="315"/>
      <c r="AA194" s="88"/>
    </row>
    <row r="195" spans="1:27" s="18" customFormat="1" ht="11.25">
      <c r="A195" s="538"/>
      <c r="B195" s="262"/>
      <c r="C195" s="254"/>
      <c r="D195" s="88"/>
      <c r="E195" s="88" t="s">
        <v>141</v>
      </c>
      <c r="F195" s="88" t="s">
        <v>4493</v>
      </c>
      <c r="G195" s="88" t="s">
        <v>4494</v>
      </c>
      <c r="H195" s="149" t="s">
        <v>5083</v>
      </c>
      <c r="I195" s="252" t="s">
        <v>5075</v>
      </c>
      <c r="J195" s="252" t="s">
        <v>3329</v>
      </c>
      <c r="K195" s="252" t="s">
        <v>5076</v>
      </c>
      <c r="L195" s="252" t="s">
        <v>5020</v>
      </c>
      <c r="M195" s="252"/>
      <c r="N195" s="252" t="s">
        <v>4467</v>
      </c>
      <c r="O195" s="252" t="s">
        <v>5079</v>
      </c>
      <c r="P195" s="252"/>
      <c r="Q195" s="252"/>
      <c r="R195" s="252"/>
      <c r="S195" s="252"/>
      <c r="T195" s="252"/>
      <c r="U195" s="252"/>
      <c r="V195" s="252"/>
      <c r="W195" s="252" t="s">
        <v>5080</v>
      </c>
      <c r="X195" s="88"/>
      <c r="AA195" s="88"/>
    </row>
    <row r="196" spans="1:27" s="18" customFormat="1" ht="11.25">
      <c r="A196" s="734">
        <f>A191+1</f>
        <v>65</v>
      </c>
      <c r="B196" s="333" t="s">
        <v>4723</v>
      </c>
      <c r="C196" s="334" t="s">
        <v>4724</v>
      </c>
      <c r="D196" s="337" t="s">
        <v>33</v>
      </c>
      <c r="E196" s="337"/>
      <c r="F196" s="337"/>
      <c r="G196" s="337"/>
      <c r="H196" s="335"/>
      <c r="I196" s="334"/>
      <c r="J196" s="334"/>
      <c r="K196" s="332"/>
      <c r="L196" s="332"/>
      <c r="M196" s="332"/>
      <c r="N196" s="332"/>
      <c r="O196" s="332"/>
      <c r="P196" s="332" t="s">
        <v>4923</v>
      </c>
      <c r="Q196" s="336" t="s">
        <v>4924</v>
      </c>
      <c r="R196" s="336"/>
      <c r="S196" s="336"/>
      <c r="T196" s="336"/>
      <c r="U196" s="336"/>
      <c r="V196" s="336"/>
      <c r="W196" s="336"/>
      <c r="X196" s="337" t="s">
        <v>5056</v>
      </c>
      <c r="AA196" s="337" t="s">
        <v>148</v>
      </c>
    </row>
    <row r="197" spans="1:27" s="18" customFormat="1" ht="11.25">
      <c r="A197" s="538"/>
      <c r="B197" s="262"/>
      <c r="C197" s="254"/>
      <c r="D197" s="88"/>
      <c r="E197" s="88" t="s">
        <v>94</v>
      </c>
      <c r="F197" s="88" t="s">
        <v>94</v>
      </c>
      <c r="G197" s="88" t="s">
        <v>94</v>
      </c>
      <c r="H197" s="149" t="s">
        <v>5084</v>
      </c>
      <c r="I197" s="252"/>
      <c r="J197" s="252"/>
      <c r="K197" s="252"/>
      <c r="L197" s="252" t="s">
        <v>4444</v>
      </c>
      <c r="M197" s="252" t="s">
        <v>5085</v>
      </c>
      <c r="N197" s="252" t="s">
        <v>4467</v>
      </c>
      <c r="O197" s="252" t="s">
        <v>94</v>
      </c>
      <c r="P197" s="252"/>
      <c r="Q197" s="252"/>
      <c r="R197" s="252"/>
      <c r="S197" s="252"/>
      <c r="T197" s="252"/>
      <c r="U197" s="252"/>
      <c r="V197" s="252"/>
      <c r="W197" s="252"/>
      <c r="X197" s="88"/>
      <c r="AA197" s="88"/>
    </row>
    <row r="198" spans="1:27" s="18" customFormat="1" ht="11.25">
      <c r="A198" s="735"/>
      <c r="B198" s="311"/>
      <c r="C198" s="312"/>
      <c r="D198" s="315"/>
      <c r="E198" s="315" t="s">
        <v>30</v>
      </c>
      <c r="F198" s="315" t="s">
        <v>33</v>
      </c>
      <c r="G198" s="315" t="s">
        <v>33</v>
      </c>
      <c r="H198" s="314" t="s">
        <v>5086</v>
      </c>
      <c r="I198" s="312"/>
      <c r="J198" s="312"/>
      <c r="K198" s="313"/>
      <c r="L198" s="313" t="s">
        <v>4444</v>
      </c>
      <c r="M198" s="313" t="s">
        <v>5085</v>
      </c>
      <c r="N198" s="313" t="s">
        <v>33</v>
      </c>
      <c r="O198" s="313" t="s">
        <v>30</v>
      </c>
      <c r="P198" s="313"/>
      <c r="Q198" s="36"/>
      <c r="R198" s="36"/>
      <c r="S198" s="36"/>
      <c r="T198" s="36"/>
      <c r="U198" s="36"/>
      <c r="V198" s="36"/>
      <c r="W198" s="36"/>
      <c r="X198" s="315"/>
      <c r="AA198" s="88"/>
    </row>
    <row r="199" spans="1:27" s="18" customFormat="1" ht="11.25">
      <c r="A199" s="538"/>
      <c r="B199" s="262"/>
      <c r="C199" s="254"/>
      <c r="D199" s="88"/>
      <c r="E199" s="88" t="s">
        <v>94</v>
      </c>
      <c r="F199" s="88" t="s">
        <v>4474</v>
      </c>
      <c r="G199" s="88" t="s">
        <v>4474</v>
      </c>
      <c r="H199" s="149" t="s">
        <v>5087</v>
      </c>
      <c r="I199" s="252"/>
      <c r="J199" s="252"/>
      <c r="K199" s="252"/>
      <c r="L199" s="252" t="s">
        <v>4444</v>
      </c>
      <c r="M199" s="252" t="s">
        <v>5085</v>
      </c>
      <c r="N199" s="252" t="s">
        <v>4467</v>
      </c>
      <c r="O199" s="252" t="s">
        <v>94</v>
      </c>
      <c r="P199" s="252"/>
      <c r="Q199" s="252"/>
      <c r="R199" s="252"/>
      <c r="S199" s="252"/>
      <c r="T199" s="252"/>
      <c r="U199" s="252"/>
      <c r="V199" s="252"/>
      <c r="W199" s="252"/>
      <c r="X199" s="88"/>
      <c r="AA199" s="88"/>
    </row>
    <row r="200" spans="1:27" s="18" customFormat="1" ht="11.25">
      <c r="A200" s="735"/>
      <c r="B200" s="311"/>
      <c r="C200" s="312"/>
      <c r="D200" s="315"/>
      <c r="E200" s="315" t="s">
        <v>30</v>
      </c>
      <c r="F200" s="315" t="s">
        <v>38</v>
      </c>
      <c r="G200" s="315" t="s">
        <v>38</v>
      </c>
      <c r="H200" s="314" t="s">
        <v>5088</v>
      </c>
      <c r="I200" s="312"/>
      <c r="J200" s="312"/>
      <c r="K200" s="313"/>
      <c r="L200" s="313" t="s">
        <v>4444</v>
      </c>
      <c r="M200" s="313" t="s">
        <v>5085</v>
      </c>
      <c r="N200" s="313" t="s">
        <v>33</v>
      </c>
      <c r="O200" s="313" t="s">
        <v>30</v>
      </c>
      <c r="P200" s="313"/>
      <c r="Q200" s="36"/>
      <c r="R200" s="36"/>
      <c r="S200" s="36"/>
      <c r="T200" s="36"/>
      <c r="U200" s="36"/>
      <c r="V200" s="36"/>
      <c r="W200" s="36"/>
      <c r="X200" s="315"/>
      <c r="AA200" s="88"/>
    </row>
    <row r="201" spans="1:27" s="18" customFormat="1" ht="11.25">
      <c r="A201" s="734">
        <f>A196+1</f>
        <v>66</v>
      </c>
      <c r="B201" s="333" t="s">
        <v>4725</v>
      </c>
      <c r="C201" s="334" t="s">
        <v>4726</v>
      </c>
      <c r="D201" s="337" t="s">
        <v>33</v>
      </c>
      <c r="E201" s="337"/>
      <c r="F201" s="337"/>
      <c r="G201" s="337"/>
      <c r="H201" s="335"/>
      <c r="I201" s="332"/>
      <c r="J201" s="332"/>
      <c r="K201" s="332"/>
      <c r="L201" s="332"/>
      <c r="M201" s="332"/>
      <c r="N201" s="332"/>
      <c r="O201" s="332"/>
      <c r="P201" s="332" t="s">
        <v>4923</v>
      </c>
      <c r="Q201" s="332" t="s">
        <v>4924</v>
      </c>
      <c r="R201" s="332"/>
      <c r="S201" s="332"/>
      <c r="T201" s="332"/>
      <c r="U201" s="332"/>
      <c r="V201" s="332"/>
      <c r="W201" s="332"/>
      <c r="X201" s="337" t="s">
        <v>4712</v>
      </c>
      <c r="AA201" s="337" t="s">
        <v>148</v>
      </c>
    </row>
    <row r="202" spans="1:27" s="18" customFormat="1" ht="22.5">
      <c r="A202" s="735"/>
      <c r="B202" s="311"/>
      <c r="C202" s="312"/>
      <c r="D202" s="315"/>
      <c r="E202" s="315" t="s">
        <v>30</v>
      </c>
      <c r="F202" s="315" t="s">
        <v>46</v>
      </c>
      <c r="G202" s="315" t="s">
        <v>94</v>
      </c>
      <c r="H202" s="314" t="s">
        <v>5089</v>
      </c>
      <c r="I202" s="312" t="s">
        <v>30</v>
      </c>
      <c r="J202" s="312" t="s">
        <v>5090</v>
      </c>
      <c r="K202" s="313" t="s">
        <v>5064</v>
      </c>
      <c r="L202" s="313" t="s">
        <v>4444</v>
      </c>
      <c r="M202" s="313"/>
      <c r="N202" s="313" t="s">
        <v>5069</v>
      </c>
      <c r="O202" s="313" t="s">
        <v>5070</v>
      </c>
      <c r="P202" s="313"/>
      <c r="Q202" s="36"/>
      <c r="R202" s="36"/>
      <c r="S202" s="36"/>
      <c r="T202" s="36"/>
      <c r="U202" s="36"/>
      <c r="V202" s="36"/>
      <c r="W202" s="36" t="s">
        <v>5091</v>
      </c>
      <c r="X202" s="315"/>
      <c r="AA202" s="88"/>
    </row>
    <row r="203" spans="1:27" s="18" customFormat="1" ht="11.25">
      <c r="A203" s="734">
        <f>A201+1</f>
        <v>67</v>
      </c>
      <c r="B203" s="333" t="s">
        <v>4727</v>
      </c>
      <c r="C203" s="334" t="s">
        <v>4728</v>
      </c>
      <c r="D203" s="337" t="s">
        <v>33</v>
      </c>
      <c r="E203" s="337"/>
      <c r="F203" s="337"/>
      <c r="G203" s="337"/>
      <c r="H203" s="335"/>
      <c r="I203" s="332"/>
      <c r="J203" s="332"/>
      <c r="K203" s="332"/>
      <c r="L203" s="332"/>
      <c r="M203" s="332"/>
      <c r="N203" s="332"/>
      <c r="O203" s="332"/>
      <c r="P203" s="332" t="s">
        <v>4923</v>
      </c>
      <c r="Q203" s="332" t="s">
        <v>4924</v>
      </c>
      <c r="R203" s="332"/>
      <c r="S203" s="332"/>
      <c r="T203" s="332"/>
      <c r="U203" s="332"/>
      <c r="V203" s="332"/>
      <c r="W203" s="332"/>
      <c r="X203" s="337" t="s">
        <v>4712</v>
      </c>
      <c r="AA203" s="337" t="s">
        <v>148</v>
      </c>
    </row>
    <row r="204" spans="1:27" s="18" customFormat="1" ht="22.5">
      <c r="A204" s="735"/>
      <c r="B204" s="311"/>
      <c r="C204" s="312"/>
      <c r="D204" s="315"/>
      <c r="E204" s="315" t="s">
        <v>30</v>
      </c>
      <c r="F204" s="315" t="s">
        <v>46</v>
      </c>
      <c r="G204" s="315" t="s">
        <v>94</v>
      </c>
      <c r="H204" s="314" t="s">
        <v>5092</v>
      </c>
      <c r="I204" s="312" t="s">
        <v>30</v>
      </c>
      <c r="J204" s="312" t="s">
        <v>5090</v>
      </c>
      <c r="K204" s="313" t="s">
        <v>5064</v>
      </c>
      <c r="L204" s="313" t="s">
        <v>4444</v>
      </c>
      <c r="M204" s="313"/>
      <c r="N204" s="313" t="s">
        <v>5069</v>
      </c>
      <c r="O204" s="313" t="s">
        <v>5070</v>
      </c>
      <c r="P204" s="313"/>
      <c r="Q204" s="36"/>
      <c r="R204" s="36"/>
      <c r="S204" s="36"/>
      <c r="T204" s="36"/>
      <c r="U204" s="36"/>
      <c r="V204" s="36"/>
      <c r="W204" s="36" t="s">
        <v>5091</v>
      </c>
      <c r="X204" s="315"/>
      <c r="AA204" s="88"/>
    </row>
    <row r="205" spans="1:27" s="18" customFormat="1" ht="11.25">
      <c r="A205" s="734">
        <f>A203+1</f>
        <v>68</v>
      </c>
      <c r="B205" s="333" t="s">
        <v>4729</v>
      </c>
      <c r="C205" s="334" t="s">
        <v>4730</v>
      </c>
      <c r="D205" s="337" t="s">
        <v>33</v>
      </c>
      <c r="E205" s="337"/>
      <c r="F205" s="337"/>
      <c r="G205" s="337"/>
      <c r="H205" s="335"/>
      <c r="I205" s="332"/>
      <c r="J205" s="332"/>
      <c r="K205" s="332"/>
      <c r="L205" s="332"/>
      <c r="M205" s="332"/>
      <c r="N205" s="332"/>
      <c r="O205" s="332"/>
      <c r="P205" s="332" t="s">
        <v>4923</v>
      </c>
      <c r="Q205" s="332" t="s">
        <v>4924</v>
      </c>
      <c r="R205" s="332"/>
      <c r="S205" s="332"/>
      <c r="T205" s="332"/>
      <c r="U205" s="332"/>
      <c r="V205" s="332"/>
      <c r="W205" s="332"/>
      <c r="X205" s="337" t="s">
        <v>4712</v>
      </c>
      <c r="AA205" s="337" t="s">
        <v>148</v>
      </c>
    </row>
    <row r="206" spans="1:27" s="18" customFormat="1" ht="22.5">
      <c r="A206" s="735"/>
      <c r="B206" s="311"/>
      <c r="C206" s="312"/>
      <c r="D206" s="315"/>
      <c r="E206" s="315" t="s">
        <v>30</v>
      </c>
      <c r="F206" s="315" t="s">
        <v>46</v>
      </c>
      <c r="G206" s="315" t="s">
        <v>94</v>
      </c>
      <c r="H206" s="314" t="s">
        <v>5093</v>
      </c>
      <c r="I206" s="312" t="s">
        <v>30</v>
      </c>
      <c r="J206" s="312" t="s">
        <v>5090</v>
      </c>
      <c r="K206" s="313" t="s">
        <v>5064</v>
      </c>
      <c r="L206" s="313" t="s">
        <v>4444</v>
      </c>
      <c r="M206" s="313"/>
      <c r="N206" s="313" t="s">
        <v>5069</v>
      </c>
      <c r="O206" s="313" t="s">
        <v>5070</v>
      </c>
      <c r="P206" s="313"/>
      <c r="Q206" s="36"/>
      <c r="R206" s="36"/>
      <c r="S206" s="36"/>
      <c r="T206" s="36"/>
      <c r="U206" s="36"/>
      <c r="V206" s="36"/>
      <c r="W206" s="36" t="s">
        <v>5091</v>
      </c>
      <c r="X206" s="315"/>
      <c r="AA206" s="88"/>
    </row>
    <row r="207" spans="1:27" s="18" customFormat="1" ht="11.25">
      <c r="A207" s="734">
        <f>A205+1</f>
        <v>69</v>
      </c>
      <c r="B207" s="333" t="s">
        <v>4731</v>
      </c>
      <c r="C207" s="334" t="s">
        <v>4732</v>
      </c>
      <c r="D207" s="337" t="s">
        <v>33</v>
      </c>
      <c r="E207" s="337"/>
      <c r="F207" s="337"/>
      <c r="G207" s="337"/>
      <c r="H207" s="335"/>
      <c r="I207" s="332"/>
      <c r="J207" s="332"/>
      <c r="K207" s="332"/>
      <c r="L207" s="332"/>
      <c r="M207" s="332"/>
      <c r="N207" s="332"/>
      <c r="O207" s="332"/>
      <c r="P207" s="332" t="s">
        <v>4923</v>
      </c>
      <c r="Q207" s="332" t="s">
        <v>4924</v>
      </c>
      <c r="R207" s="332"/>
      <c r="S207" s="332"/>
      <c r="T207" s="332"/>
      <c r="U207" s="332"/>
      <c r="V207" s="332"/>
      <c r="W207" s="332"/>
      <c r="X207" s="337" t="s">
        <v>4712</v>
      </c>
      <c r="AA207" s="337" t="s">
        <v>148</v>
      </c>
    </row>
    <row r="208" spans="1:27" s="18" customFormat="1" ht="22.5">
      <c r="A208" s="735"/>
      <c r="B208" s="311"/>
      <c r="C208" s="312"/>
      <c r="D208" s="315"/>
      <c r="E208" s="315" t="s">
        <v>30</v>
      </c>
      <c r="F208" s="315" t="s">
        <v>46</v>
      </c>
      <c r="G208" s="315" t="s">
        <v>94</v>
      </c>
      <c r="H208" s="314" t="s">
        <v>5094</v>
      </c>
      <c r="I208" s="312" t="s">
        <v>30</v>
      </c>
      <c r="J208" s="312" t="s">
        <v>5090</v>
      </c>
      <c r="K208" s="313" t="s">
        <v>5064</v>
      </c>
      <c r="L208" s="313" t="s">
        <v>4444</v>
      </c>
      <c r="M208" s="313"/>
      <c r="N208" s="313" t="s">
        <v>5069</v>
      </c>
      <c r="O208" s="313" t="s">
        <v>5070</v>
      </c>
      <c r="P208" s="313"/>
      <c r="Q208" s="36"/>
      <c r="R208" s="36"/>
      <c r="S208" s="36"/>
      <c r="T208" s="36"/>
      <c r="U208" s="36"/>
      <c r="V208" s="36"/>
      <c r="W208" s="36" t="s">
        <v>5091</v>
      </c>
      <c r="X208" s="315"/>
      <c r="AA208" s="88"/>
    </row>
    <row r="209" spans="1:27" s="18" customFormat="1" ht="11.25">
      <c r="A209" s="734">
        <f>A207+1</f>
        <v>70</v>
      </c>
      <c r="B209" s="333" t="s">
        <v>4733</v>
      </c>
      <c r="C209" s="334" t="s">
        <v>4734</v>
      </c>
      <c r="D209" s="337" t="s">
        <v>33</v>
      </c>
      <c r="E209" s="337"/>
      <c r="F209" s="337"/>
      <c r="G209" s="337"/>
      <c r="H209" s="335"/>
      <c r="I209" s="332"/>
      <c r="J209" s="332"/>
      <c r="K209" s="332"/>
      <c r="L209" s="332"/>
      <c r="M209" s="332"/>
      <c r="N209" s="332"/>
      <c r="O209" s="332"/>
      <c r="P209" s="332" t="s">
        <v>4923</v>
      </c>
      <c r="Q209" s="332" t="s">
        <v>4924</v>
      </c>
      <c r="R209" s="332"/>
      <c r="S209" s="332"/>
      <c r="T209" s="332"/>
      <c r="U209" s="332"/>
      <c r="V209" s="332"/>
      <c r="W209" s="332"/>
      <c r="X209" s="337" t="s">
        <v>4712</v>
      </c>
      <c r="AA209" s="337" t="s">
        <v>148</v>
      </c>
    </row>
    <row r="210" spans="1:27" s="18" customFormat="1" ht="11.25">
      <c r="A210" s="735"/>
      <c r="B210" s="311"/>
      <c r="C210" s="312"/>
      <c r="D210" s="315"/>
      <c r="E210" s="315" t="s">
        <v>30</v>
      </c>
      <c r="F210" s="315" t="s">
        <v>30</v>
      </c>
      <c r="G210" s="315" t="s">
        <v>30</v>
      </c>
      <c r="H210" s="314" t="s">
        <v>5095</v>
      </c>
      <c r="I210" s="312"/>
      <c r="J210" s="312"/>
      <c r="K210" s="313"/>
      <c r="L210" s="313" t="s">
        <v>4444</v>
      </c>
      <c r="M210" s="313" t="s">
        <v>5096</v>
      </c>
      <c r="N210" s="313" t="s">
        <v>33</v>
      </c>
      <c r="O210" s="313" t="s">
        <v>30</v>
      </c>
      <c r="P210" s="313"/>
      <c r="Q210" s="36"/>
      <c r="R210" s="36"/>
      <c r="S210" s="36"/>
      <c r="T210" s="36"/>
      <c r="U210" s="36"/>
      <c r="V210" s="36"/>
      <c r="W210" s="36"/>
      <c r="X210" s="315"/>
      <c r="AA210" s="88"/>
    </row>
    <row r="211" spans="1:27" s="18" customFormat="1" ht="11.25">
      <c r="A211" s="735"/>
      <c r="B211" s="311"/>
      <c r="C211" s="312"/>
      <c r="D211" s="315"/>
      <c r="E211" s="315" t="s">
        <v>94</v>
      </c>
      <c r="F211" s="315" t="s">
        <v>4467</v>
      </c>
      <c r="G211" s="315" t="s">
        <v>4467</v>
      </c>
      <c r="H211" s="314" t="s">
        <v>5097</v>
      </c>
      <c r="I211" s="313"/>
      <c r="J211" s="313"/>
      <c r="K211" s="313"/>
      <c r="L211" s="313" t="s">
        <v>4444</v>
      </c>
      <c r="M211" s="313" t="s">
        <v>5096</v>
      </c>
      <c r="N211" s="313" t="s">
        <v>4467</v>
      </c>
      <c r="O211" s="313" t="s">
        <v>94</v>
      </c>
      <c r="P211" s="313"/>
      <c r="Q211" s="313"/>
      <c r="R211" s="313"/>
      <c r="S211" s="313"/>
      <c r="T211" s="313"/>
      <c r="U211" s="313"/>
      <c r="V211" s="313"/>
      <c r="W211" s="313"/>
      <c r="X211" s="315"/>
      <c r="AA211" s="88"/>
    </row>
    <row r="212" spans="1:27" s="18" customFormat="1" ht="11.25">
      <c r="A212" s="735"/>
      <c r="B212" s="311"/>
      <c r="C212" s="312"/>
      <c r="D212" s="315"/>
      <c r="E212" s="315" t="s">
        <v>30</v>
      </c>
      <c r="F212" s="315" t="s">
        <v>36</v>
      </c>
      <c r="G212" s="315" t="s">
        <v>36</v>
      </c>
      <c r="H212" s="314" t="s">
        <v>5098</v>
      </c>
      <c r="I212" s="312"/>
      <c r="J212" s="312"/>
      <c r="K212" s="313"/>
      <c r="L212" s="313" t="s">
        <v>4444</v>
      </c>
      <c r="M212" s="313" t="s">
        <v>5096</v>
      </c>
      <c r="N212" s="313" t="s">
        <v>33</v>
      </c>
      <c r="O212" s="313" t="s">
        <v>30</v>
      </c>
      <c r="P212" s="313"/>
      <c r="Q212" s="36"/>
      <c r="R212" s="36"/>
      <c r="S212" s="36"/>
      <c r="T212" s="36"/>
      <c r="U212" s="36"/>
      <c r="V212" s="36"/>
      <c r="W212" s="36"/>
      <c r="X212" s="315"/>
      <c r="AA212" s="88"/>
    </row>
    <row r="213" spans="1:27" s="18" customFormat="1" ht="11.25">
      <c r="A213" s="538"/>
      <c r="B213" s="262"/>
      <c r="C213" s="254"/>
      <c r="D213" s="88"/>
      <c r="E213" s="88" t="s">
        <v>94</v>
      </c>
      <c r="F213" s="88" t="s">
        <v>141</v>
      </c>
      <c r="G213" s="88" t="s">
        <v>141</v>
      </c>
      <c r="H213" s="149" t="s">
        <v>5099</v>
      </c>
      <c r="I213" s="252"/>
      <c r="J213" s="252"/>
      <c r="K213" s="252"/>
      <c r="L213" s="252" t="s">
        <v>4444</v>
      </c>
      <c r="M213" s="252" t="s">
        <v>5096</v>
      </c>
      <c r="N213" s="252" t="s">
        <v>4467</v>
      </c>
      <c r="O213" s="252" t="s">
        <v>94</v>
      </c>
      <c r="P213" s="252"/>
      <c r="Q213" s="252"/>
      <c r="R213" s="252"/>
      <c r="S213" s="252"/>
      <c r="T213" s="252"/>
      <c r="U213" s="252"/>
      <c r="V213" s="252"/>
      <c r="W213" s="252"/>
      <c r="X213" s="88"/>
      <c r="AA213" s="88"/>
    </row>
    <row r="214" spans="1:27" s="18" customFormat="1" ht="11.25">
      <c r="A214" s="734">
        <f>A209+1</f>
        <v>71</v>
      </c>
      <c r="B214" s="333" t="s">
        <v>4735</v>
      </c>
      <c r="C214" s="334" t="s">
        <v>4736</v>
      </c>
      <c r="D214" s="337" t="s">
        <v>33</v>
      </c>
      <c r="E214" s="337"/>
      <c r="F214" s="337"/>
      <c r="G214" s="337"/>
      <c r="H214" s="335"/>
      <c r="I214" s="334"/>
      <c r="J214" s="334"/>
      <c r="K214" s="332"/>
      <c r="L214" s="332"/>
      <c r="M214" s="332"/>
      <c r="N214" s="332"/>
      <c r="O214" s="332"/>
      <c r="P214" s="332" t="s">
        <v>4923</v>
      </c>
      <c r="Q214" s="336" t="s">
        <v>4924</v>
      </c>
      <c r="R214" s="336"/>
      <c r="S214" s="336"/>
      <c r="T214" s="336"/>
      <c r="U214" s="336"/>
      <c r="V214" s="336"/>
      <c r="W214" s="336"/>
      <c r="X214" s="337" t="s">
        <v>5056</v>
      </c>
      <c r="AA214" s="337" t="s">
        <v>148</v>
      </c>
    </row>
    <row r="215" spans="1:27" s="18" customFormat="1" ht="11.25">
      <c r="A215" s="538"/>
      <c r="B215" s="262"/>
      <c r="C215" s="254"/>
      <c r="D215" s="88"/>
      <c r="E215" s="88" t="s">
        <v>94</v>
      </c>
      <c r="F215" s="88" t="s">
        <v>141</v>
      </c>
      <c r="G215" s="88" t="s">
        <v>94</v>
      </c>
      <c r="H215" s="149" t="s">
        <v>5100</v>
      </c>
      <c r="I215" s="252"/>
      <c r="J215" s="252"/>
      <c r="K215" s="252"/>
      <c r="L215" s="252" t="s">
        <v>4444</v>
      </c>
      <c r="M215" s="252" t="s">
        <v>5101</v>
      </c>
      <c r="N215" s="252" t="s">
        <v>4467</v>
      </c>
      <c r="O215" s="252" t="s">
        <v>94</v>
      </c>
      <c r="P215" s="252"/>
      <c r="Q215" s="252"/>
      <c r="R215" s="252"/>
      <c r="S215" s="252"/>
      <c r="T215" s="252"/>
      <c r="U215" s="252"/>
      <c r="V215" s="252"/>
      <c r="W215" s="252"/>
      <c r="X215" s="88"/>
      <c r="AA215" s="88"/>
    </row>
    <row r="216" spans="1:27" s="18" customFormat="1" ht="11.25">
      <c r="A216" s="734">
        <f>A214+1</f>
        <v>72</v>
      </c>
      <c r="B216" s="333" t="s">
        <v>4740</v>
      </c>
      <c r="C216" s="334" t="s">
        <v>4741</v>
      </c>
      <c r="D216" s="337"/>
      <c r="E216" s="337"/>
      <c r="F216" s="337"/>
      <c r="G216" s="337"/>
      <c r="H216" s="335"/>
      <c r="I216" s="334"/>
      <c r="J216" s="334"/>
      <c r="K216" s="332"/>
      <c r="L216" s="332"/>
      <c r="M216" s="332"/>
      <c r="N216" s="332"/>
      <c r="O216" s="332"/>
      <c r="P216" s="332" t="s">
        <v>4923</v>
      </c>
      <c r="Q216" s="336" t="s">
        <v>4924</v>
      </c>
      <c r="R216" s="336"/>
      <c r="S216" s="336"/>
      <c r="T216" s="336"/>
      <c r="U216" s="336"/>
      <c r="V216" s="336"/>
      <c r="W216" s="336"/>
      <c r="X216" s="337" t="s">
        <v>4584</v>
      </c>
      <c r="AA216" s="337" t="s">
        <v>148</v>
      </c>
    </row>
    <row r="217" spans="1:27" s="18" customFormat="1" ht="11.25">
      <c r="A217" s="538"/>
      <c r="B217" s="262"/>
      <c r="C217" s="254"/>
      <c r="D217" s="88"/>
      <c r="E217" s="88"/>
      <c r="F217" s="88"/>
      <c r="G217" s="88"/>
      <c r="H217" s="149" t="s">
        <v>4741</v>
      </c>
      <c r="I217" s="252"/>
      <c r="J217" s="252"/>
      <c r="K217" s="252"/>
      <c r="L217" s="252" t="s">
        <v>4444</v>
      </c>
      <c r="M217" s="252"/>
      <c r="N217" s="252" t="s">
        <v>4467</v>
      </c>
      <c r="O217" s="252" t="s">
        <v>94</v>
      </c>
      <c r="P217" s="252"/>
      <c r="Q217" s="252"/>
      <c r="R217" s="252"/>
      <c r="S217" s="252"/>
      <c r="T217" s="252"/>
      <c r="U217" s="252"/>
      <c r="V217" s="252"/>
      <c r="W217" s="252"/>
      <c r="X217" s="88"/>
      <c r="AA217" s="88"/>
    </row>
    <row r="218" spans="1:27" s="18" customFormat="1" ht="11.25">
      <c r="A218" s="734">
        <f>A216+1</f>
        <v>73</v>
      </c>
      <c r="B218" s="333" t="s">
        <v>4742</v>
      </c>
      <c r="C218" s="334" t="s">
        <v>4743</v>
      </c>
      <c r="D218" s="337"/>
      <c r="E218" s="337"/>
      <c r="F218" s="337"/>
      <c r="G218" s="337"/>
      <c r="H218" s="335"/>
      <c r="I218" s="334"/>
      <c r="J218" s="334"/>
      <c r="K218" s="332"/>
      <c r="L218" s="332"/>
      <c r="M218" s="332"/>
      <c r="N218" s="332"/>
      <c r="O218" s="332"/>
      <c r="P218" s="332" t="s">
        <v>4932</v>
      </c>
      <c r="Q218" s="336" t="s">
        <v>4924</v>
      </c>
      <c r="R218" s="336"/>
      <c r="S218" s="336"/>
      <c r="T218" s="336" t="s">
        <v>489</v>
      </c>
      <c r="U218" s="336"/>
      <c r="V218" s="336" t="s">
        <v>4950</v>
      </c>
      <c r="W218" s="336"/>
      <c r="X218" s="337" t="s">
        <v>4584</v>
      </c>
      <c r="AA218" s="337" t="s">
        <v>148</v>
      </c>
    </row>
    <row r="219" spans="1:27" s="18" customFormat="1" ht="11.25">
      <c r="A219" s="538"/>
      <c r="B219" s="262"/>
      <c r="C219" s="254"/>
      <c r="D219" s="88"/>
      <c r="E219" s="88"/>
      <c r="F219" s="88"/>
      <c r="G219" s="88"/>
      <c r="H219" s="149" t="s">
        <v>4743</v>
      </c>
      <c r="I219" s="252"/>
      <c r="J219" s="252"/>
      <c r="K219" s="252"/>
      <c r="L219" s="252" t="s">
        <v>4444</v>
      </c>
      <c r="M219" s="252"/>
      <c r="N219" s="252" t="s">
        <v>4467</v>
      </c>
      <c r="O219" s="252" t="s">
        <v>94</v>
      </c>
      <c r="P219" s="252"/>
      <c r="Q219" s="252"/>
      <c r="R219" s="252"/>
      <c r="S219" s="252"/>
      <c r="T219" s="252"/>
      <c r="U219" s="252"/>
      <c r="V219" s="252"/>
      <c r="W219" s="252"/>
      <c r="X219" s="88"/>
      <c r="AA219" s="88"/>
    </row>
    <row r="220" spans="1:27" s="18" customFormat="1" ht="11.25">
      <c r="A220" s="734">
        <f>A218+1</f>
        <v>74</v>
      </c>
      <c r="B220" s="333" t="s">
        <v>4744</v>
      </c>
      <c r="C220" s="334" t="s">
        <v>4745</v>
      </c>
      <c r="D220" s="337"/>
      <c r="E220" s="337"/>
      <c r="F220" s="337"/>
      <c r="G220" s="337"/>
      <c r="H220" s="335"/>
      <c r="I220" s="334"/>
      <c r="J220" s="334"/>
      <c r="K220" s="332"/>
      <c r="L220" s="332"/>
      <c r="M220" s="332"/>
      <c r="N220" s="332"/>
      <c r="O220" s="332"/>
      <c r="P220" s="332" t="s">
        <v>4932</v>
      </c>
      <c r="Q220" s="336" t="s">
        <v>4924</v>
      </c>
      <c r="R220" s="336"/>
      <c r="S220" s="336"/>
      <c r="T220" s="336" t="s">
        <v>489</v>
      </c>
      <c r="U220" s="336"/>
      <c r="V220" s="336" t="s">
        <v>4950</v>
      </c>
      <c r="W220" s="336"/>
      <c r="X220" s="337" t="s">
        <v>4584</v>
      </c>
      <c r="AA220" s="337" t="s">
        <v>148</v>
      </c>
    </row>
    <row r="221" spans="1:27" s="18" customFormat="1" ht="11.25">
      <c r="A221" s="538"/>
      <c r="B221" s="262"/>
      <c r="C221" s="254"/>
      <c r="D221" s="88"/>
      <c r="E221" s="88"/>
      <c r="F221" s="88"/>
      <c r="G221" s="88"/>
      <c r="H221" s="149" t="s">
        <v>4745</v>
      </c>
      <c r="I221" s="252"/>
      <c r="J221" s="252"/>
      <c r="K221" s="252"/>
      <c r="L221" s="252" t="s">
        <v>4444</v>
      </c>
      <c r="M221" s="252"/>
      <c r="N221" s="252" t="s">
        <v>4467</v>
      </c>
      <c r="O221" s="252" t="s">
        <v>94</v>
      </c>
      <c r="P221" s="252"/>
      <c r="Q221" s="252"/>
      <c r="R221" s="252"/>
      <c r="S221" s="252"/>
      <c r="T221" s="252"/>
      <c r="U221" s="252"/>
      <c r="V221" s="252"/>
      <c r="W221" s="252"/>
      <c r="X221" s="88"/>
      <c r="AA221" s="88"/>
    </row>
    <row r="222" spans="1:27" s="18" customFormat="1" ht="11.25">
      <c r="A222" s="734">
        <f>A220+1</f>
        <v>75</v>
      </c>
      <c r="B222" s="333" t="s">
        <v>4503</v>
      </c>
      <c r="C222" s="334" t="s">
        <v>4504</v>
      </c>
      <c r="D222" s="337" t="s">
        <v>566</v>
      </c>
      <c r="E222" s="337"/>
      <c r="F222" s="337"/>
      <c r="G222" s="337"/>
      <c r="H222" s="335"/>
      <c r="I222" s="334"/>
      <c r="J222" s="334"/>
      <c r="K222" s="332"/>
      <c r="L222" s="332"/>
      <c r="M222" s="332"/>
      <c r="N222" s="332"/>
      <c r="O222" s="332"/>
      <c r="P222" s="332" t="s">
        <v>4923</v>
      </c>
      <c r="Q222" s="336" t="s">
        <v>4924</v>
      </c>
      <c r="R222" s="336"/>
      <c r="S222" s="336"/>
      <c r="T222" s="336"/>
      <c r="U222" s="336"/>
      <c r="V222" s="336"/>
      <c r="W222" s="336" t="s">
        <v>5103</v>
      </c>
      <c r="X222" s="337" t="s">
        <v>4584</v>
      </c>
      <c r="AA222" s="337" t="s">
        <v>148</v>
      </c>
    </row>
    <row r="223" spans="1:27" s="18" customFormat="1" ht="11.25">
      <c r="A223" s="538"/>
      <c r="B223" s="262"/>
      <c r="C223" s="254"/>
      <c r="D223" s="88"/>
      <c r="E223" s="88" t="s">
        <v>94</v>
      </c>
      <c r="F223" s="88" t="s">
        <v>4477</v>
      </c>
      <c r="G223" s="88" t="s">
        <v>4505</v>
      </c>
      <c r="H223" s="149" t="s">
        <v>4504</v>
      </c>
      <c r="I223" s="252"/>
      <c r="J223" s="252"/>
      <c r="K223" s="252"/>
      <c r="L223" s="252" t="s">
        <v>161</v>
      </c>
      <c r="M223" s="252"/>
      <c r="N223" s="252">
        <v>1</v>
      </c>
      <c r="O223" s="252">
        <v>0</v>
      </c>
      <c r="P223" s="252"/>
      <c r="Q223" s="252"/>
      <c r="R223" s="252"/>
      <c r="S223" s="252"/>
      <c r="T223" s="252"/>
      <c r="U223" s="252"/>
      <c r="V223" s="252"/>
      <c r="W223" s="252"/>
      <c r="X223" s="88"/>
      <c r="AA223" s="88"/>
    </row>
    <row r="224" spans="1:27" s="18" customFormat="1" ht="11.25">
      <c r="A224" s="734">
        <f>A222+1</f>
        <v>76</v>
      </c>
      <c r="B224" s="333" t="s">
        <v>4746</v>
      </c>
      <c r="C224" s="334" t="s">
        <v>5104</v>
      </c>
      <c r="D224" s="337" t="s">
        <v>5105</v>
      </c>
      <c r="E224" s="337"/>
      <c r="F224" s="337"/>
      <c r="G224" s="337"/>
      <c r="H224" s="335"/>
      <c r="I224" s="334"/>
      <c r="J224" s="334"/>
      <c r="K224" s="332"/>
      <c r="L224" s="332"/>
      <c r="M224" s="332"/>
      <c r="N224" s="332"/>
      <c r="O224" s="332"/>
      <c r="P224" s="332" t="s">
        <v>4923</v>
      </c>
      <c r="Q224" s="336" t="s">
        <v>4924</v>
      </c>
      <c r="R224" s="336"/>
      <c r="S224" s="336"/>
      <c r="T224" s="336"/>
      <c r="U224" s="336"/>
      <c r="V224" s="336"/>
      <c r="W224" s="336"/>
      <c r="X224" s="337" t="s">
        <v>4650</v>
      </c>
      <c r="AA224" s="337" t="s">
        <v>148</v>
      </c>
    </row>
    <row r="225" spans="1:27" s="18" customFormat="1" ht="10.9" customHeight="1">
      <c r="A225" s="538"/>
      <c r="B225" s="262"/>
      <c r="C225" s="254"/>
      <c r="D225" s="88"/>
      <c r="E225" s="88" t="s">
        <v>94</v>
      </c>
      <c r="F225" s="88" t="s">
        <v>4477</v>
      </c>
      <c r="G225" s="88" t="s">
        <v>4926</v>
      </c>
      <c r="H225" s="149" t="s">
        <v>5106</v>
      </c>
      <c r="I225" s="252"/>
      <c r="J225" s="252"/>
      <c r="K225" s="252"/>
      <c r="L225" s="252" t="s">
        <v>161</v>
      </c>
      <c r="M225" s="252"/>
      <c r="N225" s="252" t="s">
        <v>4467</v>
      </c>
      <c r="O225" s="252" t="s">
        <v>94</v>
      </c>
      <c r="P225" s="252"/>
      <c r="Q225" s="252"/>
      <c r="R225" s="252"/>
      <c r="S225" s="252"/>
      <c r="T225" s="252"/>
      <c r="U225" s="252"/>
      <c r="V225" s="252"/>
      <c r="W225" s="252"/>
      <c r="X225" s="88"/>
      <c r="AA225" s="88"/>
    </row>
    <row r="226" spans="1:27" s="18" customFormat="1" ht="11.25">
      <c r="A226" s="538"/>
      <c r="B226" s="262"/>
      <c r="C226" s="254"/>
      <c r="D226" s="88"/>
      <c r="E226" s="88" t="s">
        <v>4937</v>
      </c>
      <c r="F226" s="88" t="s">
        <v>5107</v>
      </c>
      <c r="G226" s="88" t="s">
        <v>5108</v>
      </c>
      <c r="H226" s="149" t="s">
        <v>5109</v>
      </c>
      <c r="I226" s="254"/>
      <c r="J226" s="254"/>
      <c r="K226" s="252"/>
      <c r="L226" s="252" t="s">
        <v>161</v>
      </c>
      <c r="M226" s="252"/>
      <c r="N226" s="252" t="s">
        <v>4467</v>
      </c>
      <c r="O226" s="252" t="s">
        <v>94</v>
      </c>
      <c r="P226" s="252"/>
      <c r="Q226" s="24"/>
      <c r="R226" s="24"/>
      <c r="S226" s="24"/>
      <c r="T226" s="24"/>
      <c r="U226" s="24"/>
      <c r="V226" s="24"/>
      <c r="W226" s="24"/>
      <c r="X226" s="88"/>
      <c r="AA226" s="88"/>
    </row>
    <row r="227" spans="1:27" s="18" customFormat="1" ht="11.25">
      <c r="A227" s="538"/>
      <c r="B227" s="262"/>
      <c r="C227" s="254"/>
      <c r="D227" s="88"/>
      <c r="E227" s="88" t="s">
        <v>2595</v>
      </c>
      <c r="F227" s="88" t="s">
        <v>5110</v>
      </c>
      <c r="G227" s="88" t="s">
        <v>5111</v>
      </c>
      <c r="H227" s="149" t="s">
        <v>5112</v>
      </c>
      <c r="I227" s="252"/>
      <c r="J227" s="252"/>
      <c r="K227" s="252"/>
      <c r="L227" s="252" t="s">
        <v>161</v>
      </c>
      <c r="M227" s="252"/>
      <c r="N227" s="252" t="s">
        <v>4467</v>
      </c>
      <c r="O227" s="252" t="s">
        <v>94</v>
      </c>
      <c r="P227" s="252"/>
      <c r="Q227" s="252"/>
      <c r="R227" s="252"/>
      <c r="S227" s="252"/>
      <c r="T227" s="252"/>
      <c r="U227" s="252"/>
      <c r="V227" s="252"/>
      <c r="W227" s="252"/>
      <c r="X227" s="88"/>
      <c r="AA227" s="88"/>
    </row>
    <row r="228" spans="1:27" s="18" customFormat="1" ht="11.25">
      <c r="A228" s="538"/>
      <c r="B228" s="262"/>
      <c r="C228" s="254"/>
      <c r="D228" s="88"/>
      <c r="E228" s="88" t="s">
        <v>5113</v>
      </c>
      <c r="F228" s="88" t="s">
        <v>5114</v>
      </c>
      <c r="G228" s="88" t="s">
        <v>5115</v>
      </c>
      <c r="H228" s="149" t="s">
        <v>5116</v>
      </c>
      <c r="I228" s="254"/>
      <c r="J228" s="254"/>
      <c r="K228" s="252"/>
      <c r="L228" s="252" t="s">
        <v>161</v>
      </c>
      <c r="M228" s="252"/>
      <c r="N228" s="252" t="s">
        <v>4467</v>
      </c>
      <c r="O228" s="252" t="s">
        <v>94</v>
      </c>
      <c r="P228" s="252"/>
      <c r="Q228" s="24"/>
      <c r="R228" s="24"/>
      <c r="S228" s="24"/>
      <c r="T228" s="24"/>
      <c r="U228" s="24"/>
      <c r="V228" s="24"/>
      <c r="W228" s="24"/>
      <c r="X228" s="88"/>
      <c r="AA228" s="88"/>
    </row>
    <row r="229" spans="1:27" s="18" customFormat="1" ht="11.25">
      <c r="A229" s="538"/>
      <c r="B229" s="262"/>
      <c r="C229" s="254"/>
      <c r="D229" s="88"/>
      <c r="E229" s="88" t="s">
        <v>4928</v>
      </c>
      <c r="F229" s="88" t="s">
        <v>5117</v>
      </c>
      <c r="G229" s="88" t="s">
        <v>5118</v>
      </c>
      <c r="H229" s="149" t="s">
        <v>5119</v>
      </c>
      <c r="I229" s="252"/>
      <c r="J229" s="252"/>
      <c r="K229" s="252"/>
      <c r="L229" s="252" t="s">
        <v>161</v>
      </c>
      <c r="M229" s="252"/>
      <c r="N229" s="252" t="s">
        <v>4467</v>
      </c>
      <c r="O229" s="252" t="s">
        <v>94</v>
      </c>
      <c r="P229" s="252"/>
      <c r="Q229" s="252"/>
      <c r="R229" s="252"/>
      <c r="S229" s="252"/>
      <c r="T229" s="252"/>
      <c r="U229" s="252"/>
      <c r="V229" s="252"/>
      <c r="W229" s="252"/>
      <c r="X229" s="88"/>
      <c r="AA229" s="88"/>
    </row>
    <row r="230" spans="1:27" s="18" customFormat="1" ht="11.25">
      <c r="A230" s="538"/>
      <c r="B230" s="262"/>
      <c r="C230" s="254"/>
      <c r="D230" s="88"/>
      <c r="E230" s="88" t="s">
        <v>5120</v>
      </c>
      <c r="F230" s="88" t="s">
        <v>5121</v>
      </c>
      <c r="G230" s="88" t="s">
        <v>5122</v>
      </c>
      <c r="H230" s="149" t="s">
        <v>5123</v>
      </c>
      <c r="I230" s="254"/>
      <c r="J230" s="254"/>
      <c r="K230" s="252"/>
      <c r="L230" s="252" t="s">
        <v>161</v>
      </c>
      <c r="M230" s="252"/>
      <c r="N230" s="252" t="s">
        <v>4467</v>
      </c>
      <c r="O230" s="252" t="s">
        <v>94</v>
      </c>
      <c r="P230" s="252"/>
      <c r="Q230" s="24"/>
      <c r="R230" s="24"/>
      <c r="S230" s="24"/>
      <c r="T230" s="24"/>
      <c r="U230" s="24"/>
      <c r="V230" s="24"/>
      <c r="W230" s="24"/>
      <c r="X230" s="88"/>
      <c r="AA230" s="88"/>
    </row>
    <row r="231" spans="1:27" s="18" customFormat="1" ht="11.25">
      <c r="A231" s="538"/>
      <c r="B231" s="262"/>
      <c r="C231" s="254"/>
      <c r="D231" s="88"/>
      <c r="E231" s="88" t="s">
        <v>139</v>
      </c>
      <c r="F231" s="88" t="s">
        <v>5124</v>
      </c>
      <c r="G231" s="88" t="s">
        <v>5125</v>
      </c>
      <c r="H231" s="149" t="s">
        <v>5126</v>
      </c>
      <c r="I231" s="252"/>
      <c r="J231" s="252"/>
      <c r="K231" s="252"/>
      <c r="L231" s="252" t="s">
        <v>161</v>
      </c>
      <c r="M231" s="252"/>
      <c r="N231" s="252" t="s">
        <v>4467</v>
      </c>
      <c r="O231" s="252" t="s">
        <v>94</v>
      </c>
      <c r="P231" s="252"/>
      <c r="Q231" s="252"/>
      <c r="R231" s="252"/>
      <c r="S231" s="252"/>
      <c r="T231" s="252"/>
      <c r="U231" s="252"/>
      <c r="V231" s="252"/>
      <c r="W231" s="252"/>
      <c r="X231" s="88"/>
      <c r="AA231" s="88"/>
    </row>
    <row r="232" spans="1:27" s="18" customFormat="1" ht="11.25">
      <c r="A232" s="538"/>
      <c r="B232" s="262"/>
      <c r="C232" s="254"/>
      <c r="D232" s="88"/>
      <c r="E232" s="88" t="s">
        <v>5127</v>
      </c>
      <c r="F232" s="88" t="s">
        <v>5128</v>
      </c>
      <c r="G232" s="88" t="s">
        <v>5129</v>
      </c>
      <c r="H232" s="149" t="s">
        <v>5130</v>
      </c>
      <c r="I232" s="254"/>
      <c r="J232" s="254"/>
      <c r="K232" s="252"/>
      <c r="L232" s="252" t="s">
        <v>161</v>
      </c>
      <c r="M232" s="252"/>
      <c r="N232" s="252" t="s">
        <v>4467</v>
      </c>
      <c r="O232" s="252" t="s">
        <v>94</v>
      </c>
      <c r="P232" s="252"/>
      <c r="Q232" s="24"/>
      <c r="R232" s="24"/>
      <c r="S232" s="24"/>
      <c r="T232" s="24"/>
      <c r="U232" s="24"/>
      <c r="V232" s="24"/>
      <c r="W232" s="24"/>
      <c r="X232" s="88"/>
      <c r="AA232" s="88"/>
    </row>
    <row r="233" spans="1:27" s="18" customFormat="1" ht="11.25">
      <c r="A233" s="734">
        <f>A224+1</f>
        <v>77</v>
      </c>
      <c r="B233" s="333" t="s">
        <v>4748</v>
      </c>
      <c r="C233" s="334" t="s">
        <v>4749</v>
      </c>
      <c r="D233" s="337"/>
      <c r="E233" s="337"/>
      <c r="F233" s="337"/>
      <c r="G233" s="337"/>
      <c r="H233" s="335"/>
      <c r="I233" s="334"/>
      <c r="J233" s="334"/>
      <c r="K233" s="332"/>
      <c r="L233" s="332"/>
      <c r="M233" s="332"/>
      <c r="N233" s="332"/>
      <c r="O233" s="332"/>
      <c r="P233" s="332" t="s">
        <v>4923</v>
      </c>
      <c r="Q233" s="336" t="s">
        <v>4924</v>
      </c>
      <c r="R233" s="336"/>
      <c r="S233" s="336"/>
      <c r="T233" s="336"/>
      <c r="U233" s="336"/>
      <c r="V233" s="336"/>
      <c r="W233" s="336"/>
      <c r="X233" s="337" t="s">
        <v>4584</v>
      </c>
      <c r="AA233" s="337" t="s">
        <v>148</v>
      </c>
    </row>
    <row r="234" spans="1:27" s="18" customFormat="1" ht="11.25">
      <c r="A234" s="538"/>
      <c r="B234" s="262"/>
      <c r="C234" s="254"/>
      <c r="D234" s="88"/>
      <c r="E234" s="88"/>
      <c r="F234" s="88"/>
      <c r="G234" s="88"/>
      <c r="H234" s="149" t="s">
        <v>4749</v>
      </c>
      <c r="I234" s="252"/>
      <c r="J234" s="252"/>
      <c r="K234" s="252"/>
      <c r="L234" s="252" t="s">
        <v>4444</v>
      </c>
      <c r="M234" s="252"/>
      <c r="N234" s="252" t="s">
        <v>4467</v>
      </c>
      <c r="O234" s="252" t="s">
        <v>94</v>
      </c>
      <c r="P234" s="252"/>
      <c r="Q234" s="252"/>
      <c r="R234" s="252"/>
      <c r="S234" s="252"/>
      <c r="T234" s="252"/>
      <c r="U234" s="252"/>
      <c r="V234" s="252"/>
      <c r="W234" s="252"/>
      <c r="X234" s="88"/>
      <c r="AA234" s="88"/>
    </row>
    <row r="235" spans="1:27" s="18" customFormat="1" ht="11.25">
      <c r="A235" s="734">
        <f>A233+1</f>
        <v>78</v>
      </c>
      <c r="B235" s="333" t="s">
        <v>4750</v>
      </c>
      <c r="C235" s="334" t="s">
        <v>4751</v>
      </c>
      <c r="D235" s="337"/>
      <c r="E235" s="337"/>
      <c r="F235" s="337"/>
      <c r="G235" s="337"/>
      <c r="H235" s="335"/>
      <c r="I235" s="334"/>
      <c r="J235" s="334"/>
      <c r="K235" s="332"/>
      <c r="L235" s="332"/>
      <c r="M235" s="332"/>
      <c r="N235" s="332"/>
      <c r="O235" s="332"/>
      <c r="P235" s="332" t="s">
        <v>4932</v>
      </c>
      <c r="Q235" s="336" t="s">
        <v>4924</v>
      </c>
      <c r="R235" s="336"/>
      <c r="S235" s="336"/>
      <c r="T235" s="336" t="s">
        <v>489</v>
      </c>
      <c r="U235" s="336"/>
      <c r="V235" s="336" t="s">
        <v>4950</v>
      </c>
      <c r="W235" s="336"/>
      <c r="X235" s="337" t="s">
        <v>4584</v>
      </c>
      <c r="AA235" s="337" t="s">
        <v>148</v>
      </c>
    </row>
    <row r="236" spans="1:27" s="18" customFormat="1" ht="11.25">
      <c r="A236" s="538"/>
      <c r="B236" s="262"/>
      <c r="C236" s="254"/>
      <c r="D236" s="88"/>
      <c r="E236" s="88"/>
      <c r="F236" s="88"/>
      <c r="G236" s="88"/>
      <c r="H236" s="149" t="s">
        <v>4751</v>
      </c>
      <c r="I236" s="252"/>
      <c r="J236" s="252"/>
      <c r="K236" s="252"/>
      <c r="L236" s="252" t="s">
        <v>4444</v>
      </c>
      <c r="M236" s="252"/>
      <c r="N236" s="252" t="s">
        <v>4467</v>
      </c>
      <c r="O236" s="252" t="s">
        <v>94</v>
      </c>
      <c r="P236" s="252"/>
      <c r="Q236" s="252"/>
      <c r="R236" s="252"/>
      <c r="S236" s="252"/>
      <c r="T236" s="252"/>
      <c r="U236" s="252"/>
      <c r="V236" s="252"/>
      <c r="W236" s="252"/>
      <c r="X236" s="88"/>
      <c r="AA236" s="88"/>
    </row>
    <row r="237" spans="1:27" s="18" customFormat="1" ht="11.25">
      <c r="A237" s="734">
        <f>A235+1</f>
        <v>79</v>
      </c>
      <c r="B237" s="333" t="s">
        <v>4752</v>
      </c>
      <c r="C237" s="334" t="s">
        <v>4753</v>
      </c>
      <c r="D237" s="337"/>
      <c r="E237" s="337"/>
      <c r="F237" s="337"/>
      <c r="G237" s="337"/>
      <c r="H237" s="335"/>
      <c r="I237" s="334"/>
      <c r="J237" s="334"/>
      <c r="K237" s="332"/>
      <c r="L237" s="332"/>
      <c r="M237" s="332"/>
      <c r="N237" s="332"/>
      <c r="O237" s="332"/>
      <c r="P237" s="332" t="s">
        <v>4932</v>
      </c>
      <c r="Q237" s="336" t="s">
        <v>4924</v>
      </c>
      <c r="R237" s="336"/>
      <c r="S237" s="336"/>
      <c r="T237" s="336" t="s">
        <v>489</v>
      </c>
      <c r="U237" s="336"/>
      <c r="V237" s="336" t="s">
        <v>4950</v>
      </c>
      <c r="W237" s="336"/>
      <c r="X237" s="337" t="s">
        <v>4584</v>
      </c>
      <c r="AA237" s="337" t="s">
        <v>148</v>
      </c>
    </row>
    <row r="238" spans="1:27" s="18" customFormat="1" ht="11.25">
      <c r="A238" s="538"/>
      <c r="B238" s="262"/>
      <c r="C238" s="254"/>
      <c r="D238" s="88"/>
      <c r="E238" s="88"/>
      <c r="F238" s="88"/>
      <c r="G238" s="88"/>
      <c r="H238" s="149" t="s">
        <v>4753</v>
      </c>
      <c r="I238" s="252"/>
      <c r="J238" s="252"/>
      <c r="K238" s="252"/>
      <c r="L238" s="252" t="s">
        <v>4444</v>
      </c>
      <c r="M238" s="252"/>
      <c r="N238" s="252" t="s">
        <v>4467</v>
      </c>
      <c r="O238" s="252" t="s">
        <v>94</v>
      </c>
      <c r="P238" s="252"/>
      <c r="Q238" s="252"/>
      <c r="R238" s="252"/>
      <c r="S238" s="252"/>
      <c r="T238" s="252"/>
      <c r="U238" s="252"/>
      <c r="V238" s="252"/>
      <c r="W238" s="252"/>
      <c r="X238" s="88"/>
      <c r="AA238" s="88"/>
    </row>
    <row r="239" spans="1:27" s="18" customFormat="1" ht="11.25">
      <c r="A239" s="734">
        <f>A237+1</f>
        <v>80</v>
      </c>
      <c r="B239" s="333" t="s">
        <v>4754</v>
      </c>
      <c r="C239" s="334" t="s">
        <v>4755</v>
      </c>
      <c r="D239" s="337"/>
      <c r="E239" s="337"/>
      <c r="F239" s="337"/>
      <c r="G239" s="337"/>
      <c r="H239" s="335"/>
      <c r="I239" s="334"/>
      <c r="J239" s="334"/>
      <c r="K239" s="332"/>
      <c r="L239" s="332"/>
      <c r="M239" s="332"/>
      <c r="N239" s="332"/>
      <c r="O239" s="332"/>
      <c r="P239" s="332" t="s">
        <v>4923</v>
      </c>
      <c r="Q239" s="336" t="s">
        <v>4924</v>
      </c>
      <c r="R239" s="336"/>
      <c r="S239" s="336"/>
      <c r="T239" s="336"/>
      <c r="U239" s="336"/>
      <c r="V239" s="336"/>
      <c r="W239" s="336"/>
      <c r="X239" s="337" t="s">
        <v>4584</v>
      </c>
      <c r="AA239" s="337" t="s">
        <v>148</v>
      </c>
    </row>
    <row r="240" spans="1:27" s="18" customFormat="1" ht="11.25">
      <c r="A240" s="538"/>
      <c r="B240" s="262"/>
      <c r="C240" s="254"/>
      <c r="D240" s="88"/>
      <c r="E240" s="88"/>
      <c r="F240" s="88"/>
      <c r="G240" s="88"/>
      <c r="H240" s="149" t="s">
        <v>4755</v>
      </c>
      <c r="I240" s="252"/>
      <c r="J240" s="252"/>
      <c r="K240" s="252"/>
      <c r="L240" s="252" t="s">
        <v>4444</v>
      </c>
      <c r="M240" s="252"/>
      <c r="N240" s="252" t="s">
        <v>4467</v>
      </c>
      <c r="O240" s="252" t="s">
        <v>94</v>
      </c>
      <c r="P240" s="252"/>
      <c r="Q240" s="252"/>
      <c r="R240" s="252"/>
      <c r="S240" s="252"/>
      <c r="T240" s="252"/>
      <c r="U240" s="252"/>
      <c r="V240" s="252"/>
      <c r="W240" s="252"/>
      <c r="X240" s="88"/>
      <c r="AA240" s="88"/>
    </row>
    <row r="241" spans="1:27" s="18" customFormat="1" ht="11.25">
      <c r="A241" s="734">
        <f>A239+1</f>
        <v>81</v>
      </c>
      <c r="B241" s="333" t="s">
        <v>4756</v>
      </c>
      <c r="C241" s="334" t="s">
        <v>4757</v>
      </c>
      <c r="D241" s="337"/>
      <c r="E241" s="337"/>
      <c r="F241" s="337"/>
      <c r="G241" s="337"/>
      <c r="H241" s="335"/>
      <c r="I241" s="334"/>
      <c r="J241" s="334"/>
      <c r="K241" s="332"/>
      <c r="L241" s="332"/>
      <c r="M241" s="332"/>
      <c r="N241" s="332"/>
      <c r="O241" s="332"/>
      <c r="P241" s="332" t="s">
        <v>4932</v>
      </c>
      <c r="Q241" s="336" t="s">
        <v>4924</v>
      </c>
      <c r="R241" s="336"/>
      <c r="S241" s="336"/>
      <c r="T241" s="336" t="s">
        <v>489</v>
      </c>
      <c r="U241" s="336"/>
      <c r="V241" s="336" t="s">
        <v>4950</v>
      </c>
      <c r="W241" s="336"/>
      <c r="X241" s="337" t="s">
        <v>4584</v>
      </c>
      <c r="AA241" s="337" t="s">
        <v>148</v>
      </c>
    </row>
    <row r="242" spans="1:27" s="18" customFormat="1" ht="11.25">
      <c r="A242" s="538"/>
      <c r="B242" s="262"/>
      <c r="C242" s="254"/>
      <c r="D242" s="88"/>
      <c r="E242" s="88"/>
      <c r="F242" s="88"/>
      <c r="G242" s="88"/>
      <c r="H242" s="149" t="s">
        <v>4757</v>
      </c>
      <c r="I242" s="252"/>
      <c r="J242" s="252"/>
      <c r="K242" s="252"/>
      <c r="L242" s="252" t="s">
        <v>4444</v>
      </c>
      <c r="M242" s="252"/>
      <c r="N242" s="252" t="s">
        <v>4467</v>
      </c>
      <c r="O242" s="252" t="s">
        <v>94</v>
      </c>
      <c r="P242" s="252"/>
      <c r="Q242" s="252"/>
      <c r="R242" s="252"/>
      <c r="S242" s="252"/>
      <c r="T242" s="252"/>
      <c r="U242" s="252"/>
      <c r="V242" s="252"/>
      <c r="W242" s="252"/>
      <c r="X242" s="88"/>
      <c r="AA242" s="88"/>
    </row>
    <row r="243" spans="1:27" s="18" customFormat="1" ht="11.25">
      <c r="A243" s="734">
        <f>A241+1</f>
        <v>82</v>
      </c>
      <c r="B243" s="333" t="s">
        <v>4758</v>
      </c>
      <c r="C243" s="334" t="s">
        <v>4759</v>
      </c>
      <c r="D243" s="337"/>
      <c r="E243" s="337"/>
      <c r="F243" s="337"/>
      <c r="G243" s="337"/>
      <c r="H243" s="335"/>
      <c r="I243" s="334"/>
      <c r="J243" s="334"/>
      <c r="K243" s="332"/>
      <c r="L243" s="332"/>
      <c r="M243" s="332"/>
      <c r="N243" s="332"/>
      <c r="O243" s="332"/>
      <c r="P243" s="332" t="s">
        <v>4932</v>
      </c>
      <c r="Q243" s="336" t="s">
        <v>4924</v>
      </c>
      <c r="R243" s="336"/>
      <c r="S243" s="336"/>
      <c r="T243" s="336" t="s">
        <v>489</v>
      </c>
      <c r="U243" s="336"/>
      <c r="V243" s="336" t="s">
        <v>4950</v>
      </c>
      <c r="W243" s="336"/>
      <c r="X243" s="337" t="s">
        <v>4584</v>
      </c>
      <c r="AA243" s="337" t="s">
        <v>148</v>
      </c>
    </row>
    <row r="244" spans="1:27" s="18" customFormat="1" ht="11.25">
      <c r="A244" s="538"/>
      <c r="B244" s="262"/>
      <c r="C244" s="254"/>
      <c r="D244" s="88"/>
      <c r="E244" s="88"/>
      <c r="F244" s="88"/>
      <c r="G244" s="88"/>
      <c r="H244" s="149" t="s">
        <v>4759</v>
      </c>
      <c r="I244" s="252"/>
      <c r="J244" s="252"/>
      <c r="K244" s="252"/>
      <c r="L244" s="252" t="s">
        <v>4444</v>
      </c>
      <c r="M244" s="252"/>
      <c r="N244" s="252" t="s">
        <v>4467</v>
      </c>
      <c r="O244" s="252" t="s">
        <v>94</v>
      </c>
      <c r="P244" s="252"/>
      <c r="Q244" s="252"/>
      <c r="R244" s="252"/>
      <c r="S244" s="252"/>
      <c r="T244" s="252"/>
      <c r="U244" s="252"/>
      <c r="V244" s="252"/>
      <c r="W244" s="252"/>
      <c r="X244" s="88"/>
      <c r="AA244" s="88"/>
    </row>
    <row r="245" spans="1:27" s="18" customFormat="1" ht="11.25">
      <c r="A245" s="734">
        <f>A243+1</f>
        <v>83</v>
      </c>
      <c r="B245" s="333" t="s">
        <v>4760</v>
      </c>
      <c r="C245" s="334" t="s">
        <v>4761</v>
      </c>
      <c r="D245" s="337"/>
      <c r="E245" s="337"/>
      <c r="F245" s="337"/>
      <c r="G245" s="337"/>
      <c r="H245" s="335"/>
      <c r="I245" s="334"/>
      <c r="J245" s="334"/>
      <c r="K245" s="332"/>
      <c r="L245" s="332"/>
      <c r="M245" s="332"/>
      <c r="N245" s="332"/>
      <c r="O245" s="332"/>
      <c r="P245" s="332" t="s">
        <v>4923</v>
      </c>
      <c r="Q245" s="336" t="s">
        <v>4924</v>
      </c>
      <c r="R245" s="336"/>
      <c r="S245" s="336"/>
      <c r="T245" s="336"/>
      <c r="U245" s="336"/>
      <c r="V245" s="336"/>
      <c r="W245" s="336"/>
      <c r="X245" s="337" t="s">
        <v>4584</v>
      </c>
      <c r="AA245" s="337" t="s">
        <v>148</v>
      </c>
    </row>
    <row r="246" spans="1:27" s="18" customFormat="1" ht="11.25">
      <c r="A246" s="538"/>
      <c r="B246" s="262"/>
      <c r="C246" s="254"/>
      <c r="D246" s="88"/>
      <c r="E246" s="88"/>
      <c r="F246" s="88"/>
      <c r="G246" s="88"/>
      <c r="H246" s="149" t="s">
        <v>4761</v>
      </c>
      <c r="I246" s="252"/>
      <c r="J246" s="252"/>
      <c r="K246" s="252"/>
      <c r="L246" s="252" t="s">
        <v>4444</v>
      </c>
      <c r="M246" s="252"/>
      <c r="N246" s="252" t="s">
        <v>4467</v>
      </c>
      <c r="O246" s="252" t="s">
        <v>94</v>
      </c>
      <c r="P246" s="252"/>
      <c r="Q246" s="252"/>
      <c r="R246" s="252"/>
      <c r="S246" s="252"/>
      <c r="T246" s="252"/>
      <c r="U246" s="252"/>
      <c r="V246" s="252"/>
      <c r="W246" s="252"/>
      <c r="X246" s="88"/>
      <c r="AA246" s="88"/>
    </row>
    <row r="247" spans="1:27" s="18" customFormat="1" ht="11.25">
      <c r="A247" s="734">
        <f>A245+1</f>
        <v>84</v>
      </c>
      <c r="B247" s="333" t="s">
        <v>4762</v>
      </c>
      <c r="C247" s="334" t="s">
        <v>4763</v>
      </c>
      <c r="D247" s="337"/>
      <c r="E247" s="337"/>
      <c r="F247" s="337"/>
      <c r="G247" s="337"/>
      <c r="H247" s="335"/>
      <c r="I247" s="334"/>
      <c r="J247" s="334"/>
      <c r="K247" s="332"/>
      <c r="L247" s="332"/>
      <c r="M247" s="332"/>
      <c r="N247" s="332"/>
      <c r="O247" s="332"/>
      <c r="P247" s="332" t="s">
        <v>4932</v>
      </c>
      <c r="Q247" s="336" t="s">
        <v>4924</v>
      </c>
      <c r="R247" s="336"/>
      <c r="S247" s="336"/>
      <c r="T247" s="336" t="s">
        <v>489</v>
      </c>
      <c r="U247" s="336"/>
      <c r="V247" s="336" t="s">
        <v>4950</v>
      </c>
      <c r="W247" s="336"/>
      <c r="X247" s="337" t="s">
        <v>4584</v>
      </c>
      <c r="AA247" s="337" t="s">
        <v>148</v>
      </c>
    </row>
    <row r="248" spans="1:27" s="18" customFormat="1" ht="11.25">
      <c r="A248" s="538"/>
      <c r="B248" s="262"/>
      <c r="C248" s="254"/>
      <c r="D248" s="88"/>
      <c r="E248" s="88"/>
      <c r="F248" s="88"/>
      <c r="G248" s="88"/>
      <c r="H248" s="149" t="s">
        <v>4763</v>
      </c>
      <c r="I248" s="252"/>
      <c r="J248" s="252"/>
      <c r="K248" s="252"/>
      <c r="L248" s="252" t="s">
        <v>4444</v>
      </c>
      <c r="M248" s="252"/>
      <c r="N248" s="252" t="s">
        <v>4467</v>
      </c>
      <c r="O248" s="252" t="s">
        <v>94</v>
      </c>
      <c r="P248" s="252"/>
      <c r="Q248" s="252"/>
      <c r="R248" s="252"/>
      <c r="S248" s="252"/>
      <c r="T248" s="252"/>
      <c r="U248" s="252"/>
      <c r="V248" s="252"/>
      <c r="W248" s="252"/>
      <c r="X248" s="88"/>
      <c r="AA248" s="88"/>
    </row>
    <row r="249" spans="1:27" s="18" customFormat="1" ht="11.25">
      <c r="A249" s="734">
        <f>A247+1</f>
        <v>85</v>
      </c>
      <c r="B249" s="333" t="s">
        <v>4764</v>
      </c>
      <c r="C249" s="334" t="s">
        <v>4765</v>
      </c>
      <c r="D249" s="337"/>
      <c r="E249" s="337"/>
      <c r="F249" s="337"/>
      <c r="G249" s="337"/>
      <c r="H249" s="335"/>
      <c r="I249" s="334"/>
      <c r="J249" s="334"/>
      <c r="K249" s="332"/>
      <c r="L249" s="332"/>
      <c r="M249" s="332"/>
      <c r="N249" s="332"/>
      <c r="O249" s="332"/>
      <c r="P249" s="332" t="s">
        <v>4932</v>
      </c>
      <c r="Q249" s="336" t="s">
        <v>4924</v>
      </c>
      <c r="R249" s="336"/>
      <c r="S249" s="336"/>
      <c r="T249" s="336" t="s">
        <v>489</v>
      </c>
      <c r="U249" s="336"/>
      <c r="V249" s="336" t="s">
        <v>4950</v>
      </c>
      <c r="W249" s="336"/>
      <c r="X249" s="337" t="s">
        <v>4584</v>
      </c>
      <c r="AA249" s="337" t="s">
        <v>148</v>
      </c>
    </row>
    <row r="250" spans="1:27" s="18" customFormat="1" ht="11.25">
      <c r="A250" s="538"/>
      <c r="B250" s="262"/>
      <c r="C250" s="254"/>
      <c r="D250" s="88"/>
      <c r="E250" s="88"/>
      <c r="F250" s="88"/>
      <c r="G250" s="88"/>
      <c r="H250" s="149" t="s">
        <v>4765</v>
      </c>
      <c r="I250" s="252"/>
      <c r="J250" s="252"/>
      <c r="K250" s="252"/>
      <c r="L250" s="252" t="s">
        <v>4444</v>
      </c>
      <c r="M250" s="252"/>
      <c r="N250" s="252" t="s">
        <v>4467</v>
      </c>
      <c r="O250" s="252" t="s">
        <v>94</v>
      </c>
      <c r="P250" s="252"/>
      <c r="Q250" s="252"/>
      <c r="R250" s="252"/>
      <c r="S250" s="252"/>
      <c r="T250" s="252"/>
      <c r="U250" s="252"/>
      <c r="V250" s="252"/>
      <c r="W250" s="252"/>
      <c r="X250" s="88"/>
      <c r="AA250" s="88"/>
    </row>
    <row r="251" spans="1:27" s="18" customFormat="1" ht="11.25">
      <c r="A251" s="734">
        <f>A249+1</f>
        <v>86</v>
      </c>
      <c r="B251" s="333" t="s">
        <v>4766</v>
      </c>
      <c r="C251" s="334" t="s">
        <v>4767</v>
      </c>
      <c r="D251" s="337"/>
      <c r="E251" s="337"/>
      <c r="F251" s="337"/>
      <c r="G251" s="337"/>
      <c r="H251" s="335"/>
      <c r="I251" s="334"/>
      <c r="J251" s="334"/>
      <c r="K251" s="332"/>
      <c r="L251" s="332"/>
      <c r="M251" s="332"/>
      <c r="N251" s="332"/>
      <c r="O251" s="332"/>
      <c r="P251" s="332" t="s">
        <v>4923</v>
      </c>
      <c r="Q251" s="336" t="s">
        <v>4924</v>
      </c>
      <c r="R251" s="336"/>
      <c r="S251" s="336"/>
      <c r="T251" s="336"/>
      <c r="U251" s="336"/>
      <c r="V251" s="336"/>
      <c r="W251" s="336"/>
      <c r="X251" s="337" t="s">
        <v>4584</v>
      </c>
      <c r="AA251" s="337" t="s">
        <v>148</v>
      </c>
    </row>
    <row r="252" spans="1:27" s="18" customFormat="1" ht="11.25">
      <c r="A252" s="538"/>
      <c r="B252" s="262"/>
      <c r="C252" s="254"/>
      <c r="D252" s="88"/>
      <c r="E252" s="88"/>
      <c r="F252" s="88"/>
      <c r="G252" s="88"/>
      <c r="H252" s="149" t="s">
        <v>4767</v>
      </c>
      <c r="I252" s="252"/>
      <c r="J252" s="252"/>
      <c r="K252" s="252"/>
      <c r="L252" s="252" t="s">
        <v>4444</v>
      </c>
      <c r="M252" s="252"/>
      <c r="N252" s="252" t="s">
        <v>4467</v>
      </c>
      <c r="O252" s="252" t="s">
        <v>94</v>
      </c>
      <c r="P252" s="252"/>
      <c r="Q252" s="252"/>
      <c r="R252" s="252"/>
      <c r="S252" s="252"/>
      <c r="T252" s="252"/>
      <c r="U252" s="252"/>
      <c r="V252" s="252"/>
      <c r="W252" s="252"/>
      <c r="X252" s="88"/>
      <c r="AA252" s="88"/>
    </row>
    <row r="253" spans="1:27" s="18" customFormat="1" ht="11.25">
      <c r="A253" s="734">
        <f>A251+1</f>
        <v>87</v>
      </c>
      <c r="B253" s="333" t="s">
        <v>4768</v>
      </c>
      <c r="C253" s="334" t="s">
        <v>4769</v>
      </c>
      <c r="D253" s="337"/>
      <c r="E253" s="337"/>
      <c r="F253" s="337"/>
      <c r="G253" s="337"/>
      <c r="H253" s="335"/>
      <c r="I253" s="334"/>
      <c r="J253" s="334"/>
      <c r="K253" s="332"/>
      <c r="L253" s="332"/>
      <c r="M253" s="332"/>
      <c r="N253" s="332"/>
      <c r="O253" s="332"/>
      <c r="P253" s="332" t="s">
        <v>4932</v>
      </c>
      <c r="Q253" s="336" t="s">
        <v>4924</v>
      </c>
      <c r="R253" s="336"/>
      <c r="S253" s="336"/>
      <c r="T253" s="336" t="s">
        <v>489</v>
      </c>
      <c r="U253" s="336"/>
      <c r="V253" s="336" t="s">
        <v>4950</v>
      </c>
      <c r="W253" s="336"/>
      <c r="X253" s="337" t="s">
        <v>4584</v>
      </c>
      <c r="AA253" s="337" t="s">
        <v>148</v>
      </c>
    </row>
    <row r="254" spans="1:27" s="18" customFormat="1" ht="11.25">
      <c r="A254" s="538"/>
      <c r="B254" s="262"/>
      <c r="C254" s="254"/>
      <c r="D254" s="88"/>
      <c r="E254" s="88"/>
      <c r="F254" s="88"/>
      <c r="G254" s="88"/>
      <c r="H254" s="149" t="s">
        <v>4769</v>
      </c>
      <c r="I254" s="252"/>
      <c r="J254" s="252"/>
      <c r="K254" s="252"/>
      <c r="L254" s="252" t="s">
        <v>4444</v>
      </c>
      <c r="M254" s="252"/>
      <c r="N254" s="252" t="s">
        <v>4467</v>
      </c>
      <c r="O254" s="252" t="s">
        <v>94</v>
      </c>
      <c r="P254" s="252"/>
      <c r="Q254" s="252"/>
      <c r="R254" s="252"/>
      <c r="S254" s="252"/>
      <c r="T254" s="252"/>
      <c r="U254" s="252"/>
      <c r="V254" s="252"/>
      <c r="W254" s="252"/>
      <c r="X254" s="88"/>
      <c r="AA254" s="88"/>
    </row>
    <row r="255" spans="1:27" s="18" customFormat="1" ht="11.25">
      <c r="A255" s="734">
        <f>A253+1</f>
        <v>88</v>
      </c>
      <c r="B255" s="333" t="s">
        <v>4770</v>
      </c>
      <c r="C255" s="334" t="s">
        <v>4771</v>
      </c>
      <c r="D255" s="337"/>
      <c r="E255" s="337"/>
      <c r="F255" s="337"/>
      <c r="G255" s="337"/>
      <c r="H255" s="335"/>
      <c r="I255" s="334"/>
      <c r="J255" s="334"/>
      <c r="K255" s="332"/>
      <c r="L255" s="332"/>
      <c r="M255" s="332"/>
      <c r="N255" s="332"/>
      <c r="O255" s="332"/>
      <c r="P255" s="332" t="s">
        <v>4932</v>
      </c>
      <c r="Q255" s="336" t="s">
        <v>4924</v>
      </c>
      <c r="R255" s="336"/>
      <c r="S255" s="336"/>
      <c r="T255" s="336" t="s">
        <v>489</v>
      </c>
      <c r="U255" s="336"/>
      <c r="V255" s="336" t="s">
        <v>4950</v>
      </c>
      <c r="W255" s="336"/>
      <c r="X255" s="337" t="s">
        <v>4584</v>
      </c>
      <c r="AA255" s="337" t="s">
        <v>148</v>
      </c>
    </row>
    <row r="256" spans="1:27" s="18" customFormat="1" ht="11.25">
      <c r="A256" s="538"/>
      <c r="B256" s="262"/>
      <c r="C256" s="254"/>
      <c r="D256" s="88"/>
      <c r="E256" s="88"/>
      <c r="F256" s="88"/>
      <c r="G256" s="88"/>
      <c r="H256" s="149" t="s">
        <v>4771</v>
      </c>
      <c r="I256" s="252"/>
      <c r="J256" s="252"/>
      <c r="K256" s="252"/>
      <c r="L256" s="252" t="s">
        <v>4444</v>
      </c>
      <c r="M256" s="252"/>
      <c r="N256" s="252" t="s">
        <v>4467</v>
      </c>
      <c r="O256" s="252" t="s">
        <v>94</v>
      </c>
      <c r="P256" s="252"/>
      <c r="Q256" s="252"/>
      <c r="R256" s="252"/>
      <c r="S256" s="252"/>
      <c r="T256" s="252"/>
      <c r="U256" s="252"/>
      <c r="V256" s="252"/>
      <c r="W256" s="252"/>
      <c r="X256" s="88"/>
      <c r="AA256" s="88"/>
    </row>
    <row r="257" spans="1:27" s="607" customFormat="1" ht="15">
      <c r="A257" s="734">
        <f>A255+1</f>
        <v>89</v>
      </c>
      <c r="B257" s="38" t="s">
        <v>5131</v>
      </c>
      <c r="C257" s="674" t="s">
        <v>4780</v>
      </c>
      <c r="D257" s="675" t="s">
        <v>1902</v>
      </c>
      <c r="E257" s="675"/>
      <c r="F257" s="675"/>
      <c r="G257" s="675"/>
      <c r="H257" s="676"/>
      <c r="I257" s="677"/>
      <c r="J257" s="677"/>
      <c r="K257" s="675"/>
      <c r="L257" s="675"/>
      <c r="M257" s="675"/>
      <c r="N257" s="678"/>
      <c r="O257" s="678"/>
      <c r="P257" s="679" t="s">
        <v>5010</v>
      </c>
      <c r="Q257" s="680" t="s">
        <v>489</v>
      </c>
      <c r="R257" s="681"/>
      <c r="S257" s="682"/>
      <c r="T257" s="332" t="s">
        <v>478</v>
      </c>
      <c r="U257" s="332"/>
      <c r="V257" s="332" t="s">
        <v>479</v>
      </c>
      <c r="W257" s="683"/>
      <c r="X257" s="684" t="s">
        <v>4773</v>
      </c>
      <c r="AA257" s="337" t="s">
        <v>148</v>
      </c>
    </row>
    <row r="258" spans="1:27" s="607" customFormat="1" ht="22.5">
      <c r="A258" s="736"/>
      <c r="B258" s="608"/>
      <c r="C258" s="601"/>
      <c r="D258" s="604"/>
      <c r="E258" s="604" t="s">
        <v>30</v>
      </c>
      <c r="F258" s="604" t="s">
        <v>46</v>
      </c>
      <c r="G258" s="604" t="s">
        <v>30</v>
      </c>
      <c r="H258" s="605" t="s">
        <v>5132</v>
      </c>
      <c r="I258" s="604"/>
      <c r="J258" s="604"/>
      <c r="K258" s="604"/>
      <c r="L258" s="609" t="s">
        <v>5133</v>
      </c>
      <c r="M258" s="610" t="s">
        <v>5134</v>
      </c>
      <c r="N258" s="604" t="s">
        <v>33</v>
      </c>
      <c r="O258" s="604" t="s">
        <v>30</v>
      </c>
      <c r="P258" s="611"/>
      <c r="Q258" s="612"/>
      <c r="R258" s="611"/>
      <c r="S258" s="604"/>
      <c r="T258" s="604"/>
      <c r="U258" s="604"/>
      <c r="V258" s="604"/>
      <c r="W258" s="613"/>
      <c r="X258" s="606"/>
      <c r="AA258" s="149"/>
    </row>
    <row r="259" spans="1:27" s="607" customFormat="1" ht="22.5">
      <c r="A259" s="736"/>
      <c r="B259" s="608"/>
      <c r="C259" s="601"/>
      <c r="D259" s="604"/>
      <c r="E259" s="604" t="s">
        <v>33</v>
      </c>
      <c r="F259" s="604" t="s">
        <v>103</v>
      </c>
      <c r="G259" s="604" t="s">
        <v>1847</v>
      </c>
      <c r="H259" s="605" t="s">
        <v>5135</v>
      </c>
      <c r="I259" s="604"/>
      <c r="J259" s="604"/>
      <c r="K259" s="604"/>
      <c r="L259" s="609" t="s">
        <v>5133</v>
      </c>
      <c r="M259" s="610" t="s">
        <v>5136</v>
      </c>
      <c r="N259" s="614" t="s">
        <v>33</v>
      </c>
      <c r="O259" s="604" t="s">
        <v>30</v>
      </c>
      <c r="P259" s="611"/>
      <c r="Q259" s="612"/>
      <c r="R259" s="611"/>
      <c r="S259" s="604"/>
      <c r="T259" s="604"/>
      <c r="U259" s="604"/>
      <c r="V259" s="604"/>
      <c r="W259" s="613"/>
      <c r="X259" s="606"/>
      <c r="AA259" s="149"/>
    </row>
    <row r="260" spans="1:27" s="607" customFormat="1" ht="22.5">
      <c r="A260" s="736"/>
      <c r="B260" s="608"/>
      <c r="C260" s="601"/>
      <c r="D260" s="604"/>
      <c r="E260" s="604" t="s">
        <v>36</v>
      </c>
      <c r="F260" s="604" t="s">
        <v>1989</v>
      </c>
      <c r="G260" s="604" t="s">
        <v>1923</v>
      </c>
      <c r="H260" s="605" t="s">
        <v>204</v>
      </c>
      <c r="I260" s="604"/>
      <c r="J260" s="604"/>
      <c r="K260" s="604"/>
      <c r="L260" s="609" t="s">
        <v>5133</v>
      </c>
      <c r="M260" s="610" t="s">
        <v>5137</v>
      </c>
      <c r="N260" s="614" t="s">
        <v>33</v>
      </c>
      <c r="O260" s="604" t="s">
        <v>30</v>
      </c>
      <c r="P260" s="611"/>
      <c r="Q260" s="612"/>
      <c r="R260" s="611"/>
      <c r="S260" s="604"/>
      <c r="T260" s="604"/>
      <c r="U260" s="604"/>
      <c r="V260" s="604"/>
      <c r="W260" s="613"/>
      <c r="X260" s="606"/>
      <c r="AA260" s="149"/>
    </row>
    <row r="261" spans="1:27" s="607" customFormat="1" ht="15">
      <c r="A261" s="736"/>
      <c r="B261" s="608"/>
      <c r="C261" s="601"/>
      <c r="D261" s="604"/>
      <c r="E261" s="604" t="s">
        <v>38</v>
      </c>
      <c r="F261" s="604" t="s">
        <v>2021</v>
      </c>
      <c r="G261" s="604" t="s">
        <v>1993</v>
      </c>
      <c r="H261" s="605" t="s">
        <v>5138</v>
      </c>
      <c r="I261" s="604"/>
      <c r="J261" s="604"/>
      <c r="K261" s="604"/>
      <c r="L261" s="609" t="s">
        <v>5133</v>
      </c>
      <c r="M261" s="610"/>
      <c r="N261" s="614" t="s">
        <v>33</v>
      </c>
      <c r="O261" s="604" t="s">
        <v>30</v>
      </c>
      <c r="P261" s="611"/>
      <c r="Q261" s="612"/>
      <c r="R261" s="611"/>
      <c r="S261" s="604"/>
      <c r="T261" s="604"/>
      <c r="U261" s="604"/>
      <c r="V261" s="604"/>
      <c r="W261" s="613"/>
      <c r="X261" s="606"/>
      <c r="AA261" s="149"/>
    </row>
    <row r="262" spans="1:27" s="607" customFormat="1" ht="15">
      <c r="A262" s="736"/>
      <c r="B262" s="608"/>
      <c r="C262" s="601"/>
      <c r="D262" s="604"/>
      <c r="E262" s="604" t="s">
        <v>40</v>
      </c>
      <c r="F262" s="604" t="s">
        <v>2102</v>
      </c>
      <c r="G262" s="604" t="s">
        <v>2418</v>
      </c>
      <c r="H262" s="605" t="s">
        <v>5139</v>
      </c>
      <c r="I262" s="604"/>
      <c r="J262" s="604"/>
      <c r="K262" s="604"/>
      <c r="L262" s="609" t="s">
        <v>5133</v>
      </c>
      <c r="M262" s="610"/>
      <c r="N262" s="614" t="s">
        <v>33</v>
      </c>
      <c r="O262" s="604" t="s">
        <v>30</v>
      </c>
      <c r="P262" s="615"/>
      <c r="Q262" s="616"/>
      <c r="R262" s="615"/>
      <c r="S262" s="617"/>
      <c r="T262" s="604"/>
      <c r="U262" s="604"/>
      <c r="V262" s="604"/>
      <c r="W262" s="613"/>
      <c r="X262" s="606"/>
      <c r="AA262" s="149"/>
    </row>
    <row r="263" spans="1:27" s="607" customFormat="1" ht="15">
      <c r="A263" s="734">
        <f>A257+1</f>
        <v>90</v>
      </c>
      <c r="B263" s="38" t="s">
        <v>5140</v>
      </c>
      <c r="C263" s="674" t="s">
        <v>4782</v>
      </c>
      <c r="D263" s="675" t="s">
        <v>3001</v>
      </c>
      <c r="E263" s="675"/>
      <c r="F263" s="675"/>
      <c r="G263" s="675"/>
      <c r="H263" s="676"/>
      <c r="I263" s="677"/>
      <c r="J263" s="677"/>
      <c r="K263" s="675"/>
      <c r="L263" s="675"/>
      <c r="M263" s="675"/>
      <c r="N263" s="678"/>
      <c r="O263" s="678"/>
      <c r="P263" s="685" t="s">
        <v>4923</v>
      </c>
      <c r="Q263" s="680" t="s">
        <v>489</v>
      </c>
      <c r="R263" s="686"/>
      <c r="S263" s="682"/>
      <c r="T263" s="682"/>
      <c r="U263" s="682"/>
      <c r="V263" s="682"/>
      <c r="W263" s="683"/>
      <c r="X263" s="684" t="s">
        <v>4773</v>
      </c>
      <c r="AA263" s="337" t="s">
        <v>148</v>
      </c>
    </row>
    <row r="264" spans="1:27" s="607" customFormat="1" ht="22.5">
      <c r="A264" s="736"/>
      <c r="B264" s="608"/>
      <c r="C264" s="601"/>
      <c r="D264" s="604"/>
      <c r="E264" s="604" t="s">
        <v>30</v>
      </c>
      <c r="F264" s="604" t="s">
        <v>46</v>
      </c>
      <c r="G264" s="604" t="s">
        <v>30</v>
      </c>
      <c r="H264" s="605" t="s">
        <v>5135</v>
      </c>
      <c r="I264" s="604"/>
      <c r="J264" s="604"/>
      <c r="K264" s="604"/>
      <c r="L264" s="609" t="s">
        <v>5133</v>
      </c>
      <c r="M264" s="610" t="s">
        <v>5141</v>
      </c>
      <c r="N264" s="618" t="s">
        <v>33</v>
      </c>
      <c r="O264" s="604" t="s">
        <v>30</v>
      </c>
      <c r="P264" s="615"/>
      <c r="Q264" s="616"/>
      <c r="R264" s="615"/>
      <c r="S264" s="617"/>
      <c r="T264" s="604"/>
      <c r="U264" s="604"/>
      <c r="V264" s="604"/>
      <c r="W264" s="613"/>
      <c r="X264" s="606"/>
      <c r="AA264" s="149"/>
    </row>
    <row r="265" spans="1:27" s="607" customFormat="1" ht="22.5">
      <c r="A265" s="736"/>
      <c r="B265" s="608"/>
      <c r="C265" s="601"/>
      <c r="D265" s="604"/>
      <c r="E265" s="604" t="s">
        <v>33</v>
      </c>
      <c r="F265" s="604" t="s">
        <v>103</v>
      </c>
      <c r="G265" s="604" t="s">
        <v>1847</v>
      </c>
      <c r="H265" s="605" t="s">
        <v>204</v>
      </c>
      <c r="I265" s="604"/>
      <c r="J265" s="604"/>
      <c r="K265" s="604"/>
      <c r="L265" s="609" t="s">
        <v>5133</v>
      </c>
      <c r="M265" s="610" t="s">
        <v>5137</v>
      </c>
      <c r="N265" s="618" t="s">
        <v>33</v>
      </c>
      <c r="O265" s="604" t="s">
        <v>30</v>
      </c>
      <c r="P265" s="615"/>
      <c r="Q265" s="616"/>
      <c r="R265" s="615"/>
      <c r="S265" s="617"/>
      <c r="T265" s="604"/>
      <c r="U265" s="604"/>
      <c r="V265" s="604"/>
      <c r="W265" s="613"/>
      <c r="X265" s="606"/>
      <c r="AA265" s="149"/>
    </row>
    <row r="266" spans="1:27" s="607" customFormat="1" ht="15">
      <c r="A266" s="736"/>
      <c r="B266" s="608"/>
      <c r="C266" s="601"/>
      <c r="D266" s="604"/>
      <c r="E266" s="604" t="s">
        <v>36</v>
      </c>
      <c r="F266" s="604" t="s">
        <v>1989</v>
      </c>
      <c r="G266" s="604" t="s">
        <v>1923</v>
      </c>
      <c r="H266" s="605" t="s">
        <v>5138</v>
      </c>
      <c r="I266" s="604"/>
      <c r="J266" s="604"/>
      <c r="K266" s="604"/>
      <c r="L266" s="609" t="s">
        <v>5133</v>
      </c>
      <c r="M266" s="610"/>
      <c r="N266" s="618" t="s">
        <v>1786</v>
      </c>
      <c r="O266" s="604" t="s">
        <v>30</v>
      </c>
      <c r="P266" s="615"/>
      <c r="Q266" s="616"/>
      <c r="R266" s="615"/>
      <c r="S266" s="617"/>
      <c r="T266" s="604"/>
      <c r="U266" s="604"/>
      <c r="V266" s="604"/>
      <c r="W266" s="613"/>
      <c r="X266" s="606"/>
      <c r="AA266" s="149"/>
    </row>
    <row r="267" spans="1:27" s="607" customFormat="1" ht="15">
      <c r="A267" s="736"/>
      <c r="B267" s="608"/>
      <c r="C267" s="601"/>
      <c r="D267" s="604"/>
      <c r="E267" s="604" t="s">
        <v>38</v>
      </c>
      <c r="F267" s="604" t="s">
        <v>2021</v>
      </c>
      <c r="G267" s="604" t="s">
        <v>2382</v>
      </c>
      <c r="H267" s="605" t="s">
        <v>5142</v>
      </c>
      <c r="I267" s="604"/>
      <c r="J267" s="604"/>
      <c r="K267" s="604"/>
      <c r="L267" s="609" t="s">
        <v>5133</v>
      </c>
      <c r="M267" s="610"/>
      <c r="N267" s="618" t="s">
        <v>1786</v>
      </c>
      <c r="O267" s="604" t="s">
        <v>30</v>
      </c>
      <c r="P267" s="615"/>
      <c r="Q267" s="616"/>
      <c r="R267" s="615"/>
      <c r="S267" s="617"/>
      <c r="T267" s="604"/>
      <c r="U267" s="604"/>
      <c r="V267" s="604"/>
      <c r="W267" s="613"/>
      <c r="X267" s="606"/>
      <c r="AA267" s="149"/>
    </row>
    <row r="268" spans="1:27" s="607" customFormat="1" ht="22.5">
      <c r="A268" s="736"/>
      <c r="B268" s="608"/>
      <c r="C268" s="601"/>
      <c r="D268" s="604"/>
      <c r="E268" s="604" t="s">
        <v>1891</v>
      </c>
      <c r="F268" s="604" t="s">
        <v>2450</v>
      </c>
      <c r="G268" s="604" t="s">
        <v>2418</v>
      </c>
      <c r="H268" s="605" t="s">
        <v>5135</v>
      </c>
      <c r="I268" s="604"/>
      <c r="J268" s="604"/>
      <c r="K268" s="604"/>
      <c r="L268" s="609" t="s">
        <v>5133</v>
      </c>
      <c r="M268" s="610" t="s">
        <v>5141</v>
      </c>
      <c r="N268" s="618" t="s">
        <v>1786</v>
      </c>
      <c r="O268" s="604" t="s">
        <v>30</v>
      </c>
      <c r="P268" s="615"/>
      <c r="Q268" s="616"/>
      <c r="R268" s="615"/>
      <c r="S268" s="617"/>
      <c r="T268" s="604"/>
      <c r="U268" s="604"/>
      <c r="V268" s="604"/>
      <c r="W268" s="613"/>
      <c r="X268" s="606"/>
      <c r="AA268" s="149"/>
    </row>
    <row r="269" spans="1:27" s="607" customFormat="1" ht="22.5">
      <c r="A269" s="736"/>
      <c r="B269" s="608"/>
      <c r="C269" s="601"/>
      <c r="D269" s="604"/>
      <c r="E269" s="604" t="s">
        <v>1902</v>
      </c>
      <c r="F269" s="604" t="s">
        <v>2521</v>
      </c>
      <c r="G269" s="604" t="s">
        <v>2453</v>
      </c>
      <c r="H269" s="605" t="s">
        <v>204</v>
      </c>
      <c r="I269" s="604"/>
      <c r="J269" s="604"/>
      <c r="K269" s="604"/>
      <c r="L269" s="609" t="s">
        <v>5133</v>
      </c>
      <c r="M269" s="610" t="s">
        <v>5137</v>
      </c>
      <c r="N269" s="618" t="s">
        <v>1786</v>
      </c>
      <c r="O269" s="604" t="s">
        <v>30</v>
      </c>
      <c r="P269" s="615"/>
      <c r="Q269" s="616"/>
      <c r="R269" s="615"/>
      <c r="S269" s="617"/>
      <c r="T269" s="604"/>
      <c r="U269" s="604"/>
      <c r="V269" s="604"/>
      <c r="W269" s="613"/>
      <c r="X269" s="606"/>
      <c r="AA269" s="149"/>
    </row>
    <row r="270" spans="1:27" s="607" customFormat="1" ht="15">
      <c r="A270" s="736"/>
      <c r="B270" s="608"/>
      <c r="C270" s="601"/>
      <c r="D270" s="604"/>
      <c r="E270" s="604" t="s">
        <v>103</v>
      </c>
      <c r="F270" s="604" t="s">
        <v>2567</v>
      </c>
      <c r="G270" s="604" t="s">
        <v>2527</v>
      </c>
      <c r="H270" s="605" t="s">
        <v>5138</v>
      </c>
      <c r="I270" s="604"/>
      <c r="J270" s="604"/>
      <c r="K270" s="604"/>
      <c r="L270" s="609" t="s">
        <v>5133</v>
      </c>
      <c r="M270" s="610"/>
      <c r="N270" s="618" t="s">
        <v>1786</v>
      </c>
      <c r="O270" s="604" t="s">
        <v>30</v>
      </c>
      <c r="P270" s="615"/>
      <c r="Q270" s="616"/>
      <c r="R270" s="615"/>
      <c r="S270" s="617"/>
      <c r="T270" s="604"/>
      <c r="U270" s="604"/>
      <c r="V270" s="604"/>
      <c r="W270" s="613"/>
      <c r="X270" s="606"/>
      <c r="AA270" s="149"/>
    </row>
    <row r="271" spans="1:27" s="607" customFormat="1" ht="15">
      <c r="A271" s="736"/>
      <c r="B271" s="608"/>
      <c r="C271" s="601"/>
      <c r="D271" s="604"/>
      <c r="E271" s="604" t="s">
        <v>1923</v>
      </c>
      <c r="F271" s="604" t="s">
        <v>2601</v>
      </c>
      <c r="G271" s="604" t="s">
        <v>3174</v>
      </c>
      <c r="H271" s="605" t="s">
        <v>5143</v>
      </c>
      <c r="I271" s="604"/>
      <c r="J271" s="604"/>
      <c r="K271" s="604"/>
      <c r="L271" s="609" t="s">
        <v>5133</v>
      </c>
      <c r="M271" s="610"/>
      <c r="N271" s="618" t="s">
        <v>1786</v>
      </c>
      <c r="O271" s="604" t="s">
        <v>30</v>
      </c>
      <c r="P271" s="615"/>
      <c r="Q271" s="616"/>
      <c r="R271" s="615"/>
      <c r="S271" s="617"/>
      <c r="T271" s="604"/>
      <c r="U271" s="604"/>
      <c r="V271" s="604"/>
      <c r="W271" s="613"/>
      <c r="X271" s="606"/>
      <c r="AA271" s="149"/>
    </row>
    <row r="272" spans="1:27" s="607" customFormat="1" ht="22.5">
      <c r="A272" s="736"/>
      <c r="B272" s="608"/>
      <c r="C272" s="601"/>
      <c r="D272" s="604"/>
      <c r="E272" s="604" t="s">
        <v>2001</v>
      </c>
      <c r="F272" s="604" t="s">
        <v>3329</v>
      </c>
      <c r="G272" s="604" t="s">
        <v>3245</v>
      </c>
      <c r="H272" s="605" t="s">
        <v>5135</v>
      </c>
      <c r="I272" s="604"/>
      <c r="J272" s="604"/>
      <c r="K272" s="604"/>
      <c r="L272" s="609" t="s">
        <v>5133</v>
      </c>
      <c r="M272" s="610" t="s">
        <v>5141</v>
      </c>
      <c r="N272" s="618" t="s">
        <v>1786</v>
      </c>
      <c r="O272" s="604" t="s">
        <v>30</v>
      </c>
      <c r="P272" s="615"/>
      <c r="Q272" s="616"/>
      <c r="R272" s="615"/>
      <c r="S272" s="617"/>
      <c r="T272" s="604"/>
      <c r="U272" s="604"/>
      <c r="V272" s="604"/>
      <c r="W272" s="613"/>
      <c r="X272" s="606"/>
      <c r="AA272" s="149"/>
    </row>
    <row r="273" spans="1:27" s="607" customFormat="1" ht="22.5">
      <c r="A273" s="736"/>
      <c r="B273" s="608"/>
      <c r="C273" s="601"/>
      <c r="D273" s="604"/>
      <c r="E273" s="604" t="s">
        <v>2005</v>
      </c>
      <c r="F273" s="604" t="s">
        <v>3402</v>
      </c>
      <c r="G273" s="604" t="s">
        <v>3335</v>
      </c>
      <c r="H273" s="605" t="s">
        <v>204</v>
      </c>
      <c r="I273" s="604"/>
      <c r="J273" s="604"/>
      <c r="K273" s="604"/>
      <c r="L273" s="609" t="s">
        <v>5133</v>
      </c>
      <c r="M273" s="610" t="s">
        <v>5137</v>
      </c>
      <c r="N273" s="618" t="s">
        <v>1786</v>
      </c>
      <c r="O273" s="604" t="s">
        <v>30</v>
      </c>
      <c r="P273" s="615"/>
      <c r="Q273" s="616"/>
      <c r="R273" s="615"/>
      <c r="S273" s="617"/>
      <c r="T273" s="604"/>
      <c r="U273" s="604"/>
      <c r="V273" s="604"/>
      <c r="W273" s="613"/>
      <c r="X273" s="606"/>
      <c r="AA273" s="149"/>
    </row>
    <row r="274" spans="1:27" s="607" customFormat="1" ht="15">
      <c r="A274" s="736"/>
      <c r="B274" s="608"/>
      <c r="C274" s="601"/>
      <c r="D274" s="604"/>
      <c r="E274" s="604" t="s">
        <v>2009</v>
      </c>
      <c r="F274" s="604" t="s">
        <v>3471</v>
      </c>
      <c r="G274" s="604" t="s">
        <v>3408</v>
      </c>
      <c r="H274" s="605" t="s">
        <v>5138</v>
      </c>
      <c r="I274" s="604"/>
      <c r="J274" s="604"/>
      <c r="K274" s="604"/>
      <c r="L274" s="609" t="s">
        <v>5133</v>
      </c>
      <c r="M274" s="610"/>
      <c r="N274" s="618" t="s">
        <v>1786</v>
      </c>
      <c r="O274" s="604" t="s">
        <v>30</v>
      </c>
      <c r="P274" s="615"/>
      <c r="Q274" s="616"/>
      <c r="R274" s="615"/>
      <c r="S274" s="617"/>
      <c r="T274" s="604"/>
      <c r="U274" s="604"/>
      <c r="V274" s="604"/>
      <c r="W274" s="613"/>
      <c r="X274" s="606"/>
      <c r="AA274" s="149"/>
    </row>
    <row r="275" spans="1:27" s="607" customFormat="1" ht="15">
      <c r="A275" s="736"/>
      <c r="B275" s="608"/>
      <c r="C275" s="601"/>
      <c r="D275" s="604"/>
      <c r="E275" s="604" t="s">
        <v>2013</v>
      </c>
      <c r="F275" s="604" t="s">
        <v>3554</v>
      </c>
      <c r="G275" s="604" t="s">
        <v>4065</v>
      </c>
      <c r="H275" s="605" t="s">
        <v>5144</v>
      </c>
      <c r="I275" s="604"/>
      <c r="J275" s="604"/>
      <c r="K275" s="604"/>
      <c r="L275" s="609" t="s">
        <v>5133</v>
      </c>
      <c r="M275" s="610"/>
      <c r="N275" s="618" t="s">
        <v>1786</v>
      </c>
      <c r="O275" s="604" t="s">
        <v>30</v>
      </c>
      <c r="P275" s="615"/>
      <c r="Q275" s="616"/>
      <c r="R275" s="615"/>
      <c r="S275" s="617"/>
      <c r="T275" s="604"/>
      <c r="U275" s="604"/>
      <c r="V275" s="604"/>
      <c r="W275" s="613"/>
      <c r="X275" s="606"/>
      <c r="AA275" s="149"/>
    </row>
    <row r="276" spans="1:27" s="607" customFormat="1" ht="22.5">
      <c r="A276" s="736"/>
      <c r="B276" s="608"/>
      <c r="C276" s="601"/>
      <c r="D276" s="604"/>
      <c r="E276" s="604" t="s">
        <v>2102</v>
      </c>
      <c r="F276" s="604" t="s">
        <v>4155</v>
      </c>
      <c r="G276" s="604" t="s">
        <v>4114</v>
      </c>
      <c r="H276" s="605" t="s">
        <v>5135</v>
      </c>
      <c r="I276" s="604"/>
      <c r="J276" s="604"/>
      <c r="K276" s="604"/>
      <c r="L276" s="609" t="s">
        <v>5133</v>
      </c>
      <c r="M276" s="610" t="s">
        <v>5141</v>
      </c>
      <c r="N276" s="618" t="s">
        <v>1786</v>
      </c>
      <c r="O276" s="604" t="s">
        <v>30</v>
      </c>
      <c r="P276" s="615"/>
      <c r="Q276" s="616"/>
      <c r="R276" s="615"/>
      <c r="S276" s="617"/>
      <c r="T276" s="604"/>
      <c r="U276" s="604"/>
      <c r="V276" s="604"/>
      <c r="W276" s="613"/>
      <c r="X276" s="606"/>
      <c r="AA276" s="149"/>
    </row>
    <row r="277" spans="1:27" s="607" customFormat="1" ht="22.5">
      <c r="A277" s="736"/>
      <c r="B277" s="608"/>
      <c r="C277" s="601"/>
      <c r="D277" s="604"/>
      <c r="E277" s="604" t="s">
        <v>1806</v>
      </c>
      <c r="F277" s="604" t="s">
        <v>4200</v>
      </c>
      <c r="G277" s="604" t="s">
        <v>4163</v>
      </c>
      <c r="H277" s="605" t="s">
        <v>204</v>
      </c>
      <c r="I277" s="604"/>
      <c r="J277" s="604"/>
      <c r="K277" s="604"/>
      <c r="L277" s="609" t="s">
        <v>5133</v>
      </c>
      <c r="M277" s="610" t="s">
        <v>5137</v>
      </c>
      <c r="N277" s="618" t="s">
        <v>1786</v>
      </c>
      <c r="O277" s="604" t="s">
        <v>30</v>
      </c>
      <c r="P277" s="615"/>
      <c r="Q277" s="616"/>
      <c r="R277" s="615"/>
      <c r="S277" s="617"/>
      <c r="T277" s="604"/>
      <c r="U277" s="604"/>
      <c r="V277" s="604"/>
      <c r="W277" s="613"/>
      <c r="X277" s="606"/>
      <c r="AA277" s="149"/>
    </row>
    <row r="278" spans="1:27" s="607" customFormat="1" ht="15">
      <c r="A278" s="736"/>
      <c r="B278" s="608"/>
      <c r="C278" s="601"/>
      <c r="D278" s="604"/>
      <c r="E278" s="604" t="s">
        <v>2122</v>
      </c>
      <c r="F278" s="604" t="s">
        <v>4228</v>
      </c>
      <c r="G278" s="604" t="s">
        <v>4204</v>
      </c>
      <c r="H278" s="605" t="s">
        <v>5138</v>
      </c>
      <c r="I278" s="604"/>
      <c r="J278" s="604"/>
      <c r="K278" s="604"/>
      <c r="L278" s="609" t="s">
        <v>5133</v>
      </c>
      <c r="M278" s="610"/>
      <c r="N278" s="618" t="s">
        <v>1786</v>
      </c>
      <c r="O278" s="604" t="s">
        <v>30</v>
      </c>
      <c r="P278" s="615"/>
      <c r="Q278" s="616"/>
      <c r="R278" s="615"/>
      <c r="S278" s="617"/>
      <c r="T278" s="604"/>
      <c r="U278" s="604"/>
      <c r="V278" s="604"/>
      <c r="W278" s="613"/>
      <c r="X278" s="606"/>
      <c r="AA278" s="149"/>
    </row>
    <row r="279" spans="1:27" s="607" customFormat="1" ht="15">
      <c r="A279" s="736"/>
      <c r="B279" s="608"/>
      <c r="C279" s="601"/>
      <c r="D279" s="604"/>
      <c r="E279" s="604" t="s">
        <v>2131</v>
      </c>
      <c r="F279" s="604" t="s">
        <v>4259</v>
      </c>
      <c r="G279" s="604" t="s">
        <v>5145</v>
      </c>
      <c r="H279" s="605" t="s">
        <v>5146</v>
      </c>
      <c r="I279" s="604"/>
      <c r="J279" s="604"/>
      <c r="K279" s="604"/>
      <c r="L279" s="609" t="s">
        <v>5133</v>
      </c>
      <c r="M279" s="610"/>
      <c r="N279" s="618" t="s">
        <v>1786</v>
      </c>
      <c r="O279" s="604" t="s">
        <v>30</v>
      </c>
      <c r="P279" s="615"/>
      <c r="Q279" s="616"/>
      <c r="R279" s="615"/>
      <c r="S279" s="617"/>
      <c r="T279" s="604"/>
      <c r="U279" s="604"/>
      <c r="V279" s="604"/>
      <c r="W279" s="613"/>
      <c r="X279" s="606"/>
      <c r="AA279" s="149"/>
    </row>
    <row r="280" spans="1:27" s="607" customFormat="1" ht="22.5">
      <c r="A280" s="736"/>
      <c r="B280" s="608"/>
      <c r="C280" s="601"/>
      <c r="D280" s="604"/>
      <c r="E280" s="604" t="s">
        <v>2211</v>
      </c>
      <c r="F280" s="604" t="s">
        <v>5147</v>
      </c>
      <c r="G280" s="604" t="s">
        <v>5148</v>
      </c>
      <c r="H280" s="605" t="s">
        <v>5135</v>
      </c>
      <c r="I280" s="604"/>
      <c r="J280" s="604"/>
      <c r="K280" s="604"/>
      <c r="L280" s="609" t="s">
        <v>5133</v>
      </c>
      <c r="M280" s="610" t="s">
        <v>5141</v>
      </c>
      <c r="N280" s="618" t="s">
        <v>1786</v>
      </c>
      <c r="O280" s="604" t="s">
        <v>30</v>
      </c>
      <c r="P280" s="615"/>
      <c r="Q280" s="616"/>
      <c r="R280" s="615"/>
      <c r="S280" s="617"/>
      <c r="T280" s="604"/>
      <c r="U280" s="604"/>
      <c r="V280" s="604"/>
      <c r="W280" s="613"/>
      <c r="X280" s="606"/>
      <c r="AA280" s="149"/>
    </row>
    <row r="281" spans="1:27" s="607" customFormat="1" ht="22.5">
      <c r="A281" s="736"/>
      <c r="B281" s="608"/>
      <c r="C281" s="601"/>
      <c r="D281" s="604"/>
      <c r="E281" s="604" t="s">
        <v>2217</v>
      </c>
      <c r="F281" s="604" t="s">
        <v>5149</v>
      </c>
      <c r="G281" s="604" t="s">
        <v>5150</v>
      </c>
      <c r="H281" s="605" t="s">
        <v>204</v>
      </c>
      <c r="I281" s="604"/>
      <c r="J281" s="604"/>
      <c r="K281" s="604"/>
      <c r="L281" s="609" t="s">
        <v>5133</v>
      </c>
      <c r="M281" s="610" t="s">
        <v>5137</v>
      </c>
      <c r="N281" s="618" t="s">
        <v>1786</v>
      </c>
      <c r="O281" s="604" t="s">
        <v>30</v>
      </c>
      <c r="P281" s="615"/>
      <c r="Q281" s="616"/>
      <c r="R281" s="615"/>
      <c r="S281" s="617"/>
      <c r="T281" s="604"/>
      <c r="U281" s="604"/>
      <c r="V281" s="604"/>
      <c r="W281" s="613"/>
      <c r="X281" s="606"/>
      <c r="AA281" s="149"/>
    </row>
    <row r="282" spans="1:27" s="607" customFormat="1" ht="15">
      <c r="A282" s="736"/>
      <c r="B282" s="608"/>
      <c r="C282" s="601"/>
      <c r="D282" s="604"/>
      <c r="E282" s="604" t="s">
        <v>2224</v>
      </c>
      <c r="F282" s="604" t="s">
        <v>5151</v>
      </c>
      <c r="G282" s="604" t="s">
        <v>5152</v>
      </c>
      <c r="H282" s="605" t="s">
        <v>5138</v>
      </c>
      <c r="I282" s="604"/>
      <c r="J282" s="604"/>
      <c r="K282" s="604"/>
      <c r="L282" s="609" t="s">
        <v>5133</v>
      </c>
      <c r="M282" s="610"/>
      <c r="N282" s="618" t="s">
        <v>1786</v>
      </c>
      <c r="O282" s="604" t="s">
        <v>30</v>
      </c>
      <c r="P282" s="615"/>
      <c r="Q282" s="616"/>
      <c r="R282" s="615"/>
      <c r="S282" s="617"/>
      <c r="T282" s="604"/>
      <c r="U282" s="604"/>
      <c r="V282" s="604"/>
      <c r="W282" s="613"/>
      <c r="X282" s="606"/>
      <c r="AA282" s="149"/>
    </row>
    <row r="283" spans="1:27" s="607" customFormat="1" ht="15">
      <c r="A283" s="736"/>
      <c r="B283" s="608"/>
      <c r="C283" s="601"/>
      <c r="D283" s="604"/>
      <c r="E283" s="604" t="s">
        <v>2229</v>
      </c>
      <c r="F283" s="604" t="s">
        <v>5153</v>
      </c>
      <c r="G283" s="604" t="s">
        <v>5154</v>
      </c>
      <c r="H283" s="605" t="s">
        <v>5155</v>
      </c>
      <c r="I283" s="604"/>
      <c r="J283" s="604"/>
      <c r="K283" s="604"/>
      <c r="L283" s="609" t="s">
        <v>5133</v>
      </c>
      <c r="M283" s="610"/>
      <c r="N283" s="618" t="s">
        <v>1786</v>
      </c>
      <c r="O283" s="604" t="s">
        <v>30</v>
      </c>
      <c r="P283" s="615"/>
      <c r="Q283" s="616"/>
      <c r="R283" s="615"/>
      <c r="S283" s="617"/>
      <c r="T283" s="604"/>
      <c r="U283" s="604"/>
      <c r="V283" s="604"/>
      <c r="W283" s="613"/>
      <c r="X283" s="606"/>
      <c r="AA283" s="149"/>
    </row>
    <row r="284" spans="1:27" s="607" customFormat="1" ht="22.5">
      <c r="A284" s="736"/>
      <c r="B284" s="608"/>
      <c r="C284" s="601"/>
      <c r="D284" s="604"/>
      <c r="E284" s="604" t="s">
        <v>2268</v>
      </c>
      <c r="F284" s="604" t="s">
        <v>5156</v>
      </c>
      <c r="G284" s="604" t="s">
        <v>5157</v>
      </c>
      <c r="H284" s="605" t="s">
        <v>5135</v>
      </c>
      <c r="I284" s="604"/>
      <c r="J284" s="604"/>
      <c r="K284" s="604"/>
      <c r="L284" s="609" t="s">
        <v>5133</v>
      </c>
      <c r="M284" s="610" t="s">
        <v>5141</v>
      </c>
      <c r="N284" s="618" t="s">
        <v>1786</v>
      </c>
      <c r="O284" s="604" t="s">
        <v>30</v>
      </c>
      <c r="P284" s="615"/>
      <c r="Q284" s="616"/>
      <c r="R284" s="615"/>
      <c r="S284" s="617"/>
      <c r="T284" s="604"/>
      <c r="U284" s="604"/>
      <c r="V284" s="604"/>
      <c r="W284" s="613"/>
      <c r="X284" s="606"/>
      <c r="AA284" s="149"/>
    </row>
    <row r="285" spans="1:27" s="607" customFormat="1" ht="22.5">
      <c r="A285" s="736"/>
      <c r="B285" s="608"/>
      <c r="C285" s="601"/>
      <c r="D285" s="604"/>
      <c r="E285" s="604" t="s">
        <v>2272</v>
      </c>
      <c r="F285" s="604" t="s">
        <v>5158</v>
      </c>
      <c r="G285" s="604" t="s">
        <v>5159</v>
      </c>
      <c r="H285" s="605" t="s">
        <v>204</v>
      </c>
      <c r="I285" s="604"/>
      <c r="J285" s="604"/>
      <c r="K285" s="604"/>
      <c r="L285" s="609" t="s">
        <v>5133</v>
      </c>
      <c r="M285" s="610" t="s">
        <v>5137</v>
      </c>
      <c r="N285" s="618" t="s">
        <v>1786</v>
      </c>
      <c r="O285" s="604" t="s">
        <v>30</v>
      </c>
      <c r="P285" s="615"/>
      <c r="Q285" s="616"/>
      <c r="R285" s="615"/>
      <c r="S285" s="617"/>
      <c r="T285" s="604"/>
      <c r="U285" s="604"/>
      <c r="V285" s="604"/>
      <c r="W285" s="613"/>
      <c r="X285" s="606"/>
      <c r="AA285" s="149"/>
    </row>
    <row r="286" spans="1:27" s="607" customFormat="1" ht="15">
      <c r="A286" s="736"/>
      <c r="B286" s="608"/>
      <c r="C286" s="601"/>
      <c r="D286" s="604"/>
      <c r="E286" s="604" t="s">
        <v>2276</v>
      </c>
      <c r="F286" s="604" t="s">
        <v>5160</v>
      </c>
      <c r="G286" s="604" t="s">
        <v>5161</v>
      </c>
      <c r="H286" s="605" t="s">
        <v>5138</v>
      </c>
      <c r="I286" s="604"/>
      <c r="J286" s="604"/>
      <c r="K286" s="604"/>
      <c r="L286" s="609" t="s">
        <v>5133</v>
      </c>
      <c r="M286" s="610"/>
      <c r="N286" s="618" t="s">
        <v>1786</v>
      </c>
      <c r="O286" s="604" t="s">
        <v>30</v>
      </c>
      <c r="P286" s="615"/>
      <c r="Q286" s="616"/>
      <c r="R286" s="615"/>
      <c r="S286" s="617"/>
      <c r="T286" s="604"/>
      <c r="U286" s="604"/>
      <c r="V286" s="604"/>
      <c r="W286" s="613"/>
      <c r="X286" s="606"/>
      <c r="AA286" s="149"/>
    </row>
    <row r="287" spans="1:27" s="607" customFormat="1" ht="15">
      <c r="A287" s="736"/>
      <c r="B287" s="608"/>
      <c r="C287" s="601"/>
      <c r="D287" s="604"/>
      <c r="E287" s="604" t="s">
        <v>2280</v>
      </c>
      <c r="F287" s="604" t="s">
        <v>5162</v>
      </c>
      <c r="G287" s="604" t="s">
        <v>5163</v>
      </c>
      <c r="H287" s="605" t="s">
        <v>5164</v>
      </c>
      <c r="I287" s="604"/>
      <c r="J287" s="604"/>
      <c r="K287" s="604"/>
      <c r="L287" s="609" t="s">
        <v>5133</v>
      </c>
      <c r="M287" s="610"/>
      <c r="N287" s="618" t="s">
        <v>1786</v>
      </c>
      <c r="O287" s="604" t="s">
        <v>30</v>
      </c>
      <c r="P287" s="615"/>
      <c r="Q287" s="616"/>
      <c r="R287" s="615"/>
      <c r="S287" s="617"/>
      <c r="T287" s="604"/>
      <c r="U287" s="604"/>
      <c r="V287" s="604"/>
      <c r="W287" s="613"/>
      <c r="X287" s="606"/>
      <c r="AA287" s="149"/>
    </row>
    <row r="288" spans="1:27" s="607" customFormat="1" ht="22.5">
      <c r="A288" s="736"/>
      <c r="B288" s="608"/>
      <c r="C288" s="601"/>
      <c r="D288" s="604"/>
      <c r="E288" s="604" t="s">
        <v>2320</v>
      </c>
      <c r="F288" s="604" t="s">
        <v>5165</v>
      </c>
      <c r="G288" s="604" t="s">
        <v>5166</v>
      </c>
      <c r="H288" s="605" t="s">
        <v>5135</v>
      </c>
      <c r="I288" s="604"/>
      <c r="J288" s="604"/>
      <c r="K288" s="604"/>
      <c r="L288" s="609" t="s">
        <v>5133</v>
      </c>
      <c r="M288" s="610" t="s">
        <v>5141</v>
      </c>
      <c r="N288" s="618" t="s">
        <v>1786</v>
      </c>
      <c r="O288" s="604" t="s">
        <v>30</v>
      </c>
      <c r="P288" s="615"/>
      <c r="Q288" s="616"/>
      <c r="R288" s="615"/>
      <c r="S288" s="617"/>
      <c r="T288" s="604"/>
      <c r="U288" s="604"/>
      <c r="V288" s="604"/>
      <c r="W288" s="613"/>
      <c r="X288" s="606"/>
      <c r="AA288" s="149"/>
    </row>
    <row r="289" spans="1:27" s="607" customFormat="1" ht="22.5">
      <c r="A289" s="736"/>
      <c r="B289" s="608"/>
      <c r="C289" s="601"/>
      <c r="D289" s="604"/>
      <c r="E289" s="604" t="s">
        <v>2324</v>
      </c>
      <c r="F289" s="604" t="s">
        <v>5167</v>
      </c>
      <c r="G289" s="604" t="s">
        <v>5168</v>
      </c>
      <c r="H289" s="605" t="s">
        <v>204</v>
      </c>
      <c r="I289" s="604"/>
      <c r="J289" s="604"/>
      <c r="K289" s="604"/>
      <c r="L289" s="609" t="s">
        <v>5133</v>
      </c>
      <c r="M289" s="610" t="s">
        <v>5137</v>
      </c>
      <c r="N289" s="618" t="s">
        <v>1786</v>
      </c>
      <c r="O289" s="604" t="s">
        <v>30</v>
      </c>
      <c r="P289" s="615"/>
      <c r="Q289" s="616"/>
      <c r="R289" s="615"/>
      <c r="S289" s="617"/>
      <c r="T289" s="604"/>
      <c r="U289" s="604"/>
      <c r="V289" s="604"/>
      <c r="W289" s="613"/>
      <c r="X289" s="606"/>
      <c r="AA289" s="149"/>
    </row>
    <row r="290" spans="1:27" s="607" customFormat="1" ht="15">
      <c r="A290" s="736"/>
      <c r="B290" s="608"/>
      <c r="C290" s="601"/>
      <c r="D290" s="604"/>
      <c r="E290" s="604" t="s">
        <v>2328</v>
      </c>
      <c r="F290" s="604" t="s">
        <v>5169</v>
      </c>
      <c r="G290" s="604" t="s">
        <v>5170</v>
      </c>
      <c r="H290" s="605" t="s">
        <v>5138</v>
      </c>
      <c r="I290" s="604"/>
      <c r="J290" s="604"/>
      <c r="K290" s="604"/>
      <c r="L290" s="609" t="s">
        <v>5133</v>
      </c>
      <c r="M290" s="610"/>
      <c r="N290" s="618" t="s">
        <v>1786</v>
      </c>
      <c r="O290" s="604" t="s">
        <v>30</v>
      </c>
      <c r="P290" s="615"/>
      <c r="Q290" s="616"/>
      <c r="R290" s="615"/>
      <c r="S290" s="617"/>
      <c r="T290" s="604"/>
      <c r="U290" s="604"/>
      <c r="V290" s="604"/>
      <c r="W290" s="613"/>
      <c r="X290" s="606"/>
      <c r="AA290" s="149"/>
    </row>
    <row r="291" spans="1:27" s="607" customFormat="1" ht="15">
      <c r="A291" s="736"/>
      <c r="B291" s="608"/>
      <c r="C291" s="601"/>
      <c r="D291" s="604"/>
      <c r="E291" s="604" t="s">
        <v>2332</v>
      </c>
      <c r="F291" s="604" t="s">
        <v>5171</v>
      </c>
      <c r="G291" s="604" t="s">
        <v>5172</v>
      </c>
      <c r="H291" s="605" t="s">
        <v>5173</v>
      </c>
      <c r="I291" s="604"/>
      <c r="J291" s="604"/>
      <c r="K291" s="604"/>
      <c r="L291" s="609" t="s">
        <v>5133</v>
      </c>
      <c r="M291" s="610"/>
      <c r="N291" s="618" t="s">
        <v>1786</v>
      </c>
      <c r="O291" s="604" t="s">
        <v>30</v>
      </c>
      <c r="P291" s="615"/>
      <c r="Q291" s="616"/>
      <c r="R291" s="615"/>
      <c r="S291" s="617"/>
      <c r="T291" s="604"/>
      <c r="U291" s="604"/>
      <c r="V291" s="604"/>
      <c r="W291" s="613"/>
      <c r="X291" s="606"/>
      <c r="AA291" s="149"/>
    </row>
    <row r="292" spans="1:27" s="607" customFormat="1" ht="22.5">
      <c r="A292" s="736"/>
      <c r="B292" s="608"/>
      <c r="C292" s="601"/>
      <c r="D292" s="604"/>
      <c r="E292" s="604" t="s">
        <v>2364</v>
      </c>
      <c r="F292" s="604" t="s">
        <v>5174</v>
      </c>
      <c r="G292" s="604" t="s">
        <v>5175</v>
      </c>
      <c r="H292" s="605" t="s">
        <v>5135</v>
      </c>
      <c r="I292" s="604"/>
      <c r="J292" s="604"/>
      <c r="K292" s="604"/>
      <c r="L292" s="609" t="s">
        <v>5133</v>
      </c>
      <c r="M292" s="610" t="s">
        <v>5141</v>
      </c>
      <c r="N292" s="618" t="s">
        <v>1786</v>
      </c>
      <c r="O292" s="604" t="s">
        <v>30</v>
      </c>
      <c r="P292" s="615"/>
      <c r="Q292" s="616"/>
      <c r="R292" s="615"/>
      <c r="S292" s="617"/>
      <c r="T292" s="604"/>
      <c r="U292" s="604"/>
      <c r="V292" s="604"/>
      <c r="W292" s="613"/>
      <c r="X292" s="606"/>
      <c r="AA292" s="149"/>
    </row>
    <row r="293" spans="1:27" s="607" customFormat="1" ht="22.5">
      <c r="A293" s="736"/>
      <c r="B293" s="608"/>
      <c r="C293" s="601"/>
      <c r="D293" s="604"/>
      <c r="E293" s="604" t="s">
        <v>2368</v>
      </c>
      <c r="F293" s="604" t="s">
        <v>5176</v>
      </c>
      <c r="G293" s="604" t="s">
        <v>5177</v>
      </c>
      <c r="H293" s="605" t="s">
        <v>204</v>
      </c>
      <c r="I293" s="604"/>
      <c r="J293" s="604"/>
      <c r="K293" s="604"/>
      <c r="L293" s="609" t="s">
        <v>5133</v>
      </c>
      <c r="M293" s="610" t="s">
        <v>5137</v>
      </c>
      <c r="N293" s="618" t="s">
        <v>1786</v>
      </c>
      <c r="O293" s="604" t="s">
        <v>30</v>
      </c>
      <c r="P293" s="615"/>
      <c r="Q293" s="616"/>
      <c r="R293" s="615"/>
      <c r="S293" s="617"/>
      <c r="T293" s="604"/>
      <c r="U293" s="604"/>
      <c r="V293" s="604"/>
      <c r="W293" s="613"/>
      <c r="X293" s="606"/>
      <c r="AA293" s="149"/>
    </row>
    <row r="294" spans="1:27" s="607" customFormat="1" ht="15">
      <c r="A294" s="736"/>
      <c r="B294" s="608"/>
      <c r="C294" s="601"/>
      <c r="D294" s="604"/>
      <c r="E294" s="604" t="s">
        <v>2371</v>
      </c>
      <c r="F294" s="604" t="s">
        <v>5178</v>
      </c>
      <c r="G294" s="604" t="s">
        <v>5179</v>
      </c>
      <c r="H294" s="605" t="s">
        <v>5138</v>
      </c>
      <c r="I294" s="604"/>
      <c r="J294" s="604"/>
      <c r="K294" s="604"/>
      <c r="L294" s="609" t="s">
        <v>5133</v>
      </c>
      <c r="M294" s="610"/>
      <c r="N294" s="618" t="s">
        <v>1786</v>
      </c>
      <c r="O294" s="604" t="s">
        <v>30</v>
      </c>
      <c r="P294" s="615"/>
      <c r="Q294" s="616"/>
      <c r="R294" s="615"/>
      <c r="S294" s="617"/>
      <c r="T294" s="604"/>
      <c r="U294" s="604"/>
      <c r="V294" s="604"/>
      <c r="W294" s="613"/>
      <c r="X294" s="606"/>
      <c r="AA294" s="149"/>
    </row>
    <row r="295" spans="1:27" s="607" customFormat="1" ht="15">
      <c r="A295" s="736"/>
      <c r="B295" s="608"/>
      <c r="C295" s="601"/>
      <c r="D295" s="604"/>
      <c r="E295" s="604" t="s">
        <v>2375</v>
      </c>
      <c r="F295" s="604" t="s">
        <v>5180</v>
      </c>
      <c r="G295" s="604" t="s">
        <v>5181</v>
      </c>
      <c r="H295" s="605" t="s">
        <v>5182</v>
      </c>
      <c r="I295" s="604"/>
      <c r="J295" s="604"/>
      <c r="K295" s="604"/>
      <c r="L295" s="609" t="s">
        <v>5133</v>
      </c>
      <c r="M295" s="610"/>
      <c r="N295" s="618" t="s">
        <v>1786</v>
      </c>
      <c r="O295" s="604" t="s">
        <v>30</v>
      </c>
      <c r="P295" s="615"/>
      <c r="Q295" s="616"/>
      <c r="R295" s="615"/>
      <c r="S295" s="617"/>
      <c r="T295" s="604"/>
      <c r="U295" s="604"/>
      <c r="V295" s="604"/>
      <c r="W295" s="613"/>
      <c r="X295" s="606"/>
      <c r="AA295" s="149"/>
    </row>
    <row r="296" spans="1:27" s="607" customFormat="1" ht="22.5">
      <c r="A296" s="736"/>
      <c r="B296" s="608"/>
      <c r="C296" s="601"/>
      <c r="D296" s="604"/>
      <c r="E296" s="604" t="s">
        <v>2418</v>
      </c>
      <c r="F296" s="604" t="s">
        <v>5183</v>
      </c>
      <c r="G296" s="604" t="s">
        <v>5184</v>
      </c>
      <c r="H296" s="605" t="s">
        <v>5135</v>
      </c>
      <c r="I296" s="604"/>
      <c r="J296" s="604"/>
      <c r="K296" s="604"/>
      <c r="L296" s="609" t="s">
        <v>5133</v>
      </c>
      <c r="M296" s="610" t="s">
        <v>5141</v>
      </c>
      <c r="N296" s="618" t="s">
        <v>1786</v>
      </c>
      <c r="O296" s="604" t="s">
        <v>30</v>
      </c>
      <c r="P296" s="615"/>
      <c r="Q296" s="616"/>
      <c r="R296" s="615"/>
      <c r="S296" s="617"/>
      <c r="T296" s="604"/>
      <c r="U296" s="604"/>
      <c r="V296" s="604"/>
      <c r="W296" s="613"/>
      <c r="X296" s="606"/>
      <c r="AA296" s="149"/>
    </row>
    <row r="297" spans="1:27" s="607" customFormat="1" ht="22.5">
      <c r="A297" s="736"/>
      <c r="B297" s="608"/>
      <c r="C297" s="601"/>
      <c r="D297" s="604"/>
      <c r="E297" s="604" t="s">
        <v>2423</v>
      </c>
      <c r="F297" s="604" t="s">
        <v>5185</v>
      </c>
      <c r="G297" s="604" t="s">
        <v>5186</v>
      </c>
      <c r="H297" s="605" t="s">
        <v>204</v>
      </c>
      <c r="I297" s="604"/>
      <c r="J297" s="604"/>
      <c r="K297" s="604"/>
      <c r="L297" s="609" t="s">
        <v>5133</v>
      </c>
      <c r="M297" s="610" t="s">
        <v>5137</v>
      </c>
      <c r="N297" s="618" t="s">
        <v>1786</v>
      </c>
      <c r="O297" s="604" t="s">
        <v>30</v>
      </c>
      <c r="P297" s="615"/>
      <c r="Q297" s="616"/>
      <c r="R297" s="615"/>
      <c r="S297" s="617"/>
      <c r="T297" s="604"/>
      <c r="U297" s="604"/>
      <c r="V297" s="604"/>
      <c r="W297" s="613"/>
      <c r="X297" s="606"/>
      <c r="AA297" s="149"/>
    </row>
    <row r="298" spans="1:27" s="607" customFormat="1" ht="15">
      <c r="A298" s="736"/>
      <c r="B298" s="608"/>
      <c r="C298" s="601"/>
      <c r="D298" s="604"/>
      <c r="E298" s="604" t="s">
        <v>2427</v>
      </c>
      <c r="F298" s="604" t="s">
        <v>5187</v>
      </c>
      <c r="G298" s="604" t="s">
        <v>5188</v>
      </c>
      <c r="H298" s="605" t="s">
        <v>5138</v>
      </c>
      <c r="I298" s="604"/>
      <c r="J298" s="604"/>
      <c r="K298" s="604"/>
      <c r="L298" s="609" t="s">
        <v>5133</v>
      </c>
      <c r="M298" s="610"/>
      <c r="N298" s="618" t="s">
        <v>1786</v>
      </c>
      <c r="O298" s="604" t="s">
        <v>30</v>
      </c>
      <c r="P298" s="615"/>
      <c r="Q298" s="616"/>
      <c r="R298" s="615"/>
      <c r="S298" s="617"/>
      <c r="T298" s="604"/>
      <c r="U298" s="604"/>
      <c r="V298" s="604"/>
      <c r="W298" s="613"/>
      <c r="X298" s="606"/>
      <c r="AA298" s="149"/>
    </row>
    <row r="299" spans="1:27" s="607" customFormat="1" ht="15">
      <c r="A299" s="736"/>
      <c r="B299" s="608"/>
      <c r="C299" s="601"/>
      <c r="D299" s="604"/>
      <c r="E299" s="604" t="s">
        <v>2431</v>
      </c>
      <c r="F299" s="604" t="s">
        <v>5189</v>
      </c>
      <c r="G299" s="604" t="s">
        <v>5190</v>
      </c>
      <c r="H299" s="605" t="s">
        <v>5191</v>
      </c>
      <c r="I299" s="604"/>
      <c r="J299" s="604"/>
      <c r="K299" s="604"/>
      <c r="L299" s="609" t="s">
        <v>5133</v>
      </c>
      <c r="M299" s="610"/>
      <c r="N299" s="618" t="s">
        <v>1786</v>
      </c>
      <c r="O299" s="604" t="s">
        <v>30</v>
      </c>
      <c r="P299" s="615"/>
      <c r="Q299" s="616"/>
      <c r="R299" s="615"/>
      <c r="S299" s="617"/>
      <c r="T299" s="604"/>
      <c r="U299" s="604"/>
      <c r="V299" s="604"/>
      <c r="W299" s="613"/>
      <c r="X299" s="606"/>
      <c r="AA299" s="149"/>
    </row>
    <row r="300" spans="1:27" s="607" customFormat="1" ht="22.5">
      <c r="A300" s="736"/>
      <c r="B300" s="608"/>
      <c r="C300" s="601"/>
      <c r="D300" s="604"/>
      <c r="E300" s="604" t="s">
        <v>2504</v>
      </c>
      <c r="F300" s="604" t="s">
        <v>5192</v>
      </c>
      <c r="G300" s="604" t="s">
        <v>5193</v>
      </c>
      <c r="H300" s="605" t="s">
        <v>5135</v>
      </c>
      <c r="I300" s="604"/>
      <c r="J300" s="604"/>
      <c r="K300" s="604"/>
      <c r="L300" s="609" t="s">
        <v>5133</v>
      </c>
      <c r="M300" s="610" t="s">
        <v>5141</v>
      </c>
      <c r="N300" s="618" t="s">
        <v>1786</v>
      </c>
      <c r="O300" s="604" t="s">
        <v>30</v>
      </c>
      <c r="P300" s="615"/>
      <c r="Q300" s="616"/>
      <c r="R300" s="615"/>
      <c r="S300" s="617"/>
      <c r="T300" s="604"/>
      <c r="U300" s="604"/>
      <c r="V300" s="604"/>
      <c r="W300" s="613"/>
      <c r="X300" s="606"/>
      <c r="AA300" s="149"/>
    </row>
    <row r="301" spans="1:27" s="607" customFormat="1" ht="22.5">
      <c r="A301" s="736"/>
      <c r="B301" s="608"/>
      <c r="C301" s="601"/>
      <c r="D301" s="604"/>
      <c r="E301" s="604" t="s">
        <v>2515</v>
      </c>
      <c r="F301" s="604" t="s">
        <v>5194</v>
      </c>
      <c r="G301" s="604" t="s">
        <v>5195</v>
      </c>
      <c r="H301" s="605" t="s">
        <v>204</v>
      </c>
      <c r="I301" s="604"/>
      <c r="J301" s="604"/>
      <c r="K301" s="604"/>
      <c r="L301" s="609" t="s">
        <v>5133</v>
      </c>
      <c r="M301" s="610" t="s">
        <v>5137</v>
      </c>
      <c r="N301" s="618" t="s">
        <v>1786</v>
      </c>
      <c r="O301" s="604" t="s">
        <v>30</v>
      </c>
      <c r="P301" s="615"/>
      <c r="Q301" s="616"/>
      <c r="R301" s="615"/>
      <c r="S301" s="617"/>
      <c r="T301" s="604"/>
      <c r="U301" s="604"/>
      <c r="V301" s="604"/>
      <c r="W301" s="613"/>
      <c r="X301" s="606"/>
      <c r="AA301" s="149"/>
    </row>
    <row r="302" spans="1:27" s="607" customFormat="1" ht="15">
      <c r="A302" s="736"/>
      <c r="B302" s="608"/>
      <c r="C302" s="601"/>
      <c r="D302" s="604"/>
      <c r="E302" s="604" t="s">
        <v>2521</v>
      </c>
      <c r="F302" s="604" t="s">
        <v>5196</v>
      </c>
      <c r="G302" s="604" t="s">
        <v>5197</v>
      </c>
      <c r="H302" s="605" t="s">
        <v>5138</v>
      </c>
      <c r="I302" s="604"/>
      <c r="J302" s="604"/>
      <c r="K302" s="604"/>
      <c r="L302" s="609" t="s">
        <v>5133</v>
      </c>
      <c r="M302" s="610"/>
      <c r="N302" s="618" t="s">
        <v>1786</v>
      </c>
      <c r="O302" s="604" t="s">
        <v>30</v>
      </c>
      <c r="P302" s="615"/>
      <c r="Q302" s="616"/>
      <c r="R302" s="615"/>
      <c r="S302" s="617"/>
      <c r="T302" s="604"/>
      <c r="U302" s="604"/>
      <c r="V302" s="604"/>
      <c r="W302" s="613"/>
      <c r="X302" s="606"/>
      <c r="AA302" s="149"/>
    </row>
    <row r="303" spans="1:27" s="607" customFormat="1" ht="15">
      <c r="A303" s="736"/>
      <c r="B303" s="608"/>
      <c r="C303" s="601"/>
      <c r="D303" s="604"/>
      <c r="E303" s="604" t="s">
        <v>2527</v>
      </c>
      <c r="F303" s="604" t="s">
        <v>5198</v>
      </c>
      <c r="G303" s="604" t="s">
        <v>5199</v>
      </c>
      <c r="H303" s="605" t="s">
        <v>5200</v>
      </c>
      <c r="I303" s="604"/>
      <c r="J303" s="604"/>
      <c r="K303" s="604"/>
      <c r="L303" s="609" t="s">
        <v>5133</v>
      </c>
      <c r="M303" s="610"/>
      <c r="N303" s="618" t="s">
        <v>1786</v>
      </c>
      <c r="O303" s="604" t="s">
        <v>30</v>
      </c>
      <c r="P303" s="615"/>
      <c r="Q303" s="616"/>
      <c r="R303" s="615"/>
      <c r="S303" s="617"/>
      <c r="T303" s="604"/>
      <c r="U303" s="604"/>
      <c r="V303" s="604"/>
      <c r="W303" s="613"/>
      <c r="X303" s="606"/>
      <c r="AA303" s="149"/>
    </row>
    <row r="304" spans="1:27" s="607" customFormat="1" ht="22.5">
      <c r="A304" s="736"/>
      <c r="B304" s="608"/>
      <c r="C304" s="601"/>
      <c r="D304" s="604"/>
      <c r="E304" s="604" t="s">
        <v>2570</v>
      </c>
      <c r="F304" s="604" t="s">
        <v>5201</v>
      </c>
      <c r="G304" s="604" t="s">
        <v>5202</v>
      </c>
      <c r="H304" s="605" t="s">
        <v>5135</v>
      </c>
      <c r="I304" s="604"/>
      <c r="J304" s="604"/>
      <c r="K304" s="604"/>
      <c r="L304" s="609" t="s">
        <v>5133</v>
      </c>
      <c r="M304" s="610" t="s">
        <v>5141</v>
      </c>
      <c r="N304" s="618" t="s">
        <v>1786</v>
      </c>
      <c r="O304" s="604" t="s">
        <v>30</v>
      </c>
      <c r="P304" s="615"/>
      <c r="Q304" s="616"/>
      <c r="R304" s="615"/>
      <c r="S304" s="617"/>
      <c r="T304" s="604"/>
      <c r="U304" s="604"/>
      <c r="V304" s="604"/>
      <c r="W304" s="613"/>
      <c r="X304" s="606"/>
      <c r="AA304" s="149"/>
    </row>
    <row r="305" spans="1:27" s="607" customFormat="1" ht="22.5">
      <c r="A305" s="736"/>
      <c r="B305" s="608"/>
      <c r="C305" s="601"/>
      <c r="D305" s="604"/>
      <c r="E305" s="604" t="s">
        <v>2571</v>
      </c>
      <c r="F305" s="604" t="s">
        <v>5203</v>
      </c>
      <c r="G305" s="604" t="s">
        <v>5204</v>
      </c>
      <c r="H305" s="605" t="s">
        <v>204</v>
      </c>
      <c r="I305" s="604"/>
      <c r="J305" s="604"/>
      <c r="K305" s="604"/>
      <c r="L305" s="609" t="s">
        <v>5133</v>
      </c>
      <c r="M305" s="610" t="s">
        <v>5137</v>
      </c>
      <c r="N305" s="618" t="s">
        <v>1786</v>
      </c>
      <c r="O305" s="604" t="s">
        <v>30</v>
      </c>
      <c r="P305" s="615"/>
      <c r="Q305" s="616"/>
      <c r="R305" s="615"/>
      <c r="S305" s="617"/>
      <c r="T305" s="604"/>
      <c r="U305" s="604"/>
      <c r="V305" s="604"/>
      <c r="W305" s="613"/>
      <c r="X305" s="606"/>
      <c r="AA305" s="149"/>
    </row>
    <row r="306" spans="1:27" s="607" customFormat="1" ht="15">
      <c r="A306" s="736"/>
      <c r="B306" s="608"/>
      <c r="C306" s="601"/>
      <c r="D306" s="604"/>
      <c r="E306" s="604" t="s">
        <v>2573</v>
      </c>
      <c r="F306" s="604" t="s">
        <v>5205</v>
      </c>
      <c r="G306" s="604" t="s">
        <v>5206</v>
      </c>
      <c r="H306" s="605" t="s">
        <v>5138</v>
      </c>
      <c r="I306" s="604"/>
      <c r="J306" s="604"/>
      <c r="K306" s="604"/>
      <c r="L306" s="609" t="s">
        <v>5133</v>
      </c>
      <c r="M306" s="610"/>
      <c r="N306" s="618" t="s">
        <v>1786</v>
      </c>
      <c r="O306" s="604" t="s">
        <v>30</v>
      </c>
      <c r="P306" s="615"/>
      <c r="Q306" s="616"/>
      <c r="R306" s="615"/>
      <c r="S306" s="617"/>
      <c r="T306" s="604"/>
      <c r="U306" s="604"/>
      <c r="V306" s="604"/>
      <c r="W306" s="613"/>
      <c r="X306" s="606"/>
      <c r="AA306" s="149"/>
    </row>
    <row r="307" spans="1:27" s="607" customFormat="1" ht="15">
      <c r="A307" s="736"/>
      <c r="B307" s="608"/>
      <c r="C307" s="601"/>
      <c r="D307" s="604"/>
      <c r="E307" s="604" t="s">
        <v>2577</v>
      </c>
      <c r="F307" s="604" t="s">
        <v>5207</v>
      </c>
      <c r="G307" s="604" t="s">
        <v>5208</v>
      </c>
      <c r="H307" s="605" t="s">
        <v>5209</v>
      </c>
      <c r="I307" s="604"/>
      <c r="J307" s="604"/>
      <c r="K307" s="604"/>
      <c r="L307" s="609" t="s">
        <v>5133</v>
      </c>
      <c r="M307" s="610"/>
      <c r="N307" s="618" t="s">
        <v>1786</v>
      </c>
      <c r="O307" s="604" t="s">
        <v>30</v>
      </c>
      <c r="P307" s="615"/>
      <c r="Q307" s="616"/>
      <c r="R307" s="615"/>
      <c r="S307" s="617"/>
      <c r="T307" s="604"/>
      <c r="U307" s="604"/>
      <c r="V307" s="604"/>
      <c r="W307" s="613"/>
      <c r="X307" s="606"/>
      <c r="AA307" s="149"/>
    </row>
    <row r="308" spans="1:27" s="607" customFormat="1" ht="22.5">
      <c r="A308" s="736"/>
      <c r="B308" s="608"/>
      <c r="C308" s="601"/>
      <c r="D308" s="604"/>
      <c r="E308" s="604" t="s">
        <v>2651</v>
      </c>
      <c r="F308" s="604" t="s">
        <v>5210</v>
      </c>
      <c r="G308" s="604" t="s">
        <v>5211</v>
      </c>
      <c r="H308" s="605" t="s">
        <v>5135</v>
      </c>
      <c r="I308" s="604"/>
      <c r="J308" s="604"/>
      <c r="K308" s="604"/>
      <c r="L308" s="609" t="s">
        <v>5133</v>
      </c>
      <c r="M308" s="610" t="s">
        <v>5141</v>
      </c>
      <c r="N308" s="618" t="s">
        <v>1786</v>
      </c>
      <c r="O308" s="604" t="s">
        <v>30</v>
      </c>
      <c r="P308" s="615"/>
      <c r="Q308" s="616"/>
      <c r="R308" s="615"/>
      <c r="S308" s="617"/>
      <c r="T308" s="604"/>
      <c r="U308" s="604"/>
      <c r="V308" s="604"/>
      <c r="W308" s="613"/>
      <c r="X308" s="606"/>
      <c r="AA308" s="149"/>
    </row>
    <row r="309" spans="1:27" s="607" customFormat="1" ht="22.5">
      <c r="A309" s="736"/>
      <c r="B309" s="608"/>
      <c r="C309" s="601"/>
      <c r="D309" s="604"/>
      <c r="E309" s="604" t="s">
        <v>2662</v>
      </c>
      <c r="F309" s="604" t="s">
        <v>5212</v>
      </c>
      <c r="G309" s="604" t="s">
        <v>5213</v>
      </c>
      <c r="H309" s="605" t="s">
        <v>204</v>
      </c>
      <c r="I309" s="604"/>
      <c r="J309" s="604"/>
      <c r="K309" s="604"/>
      <c r="L309" s="609" t="s">
        <v>5133</v>
      </c>
      <c r="M309" s="610" t="s">
        <v>5137</v>
      </c>
      <c r="N309" s="618" t="s">
        <v>1786</v>
      </c>
      <c r="O309" s="604" t="s">
        <v>30</v>
      </c>
      <c r="P309" s="615"/>
      <c r="Q309" s="616"/>
      <c r="R309" s="615"/>
      <c r="S309" s="617"/>
      <c r="T309" s="604"/>
      <c r="U309" s="604"/>
      <c r="V309" s="604"/>
      <c r="W309" s="613"/>
      <c r="X309" s="606"/>
      <c r="AA309" s="149"/>
    </row>
    <row r="310" spans="1:27" s="607" customFormat="1" ht="15">
      <c r="A310" s="736"/>
      <c r="B310" s="608"/>
      <c r="C310" s="601"/>
      <c r="D310" s="604"/>
      <c r="E310" s="604" t="s">
        <v>2670</v>
      </c>
      <c r="F310" s="604" t="s">
        <v>5214</v>
      </c>
      <c r="G310" s="604" t="s">
        <v>5215</v>
      </c>
      <c r="H310" s="605" t="s">
        <v>5138</v>
      </c>
      <c r="I310" s="604"/>
      <c r="J310" s="604"/>
      <c r="K310" s="604"/>
      <c r="L310" s="609" t="s">
        <v>5133</v>
      </c>
      <c r="M310" s="610"/>
      <c r="N310" s="618" t="s">
        <v>1786</v>
      </c>
      <c r="O310" s="604" t="s">
        <v>30</v>
      </c>
      <c r="P310" s="615"/>
      <c r="Q310" s="616"/>
      <c r="R310" s="615"/>
      <c r="S310" s="617"/>
      <c r="T310" s="604"/>
      <c r="U310" s="604"/>
      <c r="V310" s="604"/>
      <c r="W310" s="613"/>
      <c r="X310" s="606"/>
      <c r="AA310" s="149"/>
    </row>
    <row r="311" spans="1:27" s="607" customFormat="1" ht="15">
      <c r="A311" s="737"/>
      <c r="B311" s="619"/>
      <c r="C311" s="620"/>
      <c r="D311" s="611"/>
      <c r="E311" s="611" t="s">
        <v>2677</v>
      </c>
      <c r="F311" s="611" t="s">
        <v>5216</v>
      </c>
      <c r="G311" s="611" t="s">
        <v>5217</v>
      </c>
      <c r="H311" s="621" t="s">
        <v>5218</v>
      </c>
      <c r="I311" s="611"/>
      <c r="J311" s="611"/>
      <c r="K311" s="611"/>
      <c r="L311" s="622" t="s">
        <v>5133</v>
      </c>
      <c r="M311" s="623"/>
      <c r="N311" s="624" t="s">
        <v>1786</v>
      </c>
      <c r="O311" s="611" t="s">
        <v>30</v>
      </c>
      <c r="P311" s="625"/>
      <c r="Q311" s="626"/>
      <c r="R311" s="625"/>
      <c r="S311" s="627"/>
      <c r="T311" s="611"/>
      <c r="U311" s="611"/>
      <c r="V311" s="611"/>
      <c r="W311" s="613"/>
      <c r="X311" s="606"/>
      <c r="AA311" s="149"/>
    </row>
    <row r="312" spans="1:27" s="607" customFormat="1" ht="22.5">
      <c r="A312" s="736"/>
      <c r="B312" s="608"/>
      <c r="C312" s="601"/>
      <c r="D312" s="604"/>
      <c r="E312" s="604" t="s">
        <v>2768</v>
      </c>
      <c r="F312" s="604" t="s">
        <v>5219</v>
      </c>
      <c r="G312" s="604" t="s">
        <v>5220</v>
      </c>
      <c r="H312" s="605" t="s">
        <v>5135</v>
      </c>
      <c r="I312" s="604"/>
      <c r="J312" s="604"/>
      <c r="K312" s="604"/>
      <c r="L312" s="609" t="s">
        <v>5133</v>
      </c>
      <c r="M312" s="610" t="s">
        <v>5141</v>
      </c>
      <c r="N312" s="618" t="s">
        <v>1786</v>
      </c>
      <c r="O312" s="604" t="s">
        <v>30</v>
      </c>
      <c r="P312" s="604"/>
      <c r="Q312" s="604"/>
      <c r="R312" s="604"/>
      <c r="S312" s="604"/>
      <c r="T312" s="604"/>
      <c r="U312" s="604"/>
      <c r="V312" s="604"/>
      <c r="W312" s="628"/>
      <c r="X312" s="606"/>
      <c r="AA312" s="149"/>
    </row>
    <row r="313" spans="1:27" s="607" customFormat="1" ht="22.5">
      <c r="A313" s="736"/>
      <c r="B313" s="608"/>
      <c r="C313" s="601"/>
      <c r="D313" s="604"/>
      <c r="E313" s="604" t="s">
        <v>2773</v>
      </c>
      <c r="F313" s="604" t="s">
        <v>5221</v>
      </c>
      <c r="G313" s="604" t="s">
        <v>5222</v>
      </c>
      <c r="H313" s="605" t="s">
        <v>204</v>
      </c>
      <c r="I313" s="604"/>
      <c r="J313" s="604"/>
      <c r="K313" s="604"/>
      <c r="L313" s="609" t="s">
        <v>5133</v>
      </c>
      <c r="M313" s="610" t="s">
        <v>5137</v>
      </c>
      <c r="N313" s="618" t="s">
        <v>1786</v>
      </c>
      <c r="O313" s="604" t="s">
        <v>30</v>
      </c>
      <c r="P313" s="604"/>
      <c r="Q313" s="604"/>
      <c r="R313" s="604"/>
      <c r="S313" s="604"/>
      <c r="T313" s="604"/>
      <c r="U313" s="604"/>
      <c r="V313" s="604"/>
      <c r="W313" s="628"/>
      <c r="X313" s="606"/>
      <c r="AA313" s="149"/>
    </row>
    <row r="314" spans="1:27" s="607" customFormat="1" ht="15">
      <c r="A314" s="736"/>
      <c r="B314" s="608"/>
      <c r="C314" s="601"/>
      <c r="D314" s="604"/>
      <c r="E314" s="604" t="s">
        <v>2785</v>
      </c>
      <c r="F314" s="604" t="s">
        <v>5223</v>
      </c>
      <c r="G314" s="604" t="s">
        <v>5224</v>
      </c>
      <c r="H314" s="605" t="s">
        <v>5138</v>
      </c>
      <c r="I314" s="604"/>
      <c r="J314" s="604"/>
      <c r="K314" s="604"/>
      <c r="L314" s="609" t="s">
        <v>5133</v>
      </c>
      <c r="M314" s="610"/>
      <c r="N314" s="618" t="s">
        <v>1786</v>
      </c>
      <c r="O314" s="604" t="s">
        <v>30</v>
      </c>
      <c r="P314" s="604"/>
      <c r="Q314" s="604"/>
      <c r="R314" s="604"/>
      <c r="S314" s="604"/>
      <c r="T314" s="604"/>
      <c r="U314" s="604"/>
      <c r="V314" s="604"/>
      <c r="W314" s="628"/>
      <c r="X314" s="606"/>
      <c r="AA314" s="149"/>
    </row>
    <row r="315" spans="1:27" s="607" customFormat="1" ht="15">
      <c r="A315" s="736"/>
      <c r="B315" s="608"/>
      <c r="C315" s="601"/>
      <c r="D315" s="604"/>
      <c r="E315" s="604" t="s">
        <v>2793</v>
      </c>
      <c r="F315" s="604" t="s">
        <v>5225</v>
      </c>
      <c r="G315" s="604" t="s">
        <v>5226</v>
      </c>
      <c r="H315" s="605" t="s">
        <v>5227</v>
      </c>
      <c r="I315" s="604"/>
      <c r="J315" s="604"/>
      <c r="K315" s="604"/>
      <c r="L315" s="609" t="s">
        <v>5133</v>
      </c>
      <c r="M315" s="610"/>
      <c r="N315" s="618" t="s">
        <v>1786</v>
      </c>
      <c r="O315" s="604" t="s">
        <v>30</v>
      </c>
      <c r="P315" s="604"/>
      <c r="Q315" s="604"/>
      <c r="R315" s="604"/>
      <c r="S315" s="604"/>
      <c r="T315" s="604"/>
      <c r="U315" s="604"/>
      <c r="V315" s="604"/>
      <c r="W315" s="628"/>
      <c r="X315" s="606"/>
      <c r="AA315" s="149"/>
    </row>
    <row r="316" spans="1:27" s="607" customFormat="1" ht="22.5">
      <c r="A316" s="736"/>
      <c r="B316" s="608"/>
      <c r="C316" s="601"/>
      <c r="D316" s="604"/>
      <c r="E316" s="604" t="s">
        <v>2879</v>
      </c>
      <c r="F316" s="604" t="s">
        <v>5228</v>
      </c>
      <c r="G316" s="604" t="s">
        <v>5229</v>
      </c>
      <c r="H316" s="605" t="s">
        <v>5135</v>
      </c>
      <c r="I316" s="604"/>
      <c r="J316" s="604"/>
      <c r="K316" s="604"/>
      <c r="L316" s="609" t="s">
        <v>5133</v>
      </c>
      <c r="M316" s="610" t="s">
        <v>5141</v>
      </c>
      <c r="N316" s="618" t="s">
        <v>1786</v>
      </c>
      <c r="O316" s="604" t="s">
        <v>30</v>
      </c>
      <c r="P316" s="604"/>
      <c r="Q316" s="604"/>
      <c r="R316" s="604"/>
      <c r="S316" s="604"/>
      <c r="T316" s="604"/>
      <c r="U316" s="604"/>
      <c r="V316" s="604"/>
      <c r="W316" s="628"/>
      <c r="X316" s="606"/>
      <c r="AA316" s="149"/>
    </row>
    <row r="317" spans="1:27" s="607" customFormat="1" ht="22.5">
      <c r="A317" s="736"/>
      <c r="B317" s="608"/>
      <c r="C317" s="601"/>
      <c r="D317" s="604"/>
      <c r="E317" s="604" t="s">
        <v>2892</v>
      </c>
      <c r="F317" s="604" t="s">
        <v>5230</v>
      </c>
      <c r="G317" s="604" t="s">
        <v>5231</v>
      </c>
      <c r="H317" s="605" t="s">
        <v>204</v>
      </c>
      <c r="I317" s="604"/>
      <c r="J317" s="604"/>
      <c r="K317" s="604"/>
      <c r="L317" s="609" t="s">
        <v>5133</v>
      </c>
      <c r="M317" s="610" t="s">
        <v>5137</v>
      </c>
      <c r="N317" s="618" t="s">
        <v>1786</v>
      </c>
      <c r="O317" s="604" t="s">
        <v>30</v>
      </c>
      <c r="P317" s="604"/>
      <c r="Q317" s="604"/>
      <c r="R317" s="604"/>
      <c r="S317" s="604"/>
      <c r="T317" s="604"/>
      <c r="U317" s="604"/>
      <c r="V317" s="604"/>
      <c r="W317" s="628"/>
      <c r="X317" s="606"/>
      <c r="AA317" s="149"/>
    </row>
    <row r="318" spans="1:27" s="607" customFormat="1" ht="15">
      <c r="A318" s="736"/>
      <c r="B318" s="608"/>
      <c r="C318" s="601"/>
      <c r="D318" s="604"/>
      <c r="E318" s="604" t="s">
        <v>2899</v>
      </c>
      <c r="F318" s="604" t="s">
        <v>5232</v>
      </c>
      <c r="G318" s="604" t="s">
        <v>5233</v>
      </c>
      <c r="H318" s="605" t="s">
        <v>5138</v>
      </c>
      <c r="I318" s="604"/>
      <c r="J318" s="604"/>
      <c r="K318" s="604"/>
      <c r="L318" s="609" t="s">
        <v>5133</v>
      </c>
      <c r="M318" s="610"/>
      <c r="N318" s="618" t="s">
        <v>1786</v>
      </c>
      <c r="O318" s="604" t="s">
        <v>30</v>
      </c>
      <c r="P318" s="604"/>
      <c r="Q318" s="604"/>
      <c r="R318" s="604"/>
      <c r="S318" s="604"/>
      <c r="T318" s="604"/>
      <c r="U318" s="604"/>
      <c r="V318" s="604"/>
      <c r="W318" s="628"/>
      <c r="X318" s="606"/>
      <c r="AA318" s="149"/>
    </row>
    <row r="319" spans="1:27" s="607" customFormat="1" ht="15">
      <c r="A319" s="736"/>
      <c r="B319" s="608"/>
      <c r="C319" s="601"/>
      <c r="D319" s="604"/>
      <c r="E319" s="604" t="s">
        <v>2904</v>
      </c>
      <c r="F319" s="604" t="s">
        <v>5234</v>
      </c>
      <c r="G319" s="604" t="s">
        <v>5235</v>
      </c>
      <c r="H319" s="605" t="s">
        <v>5236</v>
      </c>
      <c r="I319" s="604"/>
      <c r="J319" s="604"/>
      <c r="K319" s="604"/>
      <c r="L319" s="609" t="s">
        <v>5133</v>
      </c>
      <c r="M319" s="610"/>
      <c r="N319" s="618" t="s">
        <v>1786</v>
      </c>
      <c r="O319" s="604" t="s">
        <v>30</v>
      </c>
      <c r="P319" s="604"/>
      <c r="Q319" s="604"/>
      <c r="R319" s="604"/>
      <c r="S319" s="604"/>
      <c r="T319" s="604"/>
      <c r="U319" s="604"/>
      <c r="V319" s="604"/>
      <c r="W319" s="629"/>
      <c r="X319" s="630"/>
      <c r="AA319" s="149"/>
    </row>
    <row r="320" spans="1:27" ht="15">
      <c r="A320" s="734">
        <f>A263+1</f>
        <v>91</v>
      </c>
      <c r="B320" s="38" t="s">
        <v>5237</v>
      </c>
      <c r="C320" s="335" t="s">
        <v>5238</v>
      </c>
      <c r="D320" s="332" t="s">
        <v>4474</v>
      </c>
      <c r="E320" s="332"/>
      <c r="F320" s="332"/>
      <c r="G320" s="332"/>
      <c r="H320" s="335"/>
      <c r="I320" s="332"/>
      <c r="J320" s="332"/>
      <c r="K320" s="332"/>
      <c r="L320" s="332"/>
      <c r="M320" s="687"/>
      <c r="N320" s="332"/>
      <c r="O320" s="332"/>
      <c r="P320" s="688" t="s">
        <v>4923</v>
      </c>
      <c r="Q320" s="332" t="s">
        <v>4924</v>
      </c>
      <c r="R320" s="688"/>
      <c r="S320" s="688"/>
      <c r="T320" s="688"/>
      <c r="U320" s="688"/>
      <c r="V320" s="688"/>
      <c r="W320" s="689"/>
      <c r="X320" s="684" t="s">
        <v>4773</v>
      </c>
      <c r="AA320" s="332" t="s">
        <v>148</v>
      </c>
    </row>
    <row r="321" spans="1:27" ht="89.25">
      <c r="A321" s="741"/>
      <c r="B321" s="143"/>
      <c r="C321" s="149"/>
      <c r="D321" s="410"/>
      <c r="E321" s="410" t="s">
        <v>94</v>
      </c>
      <c r="F321" s="410" t="s">
        <v>4477</v>
      </c>
      <c r="G321" s="410" t="s">
        <v>4501</v>
      </c>
      <c r="H321" s="410" t="s">
        <v>5239</v>
      </c>
      <c r="I321" s="410" t="s">
        <v>30</v>
      </c>
      <c r="J321" s="410" t="s">
        <v>4487</v>
      </c>
      <c r="K321" s="410"/>
      <c r="L321" s="410" t="s">
        <v>4444</v>
      </c>
      <c r="M321" s="631" t="s">
        <v>5240</v>
      </c>
      <c r="N321" s="252" t="s">
        <v>33</v>
      </c>
      <c r="O321" s="252" t="s">
        <v>30</v>
      </c>
      <c r="P321" s="252"/>
      <c r="Q321" s="252"/>
      <c r="R321" s="252"/>
      <c r="S321" s="252"/>
      <c r="T321" s="252"/>
      <c r="U321" s="252"/>
      <c r="V321" s="252"/>
      <c r="W321" s="629"/>
      <c r="X321" s="630"/>
      <c r="AA321" s="149"/>
    </row>
    <row r="322" spans="1:27" ht="89.25">
      <c r="A322" s="741"/>
      <c r="B322" s="42"/>
      <c r="C322" s="149"/>
      <c r="D322" s="410"/>
      <c r="E322" s="410" t="s">
        <v>94</v>
      </c>
      <c r="F322" s="410" t="s">
        <v>141</v>
      </c>
      <c r="G322" s="410" t="s">
        <v>94</v>
      </c>
      <c r="H322" s="410" t="s">
        <v>5241</v>
      </c>
      <c r="I322" s="410" t="s">
        <v>30</v>
      </c>
      <c r="J322" s="410" t="s">
        <v>4487</v>
      </c>
      <c r="K322" s="410"/>
      <c r="L322" s="410" t="s">
        <v>4444</v>
      </c>
      <c r="M322" s="631" t="s">
        <v>5242</v>
      </c>
      <c r="N322" s="252" t="s">
        <v>33</v>
      </c>
      <c r="O322" s="252" t="s">
        <v>30</v>
      </c>
      <c r="P322" s="252"/>
      <c r="Q322" s="252"/>
      <c r="R322" s="252"/>
      <c r="S322" s="252"/>
      <c r="T322" s="252"/>
      <c r="U322" s="252"/>
      <c r="V322" s="252"/>
      <c r="W322" s="629"/>
      <c r="X322" s="630"/>
      <c r="AA322" s="149"/>
    </row>
    <row r="323" spans="1:27" ht="15">
      <c r="A323" s="741"/>
      <c r="B323" s="42"/>
      <c r="C323" s="149"/>
      <c r="D323" s="410"/>
      <c r="E323" s="410" t="s">
        <v>4467</v>
      </c>
      <c r="F323" s="410" t="s">
        <v>4487</v>
      </c>
      <c r="G323" s="410" t="s">
        <v>4478</v>
      </c>
      <c r="H323" s="410" t="s">
        <v>5243</v>
      </c>
      <c r="I323" s="252" t="s">
        <v>30</v>
      </c>
      <c r="J323" s="252" t="s">
        <v>3686</v>
      </c>
      <c r="K323" s="252"/>
      <c r="L323" s="252" t="s">
        <v>4444</v>
      </c>
      <c r="M323" s="632"/>
      <c r="N323" s="252" t="s">
        <v>33</v>
      </c>
      <c r="O323" s="252" t="s">
        <v>30</v>
      </c>
      <c r="P323" s="252"/>
      <c r="Q323" s="252"/>
      <c r="R323" s="252"/>
      <c r="S323" s="252"/>
      <c r="T323" s="252"/>
      <c r="U323" s="252"/>
      <c r="V323" s="252"/>
      <c r="W323" s="629"/>
      <c r="X323" s="630"/>
      <c r="AA323" s="149"/>
    </row>
    <row r="324" spans="1:27" ht="15">
      <c r="A324" s="734">
        <f>A320+1</f>
        <v>92</v>
      </c>
      <c r="B324" s="38" t="s">
        <v>5244</v>
      </c>
      <c r="C324" s="335" t="s">
        <v>5245</v>
      </c>
      <c r="D324" s="332" t="s">
        <v>4474</v>
      </c>
      <c r="E324" s="332"/>
      <c r="F324" s="332"/>
      <c r="G324" s="332"/>
      <c r="H324" s="335"/>
      <c r="I324" s="332"/>
      <c r="J324" s="332"/>
      <c r="K324" s="332"/>
      <c r="L324" s="332"/>
      <c r="M324" s="687"/>
      <c r="N324" s="332"/>
      <c r="O324" s="332"/>
      <c r="P324" s="688" t="s">
        <v>4923</v>
      </c>
      <c r="Q324" s="332" t="s">
        <v>4924</v>
      </c>
      <c r="R324" s="688"/>
      <c r="S324" s="688"/>
      <c r="T324" s="688"/>
      <c r="U324" s="688"/>
      <c r="V324" s="688"/>
      <c r="W324" s="689"/>
      <c r="X324" s="684" t="s">
        <v>4773</v>
      </c>
      <c r="AA324" s="337" t="s">
        <v>148</v>
      </c>
    </row>
    <row r="325" spans="1:27">
      <c r="A325" s="741"/>
      <c r="B325" s="143"/>
      <c r="C325" s="149"/>
      <c r="D325" s="252"/>
      <c r="E325" s="252" t="s">
        <v>94</v>
      </c>
      <c r="F325" s="252" t="s">
        <v>46</v>
      </c>
      <c r="G325" s="252" t="s">
        <v>30</v>
      </c>
      <c r="H325" s="149" t="s">
        <v>5246</v>
      </c>
      <c r="I325" s="252" t="s">
        <v>30</v>
      </c>
      <c r="J325" s="252" t="s">
        <v>3686</v>
      </c>
      <c r="K325" s="252"/>
      <c r="L325" s="252" t="s">
        <v>4444</v>
      </c>
      <c r="M325" s="632"/>
      <c r="N325" s="252" t="s">
        <v>33</v>
      </c>
      <c r="O325" s="252" t="s">
        <v>30</v>
      </c>
      <c r="P325" s="252"/>
      <c r="Q325" s="252"/>
      <c r="R325" s="252"/>
      <c r="S325" s="252"/>
      <c r="T325" s="252"/>
      <c r="U325" s="252"/>
      <c r="V325" s="252"/>
      <c r="W325" s="629"/>
      <c r="X325" s="630"/>
      <c r="AA325" s="149"/>
    </row>
    <row r="326" spans="1:27">
      <c r="A326" s="741"/>
      <c r="B326" s="143"/>
      <c r="C326" s="149"/>
      <c r="D326" s="252"/>
      <c r="E326" s="252" t="s">
        <v>4467</v>
      </c>
      <c r="F326" s="252" t="s">
        <v>4487</v>
      </c>
      <c r="G326" s="252" t="s">
        <v>4478</v>
      </c>
      <c r="H326" s="149" t="s">
        <v>5247</v>
      </c>
      <c r="I326" s="252" t="s">
        <v>30</v>
      </c>
      <c r="J326" s="252" t="s">
        <v>3686</v>
      </c>
      <c r="K326" s="252"/>
      <c r="L326" s="252" t="s">
        <v>4444</v>
      </c>
      <c r="M326" s="632"/>
      <c r="N326" s="252" t="s">
        <v>33</v>
      </c>
      <c r="O326" s="252" t="s">
        <v>30</v>
      </c>
      <c r="P326" s="252"/>
      <c r="Q326" s="252"/>
      <c r="R326" s="252"/>
      <c r="S326" s="252"/>
      <c r="T326" s="252"/>
      <c r="U326" s="252"/>
      <c r="V326" s="252"/>
      <c r="W326" s="629"/>
      <c r="X326" s="630"/>
      <c r="AA326" s="149"/>
    </row>
    <row r="327" spans="1:27" ht="15">
      <c r="A327" s="734">
        <f>A324+1</f>
        <v>93</v>
      </c>
      <c r="B327" s="38" t="s">
        <v>5248</v>
      </c>
      <c r="C327" s="335" t="s">
        <v>5249</v>
      </c>
      <c r="D327" s="332" t="s">
        <v>5250</v>
      </c>
      <c r="E327" s="332"/>
      <c r="F327" s="332"/>
      <c r="G327" s="332"/>
      <c r="H327" s="335"/>
      <c r="I327" s="332"/>
      <c r="J327" s="332"/>
      <c r="K327" s="332"/>
      <c r="L327" s="332"/>
      <c r="M327" s="687"/>
      <c r="N327" s="332"/>
      <c r="O327" s="332"/>
      <c r="P327" s="688" t="s">
        <v>4923</v>
      </c>
      <c r="Q327" s="332" t="s">
        <v>4924</v>
      </c>
      <c r="R327" s="688"/>
      <c r="S327" s="688"/>
      <c r="T327" s="688"/>
      <c r="U327" s="688"/>
      <c r="V327" s="688"/>
      <c r="W327" s="689"/>
      <c r="X327" s="684" t="s">
        <v>4773</v>
      </c>
      <c r="AA327" s="337" t="s">
        <v>148</v>
      </c>
    </row>
    <row r="328" spans="1:27" ht="25.5">
      <c r="A328" s="741"/>
      <c r="B328" s="143"/>
      <c r="C328" s="149"/>
      <c r="D328" s="252"/>
      <c r="E328" s="252" t="s">
        <v>30</v>
      </c>
      <c r="F328" s="252" t="s">
        <v>46</v>
      </c>
      <c r="G328" s="252" t="s">
        <v>30</v>
      </c>
      <c r="H328" s="631" t="s">
        <v>5251</v>
      </c>
      <c r="I328" s="252" t="s">
        <v>30</v>
      </c>
      <c r="J328" s="252" t="s">
        <v>4467</v>
      </c>
      <c r="K328" s="252"/>
      <c r="L328" s="252" t="s">
        <v>4444</v>
      </c>
      <c r="M328" s="633" t="s">
        <v>5252</v>
      </c>
      <c r="N328" s="252" t="s">
        <v>33</v>
      </c>
      <c r="O328" s="252" t="s">
        <v>30</v>
      </c>
      <c r="P328" s="252"/>
      <c r="Q328" s="252"/>
      <c r="R328" s="252"/>
      <c r="S328" s="252"/>
      <c r="T328" s="252"/>
      <c r="U328" s="252"/>
      <c r="V328" s="252"/>
      <c r="W328" s="629"/>
      <c r="X328" s="630"/>
      <c r="AA328" s="149"/>
    </row>
    <row r="329" spans="1:27" ht="33.75">
      <c r="A329" s="741"/>
      <c r="B329" s="143"/>
      <c r="C329" s="149"/>
      <c r="D329" s="252"/>
      <c r="E329" s="252" t="s">
        <v>4467</v>
      </c>
      <c r="F329" s="252" t="s">
        <v>4487</v>
      </c>
      <c r="G329" s="252" t="s">
        <v>5253</v>
      </c>
      <c r="H329" s="631" t="s">
        <v>5254</v>
      </c>
      <c r="I329" s="634" t="s">
        <v>30</v>
      </c>
      <c r="J329" s="252">
        <v>2</v>
      </c>
      <c r="K329" s="635"/>
      <c r="L329" s="252" t="s">
        <v>4444</v>
      </c>
      <c r="M329" s="634" t="s">
        <v>5255</v>
      </c>
      <c r="N329" s="252" t="s">
        <v>33</v>
      </c>
      <c r="O329" s="252" t="s">
        <v>30</v>
      </c>
      <c r="P329" s="252"/>
      <c r="Q329" s="252"/>
      <c r="R329" s="252"/>
      <c r="S329" s="252"/>
      <c r="T329" s="252"/>
      <c r="U329" s="252"/>
      <c r="V329" s="252"/>
      <c r="W329" s="629"/>
      <c r="X329" s="630"/>
      <c r="AA329" s="149"/>
    </row>
    <row r="330" spans="1:27" ht="33.75">
      <c r="A330" s="741"/>
      <c r="B330" s="143"/>
      <c r="C330" s="149"/>
      <c r="D330" s="252"/>
      <c r="E330" s="252" t="s">
        <v>4467</v>
      </c>
      <c r="F330" s="252" t="s">
        <v>4998</v>
      </c>
      <c r="G330" s="252" t="s">
        <v>4955</v>
      </c>
      <c r="H330" s="631" t="s">
        <v>5256</v>
      </c>
      <c r="I330" s="634" t="s">
        <v>30</v>
      </c>
      <c r="J330" s="252">
        <v>2</v>
      </c>
      <c r="K330" s="635"/>
      <c r="L330" s="252" t="s">
        <v>4444</v>
      </c>
      <c r="M330" s="634" t="s">
        <v>5255</v>
      </c>
      <c r="N330" s="252" t="s">
        <v>33</v>
      </c>
      <c r="O330" s="252" t="s">
        <v>30</v>
      </c>
      <c r="P330" s="252"/>
      <c r="Q330" s="252"/>
      <c r="R330" s="252"/>
      <c r="S330" s="252"/>
      <c r="T330" s="252"/>
      <c r="U330" s="252"/>
      <c r="V330" s="252"/>
      <c r="W330" s="629"/>
      <c r="X330" s="630"/>
      <c r="AA330" s="149"/>
    </row>
    <row r="331" spans="1:27" ht="33.75">
      <c r="A331" s="741"/>
      <c r="B331" s="143"/>
      <c r="C331" s="154"/>
      <c r="D331" s="252"/>
      <c r="E331" s="252" t="s">
        <v>4467</v>
      </c>
      <c r="F331" s="252" t="s">
        <v>4961</v>
      </c>
      <c r="G331" s="252" t="s">
        <v>4937</v>
      </c>
      <c r="H331" s="631" t="s">
        <v>5257</v>
      </c>
      <c r="I331" s="634" t="s">
        <v>30</v>
      </c>
      <c r="J331" s="252">
        <v>2</v>
      </c>
      <c r="K331" s="635"/>
      <c r="L331" s="252" t="s">
        <v>4444</v>
      </c>
      <c r="M331" s="634" t="s">
        <v>5255</v>
      </c>
      <c r="N331" s="252" t="s">
        <v>33</v>
      </c>
      <c r="O331" s="252" t="s">
        <v>30</v>
      </c>
      <c r="P331" s="636"/>
      <c r="Q331" s="636"/>
      <c r="R331" s="636"/>
      <c r="S331" s="636"/>
      <c r="T331" s="636"/>
      <c r="U331" s="636"/>
      <c r="V331" s="636"/>
      <c r="W331" s="629"/>
      <c r="X331" s="630"/>
      <c r="AA331" s="149"/>
    </row>
    <row r="332" spans="1:27" ht="33.75">
      <c r="A332" s="741"/>
      <c r="B332" s="143"/>
      <c r="C332" s="154"/>
      <c r="D332" s="252"/>
      <c r="E332" s="252" t="s">
        <v>4467</v>
      </c>
      <c r="F332" s="252" t="s">
        <v>4994</v>
      </c>
      <c r="G332" s="252" t="s">
        <v>4478</v>
      </c>
      <c r="H332" s="631" t="s">
        <v>5258</v>
      </c>
      <c r="I332" s="634" t="s">
        <v>30</v>
      </c>
      <c r="J332" s="252" t="s">
        <v>4474</v>
      </c>
      <c r="K332" s="635"/>
      <c r="L332" s="252" t="s">
        <v>4444</v>
      </c>
      <c r="M332" s="634" t="s">
        <v>5255</v>
      </c>
      <c r="N332" s="252" t="s">
        <v>33</v>
      </c>
      <c r="O332" s="252" t="s">
        <v>30</v>
      </c>
      <c r="P332" s="636"/>
      <c r="Q332" s="636"/>
      <c r="R332" s="636"/>
      <c r="S332" s="636"/>
      <c r="T332" s="636"/>
      <c r="U332" s="636"/>
      <c r="V332" s="636"/>
      <c r="W332" s="629"/>
      <c r="X332" s="630"/>
      <c r="AA332" s="149"/>
    </row>
    <row r="333" spans="1:27" ht="33.75">
      <c r="A333" s="741"/>
      <c r="B333" s="143"/>
      <c r="C333" s="154"/>
      <c r="D333" s="252"/>
      <c r="E333" s="252" t="s">
        <v>4474</v>
      </c>
      <c r="F333" s="252" t="s">
        <v>5259</v>
      </c>
      <c r="G333" s="252" t="s">
        <v>566</v>
      </c>
      <c r="H333" s="631" t="s">
        <v>5260</v>
      </c>
      <c r="I333" s="634" t="s">
        <v>30</v>
      </c>
      <c r="J333" s="252">
        <v>2</v>
      </c>
      <c r="K333" s="635"/>
      <c r="L333" s="252" t="s">
        <v>4444</v>
      </c>
      <c r="M333" s="634" t="s">
        <v>5255</v>
      </c>
      <c r="N333" s="252" t="s">
        <v>33</v>
      </c>
      <c r="O333" s="252" t="s">
        <v>30</v>
      </c>
      <c r="P333" s="636"/>
      <c r="Q333" s="636"/>
      <c r="R333" s="636"/>
      <c r="S333" s="636"/>
      <c r="T333" s="636"/>
      <c r="U333" s="636"/>
      <c r="V333" s="636"/>
      <c r="W333" s="629"/>
      <c r="X333" s="630"/>
      <c r="AA333" s="149"/>
    </row>
    <row r="334" spans="1:27">
      <c r="A334" s="741"/>
      <c r="B334" s="143"/>
      <c r="C334" s="154"/>
      <c r="D334" s="252"/>
      <c r="E334" s="252" t="s">
        <v>141</v>
      </c>
      <c r="F334" s="252" t="s">
        <v>4493</v>
      </c>
      <c r="G334" s="252">
        <v>24</v>
      </c>
      <c r="H334" s="631" t="s">
        <v>5261</v>
      </c>
      <c r="I334" s="634" t="s">
        <v>5262</v>
      </c>
      <c r="J334" s="634" t="s">
        <v>2567</v>
      </c>
      <c r="K334" s="635" t="s">
        <v>5263</v>
      </c>
      <c r="L334" s="252" t="s">
        <v>4444</v>
      </c>
      <c r="M334" s="634" t="s">
        <v>5264</v>
      </c>
      <c r="N334" s="634" t="s">
        <v>4467</v>
      </c>
      <c r="O334" s="634" t="s">
        <v>5262</v>
      </c>
      <c r="P334" s="636"/>
      <c r="Q334" s="636"/>
      <c r="R334" s="636"/>
      <c r="S334" s="636"/>
      <c r="T334" s="636"/>
      <c r="U334" s="636"/>
      <c r="V334" s="636"/>
      <c r="W334" s="629"/>
      <c r="X334" s="630"/>
      <c r="AA334" s="149"/>
    </row>
    <row r="335" spans="1:27">
      <c r="A335" s="741"/>
      <c r="B335" s="143"/>
      <c r="C335" s="154"/>
      <c r="D335" s="252"/>
      <c r="E335" s="252" t="s">
        <v>4501</v>
      </c>
      <c r="F335" s="252" t="s">
        <v>4497</v>
      </c>
      <c r="G335" s="252">
        <v>32</v>
      </c>
      <c r="H335" s="631" t="s">
        <v>5265</v>
      </c>
      <c r="I335" s="634" t="s">
        <v>5262</v>
      </c>
      <c r="J335" s="634" t="s">
        <v>2567</v>
      </c>
      <c r="K335" s="635" t="s">
        <v>5263</v>
      </c>
      <c r="L335" s="252" t="s">
        <v>4444</v>
      </c>
      <c r="M335" s="634" t="s">
        <v>5264</v>
      </c>
      <c r="N335" s="634" t="s">
        <v>4467</v>
      </c>
      <c r="O335" s="634" t="s">
        <v>5262</v>
      </c>
      <c r="P335" s="636"/>
      <c r="Q335" s="636"/>
      <c r="R335" s="636"/>
      <c r="S335" s="636"/>
      <c r="T335" s="636"/>
      <c r="U335" s="636"/>
      <c r="V335" s="636"/>
      <c r="W335" s="629"/>
      <c r="X335" s="630"/>
      <c r="AA335" s="149"/>
    </row>
    <row r="336" spans="1:27">
      <c r="A336" s="741"/>
      <c r="B336" s="143"/>
      <c r="C336" s="154"/>
      <c r="D336" s="252"/>
      <c r="E336" s="252" t="s">
        <v>4484</v>
      </c>
      <c r="F336" s="252">
        <v>47</v>
      </c>
      <c r="G336" s="252">
        <v>40</v>
      </c>
      <c r="H336" s="631" t="s">
        <v>5266</v>
      </c>
      <c r="I336" s="634" t="s">
        <v>5262</v>
      </c>
      <c r="J336" s="634" t="s">
        <v>2567</v>
      </c>
      <c r="K336" s="635" t="s">
        <v>5263</v>
      </c>
      <c r="L336" s="252" t="s">
        <v>4444</v>
      </c>
      <c r="M336" s="634" t="s">
        <v>5264</v>
      </c>
      <c r="N336" s="634" t="s">
        <v>4467</v>
      </c>
      <c r="O336" s="634" t="s">
        <v>5262</v>
      </c>
      <c r="P336" s="636"/>
      <c r="Q336" s="636"/>
      <c r="R336" s="636"/>
      <c r="S336" s="636"/>
      <c r="T336" s="636"/>
      <c r="U336" s="636"/>
      <c r="V336" s="636"/>
      <c r="W336" s="629"/>
      <c r="X336" s="630"/>
      <c r="AA336" s="149"/>
    </row>
    <row r="337" spans="1:27">
      <c r="A337" s="741"/>
      <c r="B337" s="143"/>
      <c r="C337" s="154"/>
      <c r="D337" s="252"/>
      <c r="E337" s="252" t="s">
        <v>4517</v>
      </c>
      <c r="F337" s="252">
        <v>55</v>
      </c>
      <c r="G337" s="252">
        <v>48</v>
      </c>
      <c r="H337" s="631" t="s">
        <v>5267</v>
      </c>
      <c r="I337" s="634" t="s">
        <v>5262</v>
      </c>
      <c r="J337" s="634" t="s">
        <v>2567</v>
      </c>
      <c r="K337" s="635" t="s">
        <v>5263</v>
      </c>
      <c r="L337" s="252" t="s">
        <v>4444</v>
      </c>
      <c r="M337" s="634" t="s">
        <v>5264</v>
      </c>
      <c r="N337" s="634" t="s">
        <v>4467</v>
      </c>
      <c r="O337" s="634" t="s">
        <v>5262</v>
      </c>
      <c r="P337" s="636"/>
      <c r="Q337" s="636"/>
      <c r="R337" s="636"/>
      <c r="S337" s="636"/>
      <c r="T337" s="636"/>
      <c r="U337" s="636"/>
      <c r="V337" s="636"/>
      <c r="W337" s="629"/>
      <c r="X337" s="630"/>
      <c r="AA337" s="149"/>
    </row>
    <row r="338" spans="1:27">
      <c r="A338" s="741"/>
      <c r="B338" s="143"/>
      <c r="C338" s="154"/>
      <c r="D338" s="252"/>
      <c r="E338" s="252" t="s">
        <v>4477</v>
      </c>
      <c r="F338" s="252">
        <v>63</v>
      </c>
      <c r="G338" s="252">
        <v>56</v>
      </c>
      <c r="H338" s="631" t="s">
        <v>5268</v>
      </c>
      <c r="I338" s="634" t="s">
        <v>5262</v>
      </c>
      <c r="J338" s="634" t="s">
        <v>2567</v>
      </c>
      <c r="K338" s="635" t="s">
        <v>5263</v>
      </c>
      <c r="L338" s="252" t="s">
        <v>4444</v>
      </c>
      <c r="M338" s="634" t="s">
        <v>5264</v>
      </c>
      <c r="N338" s="634" t="s">
        <v>4467</v>
      </c>
      <c r="O338" s="634" t="s">
        <v>5262</v>
      </c>
      <c r="P338" s="636"/>
      <c r="Q338" s="636"/>
      <c r="R338" s="636"/>
      <c r="S338" s="636"/>
      <c r="T338" s="636"/>
      <c r="U338" s="636"/>
      <c r="V338" s="636"/>
      <c r="W338" s="629"/>
      <c r="X338" s="630"/>
      <c r="AA338" s="149"/>
    </row>
    <row r="339" spans="1:27">
      <c r="A339" s="741"/>
      <c r="B339" s="143"/>
      <c r="C339" s="154"/>
      <c r="D339" s="252"/>
      <c r="E339" s="252" t="s">
        <v>4478</v>
      </c>
      <c r="F339" s="252">
        <v>71</v>
      </c>
      <c r="G339" s="252">
        <v>64</v>
      </c>
      <c r="H339" s="631" t="s">
        <v>5269</v>
      </c>
      <c r="I339" s="634" t="s">
        <v>30</v>
      </c>
      <c r="J339" s="540">
        <v>2550</v>
      </c>
      <c r="K339" s="635" t="s">
        <v>5270</v>
      </c>
      <c r="L339" s="252" t="s">
        <v>4444</v>
      </c>
      <c r="M339" s="634" t="s">
        <v>5264</v>
      </c>
      <c r="N339" s="252" t="s">
        <v>4937</v>
      </c>
      <c r="O339" s="252" t="s">
        <v>94</v>
      </c>
      <c r="P339" s="636"/>
      <c r="Q339" s="636"/>
      <c r="R339" s="636"/>
      <c r="S339" s="636"/>
      <c r="T339" s="636"/>
      <c r="U339" s="636"/>
      <c r="V339" s="636"/>
      <c r="W339" s="629"/>
      <c r="X339" s="630"/>
      <c r="AA339" s="149"/>
    </row>
    <row r="340" spans="1:27">
      <c r="A340" s="741"/>
      <c r="B340" s="143"/>
      <c r="C340" s="154"/>
      <c r="D340" s="252"/>
      <c r="E340" s="252" t="s">
        <v>4994</v>
      </c>
      <c r="F340" s="252">
        <v>79</v>
      </c>
      <c r="G340" s="252">
        <v>72</v>
      </c>
      <c r="H340" s="631" t="s">
        <v>5271</v>
      </c>
      <c r="I340" s="634" t="s">
        <v>30</v>
      </c>
      <c r="J340" s="540">
        <v>2550</v>
      </c>
      <c r="K340" s="635" t="s">
        <v>5270</v>
      </c>
      <c r="L340" s="252" t="s">
        <v>4444</v>
      </c>
      <c r="M340" s="634" t="s">
        <v>5264</v>
      </c>
      <c r="N340" s="252" t="s">
        <v>4937</v>
      </c>
      <c r="O340" s="252" t="s">
        <v>94</v>
      </c>
      <c r="P340" s="636"/>
      <c r="Q340" s="636"/>
      <c r="R340" s="636"/>
      <c r="S340" s="636"/>
      <c r="T340" s="636"/>
      <c r="U340" s="636"/>
      <c r="V340" s="636"/>
      <c r="W340" s="629"/>
      <c r="X340" s="630"/>
      <c r="AA340" s="149"/>
    </row>
    <row r="341" spans="1:27">
      <c r="A341" s="741"/>
      <c r="B341" s="143"/>
      <c r="C341" s="154"/>
      <c r="D341" s="252"/>
      <c r="E341" s="252" t="s">
        <v>4937</v>
      </c>
      <c r="F341" s="252" t="s">
        <v>5107</v>
      </c>
      <c r="G341" s="252" t="s">
        <v>5105</v>
      </c>
      <c r="H341" s="631" t="s">
        <v>5272</v>
      </c>
      <c r="I341" s="634" t="s">
        <v>30</v>
      </c>
      <c r="J341" s="540">
        <v>2550</v>
      </c>
      <c r="K341" s="635" t="s">
        <v>5270</v>
      </c>
      <c r="L341" s="252" t="s">
        <v>4444</v>
      </c>
      <c r="M341" s="634" t="s">
        <v>5264</v>
      </c>
      <c r="N341" s="252" t="s">
        <v>4937</v>
      </c>
      <c r="O341" s="252" t="s">
        <v>94</v>
      </c>
      <c r="P341" s="636"/>
      <c r="Q341" s="636"/>
      <c r="R341" s="636"/>
      <c r="S341" s="636"/>
      <c r="T341" s="636"/>
      <c r="U341" s="636"/>
      <c r="V341" s="636"/>
      <c r="W341" s="629"/>
      <c r="X341" s="630"/>
      <c r="AA341" s="149"/>
    </row>
    <row r="342" spans="1:27">
      <c r="A342" s="741"/>
      <c r="B342" s="143"/>
      <c r="C342" s="154"/>
      <c r="D342" s="252"/>
      <c r="E342" s="252" t="s">
        <v>4961</v>
      </c>
      <c r="F342" s="252" t="s">
        <v>4996</v>
      </c>
      <c r="G342" s="252" t="s">
        <v>4997</v>
      </c>
      <c r="H342" s="631" t="s">
        <v>5273</v>
      </c>
      <c r="I342" s="634" t="s">
        <v>30</v>
      </c>
      <c r="J342" s="540">
        <v>2550</v>
      </c>
      <c r="K342" s="635" t="s">
        <v>5270</v>
      </c>
      <c r="L342" s="252" t="s">
        <v>4444</v>
      </c>
      <c r="M342" s="634" t="s">
        <v>5264</v>
      </c>
      <c r="N342" s="252" t="s">
        <v>4937</v>
      </c>
      <c r="O342" s="252" t="s">
        <v>94</v>
      </c>
      <c r="P342" s="636"/>
      <c r="Q342" s="636"/>
      <c r="R342" s="636"/>
      <c r="S342" s="636"/>
      <c r="T342" s="636"/>
      <c r="U342" s="636"/>
      <c r="V342" s="636"/>
      <c r="W342" s="629"/>
      <c r="X342" s="630"/>
      <c r="AA342" s="149"/>
    </row>
    <row r="343" spans="1:27">
      <c r="A343" s="741"/>
      <c r="B343" s="143"/>
      <c r="C343" s="154"/>
      <c r="D343" s="252"/>
      <c r="E343" s="252" t="s">
        <v>4955</v>
      </c>
      <c r="F343" s="252" t="s">
        <v>5274</v>
      </c>
      <c r="G343" s="252" t="s">
        <v>5275</v>
      </c>
      <c r="H343" s="631" t="s">
        <v>5276</v>
      </c>
      <c r="I343" s="634" t="s">
        <v>30</v>
      </c>
      <c r="J343" s="540">
        <v>2550</v>
      </c>
      <c r="K343" s="635" t="s">
        <v>5270</v>
      </c>
      <c r="L343" s="252" t="s">
        <v>4444</v>
      </c>
      <c r="M343" s="634" t="s">
        <v>5264</v>
      </c>
      <c r="N343" s="252" t="s">
        <v>4937</v>
      </c>
      <c r="O343" s="252" t="s">
        <v>94</v>
      </c>
      <c r="P343" s="636"/>
      <c r="Q343" s="636"/>
      <c r="R343" s="636"/>
      <c r="S343" s="636"/>
      <c r="T343" s="636"/>
      <c r="U343" s="636"/>
      <c r="V343" s="636"/>
      <c r="W343" s="629"/>
      <c r="X343" s="630"/>
      <c r="AA343" s="149"/>
    </row>
    <row r="344" spans="1:27">
      <c r="A344" s="741"/>
      <c r="B344" s="143"/>
      <c r="C344" s="154"/>
      <c r="D344" s="252"/>
      <c r="E344" s="252" t="s">
        <v>4998</v>
      </c>
      <c r="F344" s="252" t="s">
        <v>4999</v>
      </c>
      <c r="G344" s="252" t="s">
        <v>5277</v>
      </c>
      <c r="H344" s="149" t="s">
        <v>6453</v>
      </c>
      <c r="I344" s="252"/>
      <c r="J344" s="252"/>
      <c r="K344" s="252"/>
      <c r="L344" s="252" t="s">
        <v>161</v>
      </c>
      <c r="M344" s="252"/>
      <c r="N344" s="252" t="s">
        <v>4467</v>
      </c>
      <c r="O344" s="252" t="s">
        <v>94</v>
      </c>
      <c r="P344" s="636"/>
      <c r="Q344" s="636"/>
      <c r="R344" s="636"/>
      <c r="S344" s="636"/>
      <c r="T344" s="636"/>
      <c r="U344" s="636"/>
      <c r="V344" s="636"/>
      <c r="W344" s="629"/>
      <c r="X344" s="630"/>
      <c r="AA344" s="149"/>
    </row>
    <row r="345" spans="1:27">
      <c r="A345" s="741"/>
      <c r="B345" s="143"/>
      <c r="C345" s="154"/>
      <c r="D345" s="252"/>
      <c r="E345" s="252" t="s">
        <v>4490</v>
      </c>
      <c r="F345" s="252" t="s">
        <v>5278</v>
      </c>
      <c r="G345" s="252" t="s">
        <v>5279</v>
      </c>
      <c r="H345" s="149" t="s">
        <v>6454</v>
      </c>
      <c r="I345" s="252"/>
      <c r="J345" s="252"/>
      <c r="K345" s="252"/>
      <c r="L345" s="252" t="s">
        <v>161</v>
      </c>
      <c r="M345" s="252"/>
      <c r="N345" s="252" t="s">
        <v>4467</v>
      </c>
      <c r="O345" s="252" t="s">
        <v>94</v>
      </c>
      <c r="P345" s="636"/>
      <c r="Q345" s="636"/>
      <c r="R345" s="636"/>
      <c r="S345" s="636"/>
      <c r="T345" s="636"/>
      <c r="U345" s="636"/>
      <c r="V345" s="636"/>
      <c r="W345" s="629"/>
      <c r="X345" s="630"/>
      <c r="AA345" s="149"/>
    </row>
    <row r="346" spans="1:27">
      <c r="A346" s="741"/>
      <c r="B346" s="143"/>
      <c r="C346" s="154"/>
      <c r="D346" s="252"/>
      <c r="E346" s="252" t="s">
        <v>5280</v>
      </c>
      <c r="F346" s="252" t="s">
        <v>5281</v>
      </c>
      <c r="G346" s="252" t="s">
        <v>4234</v>
      </c>
      <c r="H346" s="149" t="s">
        <v>5282</v>
      </c>
      <c r="I346" s="252"/>
      <c r="J346" s="252"/>
      <c r="K346" s="252"/>
      <c r="L346" s="252" t="s">
        <v>161</v>
      </c>
      <c r="M346" s="252"/>
      <c r="N346" s="252" t="s">
        <v>4467</v>
      </c>
      <c r="O346" s="252" t="s">
        <v>94</v>
      </c>
      <c r="P346" s="636"/>
      <c r="Q346" s="636"/>
      <c r="R346" s="636"/>
      <c r="S346" s="636"/>
      <c r="T346" s="636"/>
      <c r="U346" s="636"/>
      <c r="V346" s="636"/>
      <c r="W346" s="629"/>
      <c r="X346" s="630"/>
      <c r="AA346" s="149"/>
    </row>
    <row r="347" spans="1:27">
      <c r="A347" s="741"/>
      <c r="B347" s="143"/>
      <c r="C347" s="154"/>
      <c r="D347" s="252"/>
      <c r="E347" s="252" t="s">
        <v>5283</v>
      </c>
      <c r="F347" s="252" t="s">
        <v>4293</v>
      </c>
      <c r="G347" s="252" t="s">
        <v>5148</v>
      </c>
      <c r="H347" s="149" t="s">
        <v>5284</v>
      </c>
      <c r="I347" s="252"/>
      <c r="J347" s="252"/>
      <c r="K347" s="252"/>
      <c r="L347" s="252" t="s">
        <v>161</v>
      </c>
      <c r="M347" s="252"/>
      <c r="N347" s="252" t="s">
        <v>4467</v>
      </c>
      <c r="O347" s="252" t="s">
        <v>94</v>
      </c>
      <c r="P347" s="636"/>
      <c r="Q347" s="636"/>
      <c r="R347" s="636"/>
      <c r="S347" s="636"/>
      <c r="T347" s="636"/>
      <c r="U347" s="636"/>
      <c r="V347" s="636"/>
      <c r="W347" s="629"/>
      <c r="X347" s="630"/>
      <c r="AA347" s="149"/>
    </row>
    <row r="348" spans="1:27">
      <c r="A348" s="741"/>
      <c r="B348" s="143"/>
      <c r="C348" s="154"/>
      <c r="D348" s="252"/>
      <c r="E348" s="252" t="s">
        <v>5285</v>
      </c>
      <c r="F348" s="252" t="s">
        <v>5149</v>
      </c>
      <c r="G348" s="252" t="s">
        <v>5286</v>
      </c>
      <c r="H348" s="149" t="s">
        <v>5287</v>
      </c>
      <c r="I348" s="252"/>
      <c r="J348" s="252"/>
      <c r="K348" s="252"/>
      <c r="L348" s="252" t="s">
        <v>161</v>
      </c>
      <c r="M348" s="252"/>
      <c r="N348" s="252" t="s">
        <v>4467</v>
      </c>
      <c r="O348" s="252" t="s">
        <v>94</v>
      </c>
      <c r="P348" s="636"/>
      <c r="Q348" s="636"/>
      <c r="R348" s="636"/>
      <c r="S348" s="636"/>
      <c r="T348" s="636"/>
      <c r="U348" s="636"/>
      <c r="V348" s="636"/>
      <c r="W348" s="629"/>
      <c r="X348" s="630"/>
      <c r="AA348" s="149"/>
    </row>
    <row r="349" spans="1:27">
      <c r="A349" s="741"/>
      <c r="B349" s="143"/>
      <c r="C349" s="154"/>
      <c r="D349" s="252"/>
      <c r="E349" s="252" t="s">
        <v>4993</v>
      </c>
      <c r="F349" s="252" t="s">
        <v>5288</v>
      </c>
      <c r="G349" s="252" t="s">
        <v>5289</v>
      </c>
      <c r="H349" s="149" t="s">
        <v>5290</v>
      </c>
      <c r="I349" s="252"/>
      <c r="J349" s="252"/>
      <c r="K349" s="252"/>
      <c r="L349" s="252" t="s">
        <v>161</v>
      </c>
      <c r="M349" s="252"/>
      <c r="N349" s="252" t="s">
        <v>4467</v>
      </c>
      <c r="O349" s="252" t="s">
        <v>94</v>
      </c>
      <c r="P349" s="636"/>
      <c r="Q349" s="636"/>
      <c r="R349" s="636"/>
      <c r="S349" s="636"/>
      <c r="T349" s="636"/>
      <c r="U349" s="636"/>
      <c r="V349" s="636"/>
      <c r="W349" s="629"/>
      <c r="X349" s="630"/>
      <c r="AA349" s="149"/>
    </row>
    <row r="350" spans="1:27">
      <c r="A350" s="741"/>
      <c r="B350" s="143"/>
      <c r="C350" s="154"/>
      <c r="D350" s="252"/>
      <c r="E350" s="252" t="s">
        <v>5291</v>
      </c>
      <c r="F350" s="252" t="s">
        <v>5292</v>
      </c>
      <c r="G350" s="252" t="s">
        <v>5293</v>
      </c>
      <c r="H350" s="149" t="s">
        <v>5294</v>
      </c>
      <c r="I350" s="252"/>
      <c r="J350" s="252"/>
      <c r="K350" s="252"/>
      <c r="L350" s="252" t="s">
        <v>161</v>
      </c>
      <c r="M350" s="252"/>
      <c r="N350" s="252" t="s">
        <v>4467</v>
      </c>
      <c r="O350" s="252" t="s">
        <v>94</v>
      </c>
      <c r="P350" s="636"/>
      <c r="Q350" s="636"/>
      <c r="R350" s="636"/>
      <c r="S350" s="636"/>
      <c r="T350" s="636"/>
      <c r="U350" s="636"/>
      <c r="V350" s="636"/>
      <c r="W350" s="629"/>
      <c r="X350" s="630"/>
      <c r="AA350" s="149"/>
    </row>
    <row r="351" spans="1:27">
      <c r="A351" s="741"/>
      <c r="B351" s="143"/>
      <c r="C351" s="154"/>
      <c r="D351" s="252"/>
      <c r="E351" s="252" t="s">
        <v>5102</v>
      </c>
      <c r="F351" s="252" t="s">
        <v>5295</v>
      </c>
      <c r="G351" s="252" t="s">
        <v>5177</v>
      </c>
      <c r="H351" s="149" t="s">
        <v>5296</v>
      </c>
      <c r="I351" s="252"/>
      <c r="J351" s="252"/>
      <c r="K351" s="252"/>
      <c r="L351" s="252" t="s">
        <v>161</v>
      </c>
      <c r="M351" s="252"/>
      <c r="N351" s="252" t="s">
        <v>4467</v>
      </c>
      <c r="O351" s="252" t="s">
        <v>94</v>
      </c>
      <c r="P351" s="636"/>
      <c r="Q351" s="636"/>
      <c r="R351" s="636"/>
      <c r="S351" s="636"/>
      <c r="T351" s="636"/>
      <c r="U351" s="636"/>
      <c r="V351" s="636"/>
      <c r="W351" s="629"/>
      <c r="X351" s="630"/>
      <c r="AA351" s="149"/>
    </row>
    <row r="352" spans="1:27" ht="15">
      <c r="A352" s="734">
        <f>A327+1</f>
        <v>94</v>
      </c>
      <c r="B352" s="38" t="s">
        <v>4789</v>
      </c>
      <c r="C352" s="335" t="s">
        <v>5297</v>
      </c>
      <c r="D352" s="332" t="s">
        <v>5298</v>
      </c>
      <c r="E352" s="332"/>
      <c r="F352" s="332"/>
      <c r="G352" s="332"/>
      <c r="H352" s="335"/>
      <c r="I352" s="332"/>
      <c r="J352" s="332"/>
      <c r="K352" s="332"/>
      <c r="L352" s="332"/>
      <c r="M352" s="687"/>
      <c r="N352" s="332"/>
      <c r="O352" s="332"/>
      <c r="P352" s="688" t="s">
        <v>4923</v>
      </c>
      <c r="Q352" s="332" t="s">
        <v>4924</v>
      </c>
      <c r="R352" s="688"/>
      <c r="S352" s="688"/>
      <c r="T352" s="688"/>
      <c r="U352" s="688"/>
      <c r="V352" s="688"/>
      <c r="W352" s="689"/>
      <c r="X352" s="684" t="s">
        <v>4773</v>
      </c>
      <c r="AA352" s="337" t="s">
        <v>148</v>
      </c>
    </row>
    <row r="353" spans="1:27">
      <c r="A353" s="741"/>
      <c r="B353" s="143"/>
      <c r="C353" s="149"/>
      <c r="D353" s="252"/>
      <c r="E353" s="252" t="s">
        <v>94</v>
      </c>
      <c r="F353" s="252" t="s">
        <v>4477</v>
      </c>
      <c r="G353" s="252" t="s">
        <v>4926</v>
      </c>
      <c r="H353" s="149" t="s">
        <v>5299</v>
      </c>
      <c r="I353" s="252"/>
      <c r="J353" s="252"/>
      <c r="K353" s="252"/>
      <c r="L353" s="252" t="s">
        <v>161</v>
      </c>
      <c r="M353" s="252"/>
      <c r="N353" s="252" t="s">
        <v>4467</v>
      </c>
      <c r="O353" s="252" t="s">
        <v>94</v>
      </c>
      <c r="P353" s="252"/>
      <c r="Q353" s="252"/>
      <c r="R353" s="252"/>
      <c r="S353" s="252"/>
      <c r="T353" s="252"/>
      <c r="U353" s="252"/>
      <c r="V353" s="252"/>
      <c r="W353" s="629"/>
      <c r="X353" s="630"/>
      <c r="AA353" s="149"/>
    </row>
    <row r="354" spans="1:27">
      <c r="A354" s="741"/>
      <c r="B354" s="143"/>
      <c r="C354" s="149"/>
      <c r="D354" s="252"/>
      <c r="E354" s="252" t="s">
        <v>4937</v>
      </c>
      <c r="F354" s="252" t="s">
        <v>5107</v>
      </c>
      <c r="G354" s="252" t="s">
        <v>5108</v>
      </c>
      <c r="H354" s="149" t="s">
        <v>5300</v>
      </c>
      <c r="I354" s="252"/>
      <c r="J354" s="252"/>
      <c r="K354" s="252"/>
      <c r="L354" s="252" t="s">
        <v>161</v>
      </c>
      <c r="M354" s="252"/>
      <c r="N354" s="252" t="s">
        <v>4467</v>
      </c>
      <c r="O354" s="252" t="s">
        <v>94</v>
      </c>
      <c r="P354" s="252"/>
      <c r="Q354" s="252"/>
      <c r="R354" s="252"/>
      <c r="S354" s="252"/>
      <c r="T354" s="252"/>
      <c r="U354" s="252"/>
      <c r="V354" s="252"/>
      <c r="W354" s="629"/>
      <c r="X354" s="630"/>
      <c r="AA354" s="149"/>
    </row>
    <row r="355" spans="1:27" ht="33.75">
      <c r="A355" s="741"/>
      <c r="B355" s="143"/>
      <c r="C355" s="149"/>
      <c r="D355" s="252"/>
      <c r="E355" s="252" t="s">
        <v>2595</v>
      </c>
      <c r="F355" s="252" t="s">
        <v>5110</v>
      </c>
      <c r="G355" s="252" t="s">
        <v>5024</v>
      </c>
      <c r="H355" s="149" t="s">
        <v>5301</v>
      </c>
      <c r="I355" s="252" t="s">
        <v>30</v>
      </c>
      <c r="J355" s="252" t="s">
        <v>4474</v>
      </c>
      <c r="K355" s="252"/>
      <c r="L355" s="252" t="s">
        <v>4444</v>
      </c>
      <c r="M355" s="634" t="s">
        <v>5302</v>
      </c>
      <c r="N355" s="252" t="s">
        <v>33</v>
      </c>
      <c r="O355" s="252" t="s">
        <v>30</v>
      </c>
      <c r="P355" s="252"/>
      <c r="Q355" s="252"/>
      <c r="R355" s="252"/>
      <c r="S355" s="252"/>
      <c r="T355" s="252"/>
      <c r="U355" s="252"/>
      <c r="V355" s="252"/>
      <c r="W355" s="629"/>
      <c r="X355" s="630"/>
      <c r="AA355" s="149"/>
    </row>
    <row r="356" spans="1:27" ht="15">
      <c r="A356" s="734">
        <f>A352+1</f>
        <v>95</v>
      </c>
      <c r="B356" s="38" t="s">
        <v>4791</v>
      </c>
      <c r="C356" s="335" t="s">
        <v>5303</v>
      </c>
      <c r="D356" s="332" t="s">
        <v>5298</v>
      </c>
      <c r="E356" s="332"/>
      <c r="F356" s="332"/>
      <c r="G356" s="332"/>
      <c r="H356" s="335"/>
      <c r="I356" s="332"/>
      <c r="J356" s="332"/>
      <c r="K356" s="332"/>
      <c r="L356" s="332"/>
      <c r="M356" s="687"/>
      <c r="N356" s="332"/>
      <c r="O356" s="332"/>
      <c r="P356" s="688" t="s">
        <v>4923</v>
      </c>
      <c r="Q356" s="332" t="s">
        <v>4924</v>
      </c>
      <c r="R356" s="688"/>
      <c r="S356" s="688"/>
      <c r="T356" s="688"/>
      <c r="U356" s="688"/>
      <c r="V356" s="688"/>
      <c r="W356" s="689"/>
      <c r="X356" s="684" t="s">
        <v>4773</v>
      </c>
      <c r="AA356" s="337" t="s">
        <v>148</v>
      </c>
    </row>
    <row r="357" spans="1:27">
      <c r="A357" s="741"/>
      <c r="B357" s="143"/>
      <c r="C357" s="149"/>
      <c r="D357" s="252"/>
      <c r="E357" s="252" t="s">
        <v>94</v>
      </c>
      <c r="F357" s="252" t="s">
        <v>4477</v>
      </c>
      <c r="G357" s="252" t="s">
        <v>4926</v>
      </c>
      <c r="H357" s="149" t="s">
        <v>5304</v>
      </c>
      <c r="I357" s="252"/>
      <c r="J357" s="252"/>
      <c r="K357" s="252"/>
      <c r="L357" s="252" t="s">
        <v>161</v>
      </c>
      <c r="M357" s="252"/>
      <c r="N357" s="252" t="s">
        <v>4467</v>
      </c>
      <c r="O357" s="252" t="s">
        <v>94</v>
      </c>
      <c r="P357" s="252"/>
      <c r="Q357" s="252"/>
      <c r="R357" s="252"/>
      <c r="S357" s="252"/>
      <c r="T357" s="252"/>
      <c r="U357" s="252"/>
      <c r="V357" s="252"/>
      <c r="W357" s="629"/>
      <c r="X357" s="630"/>
      <c r="AA357" s="149"/>
    </row>
    <row r="358" spans="1:27">
      <c r="A358" s="741"/>
      <c r="B358" s="143"/>
      <c r="C358" s="149"/>
      <c r="D358" s="252"/>
      <c r="E358" s="252" t="s">
        <v>4937</v>
      </c>
      <c r="F358" s="252" t="s">
        <v>5107</v>
      </c>
      <c r="G358" s="252" t="s">
        <v>5108</v>
      </c>
      <c r="H358" s="149" t="s">
        <v>5305</v>
      </c>
      <c r="I358" s="252"/>
      <c r="J358" s="252"/>
      <c r="K358" s="252"/>
      <c r="L358" s="252" t="s">
        <v>161</v>
      </c>
      <c r="M358" s="252"/>
      <c r="N358" s="252" t="s">
        <v>4467</v>
      </c>
      <c r="O358" s="252" t="s">
        <v>94</v>
      </c>
      <c r="P358" s="252"/>
      <c r="Q358" s="252"/>
      <c r="R358" s="252"/>
      <c r="S358" s="252"/>
      <c r="T358" s="252"/>
      <c r="U358" s="252"/>
      <c r="V358" s="252"/>
      <c r="W358" s="629"/>
      <c r="X358" s="630"/>
      <c r="AA358" s="149"/>
    </row>
    <row r="359" spans="1:27" ht="33.75">
      <c r="A359" s="741"/>
      <c r="B359" s="143"/>
      <c r="C359" s="149"/>
      <c r="D359" s="252"/>
      <c r="E359" s="252" t="s">
        <v>2595</v>
      </c>
      <c r="F359" s="252" t="s">
        <v>5110</v>
      </c>
      <c r="G359" s="252" t="s">
        <v>5024</v>
      </c>
      <c r="H359" s="149" t="s">
        <v>5306</v>
      </c>
      <c r="I359" s="252" t="s">
        <v>30</v>
      </c>
      <c r="J359" s="252" t="s">
        <v>4474</v>
      </c>
      <c r="K359" s="252"/>
      <c r="L359" s="252" t="s">
        <v>4444</v>
      </c>
      <c r="M359" s="634" t="s">
        <v>5302</v>
      </c>
      <c r="N359" s="252" t="s">
        <v>33</v>
      </c>
      <c r="O359" s="252" t="s">
        <v>30</v>
      </c>
      <c r="P359" s="252"/>
      <c r="Q359" s="252"/>
      <c r="R359" s="252"/>
      <c r="S359" s="252"/>
      <c r="T359" s="252"/>
      <c r="U359" s="252"/>
      <c r="V359" s="252"/>
      <c r="W359" s="629"/>
      <c r="X359" s="630"/>
      <c r="AA359" s="149"/>
    </row>
    <row r="360" spans="1:27" ht="15">
      <c r="A360" s="734">
        <f>A356+1</f>
        <v>96</v>
      </c>
      <c r="B360" s="38" t="s">
        <v>4793</v>
      </c>
      <c r="C360" s="335" t="s">
        <v>5307</v>
      </c>
      <c r="D360" s="332" t="s">
        <v>6455</v>
      </c>
      <c r="E360" s="332"/>
      <c r="F360" s="332"/>
      <c r="G360" s="332"/>
      <c r="H360" s="335"/>
      <c r="I360" s="332"/>
      <c r="J360" s="332"/>
      <c r="K360" s="332"/>
      <c r="L360" s="332"/>
      <c r="M360" s="687"/>
      <c r="N360" s="332"/>
      <c r="O360" s="332"/>
      <c r="P360" s="688" t="s">
        <v>4923</v>
      </c>
      <c r="Q360" s="332" t="s">
        <v>4924</v>
      </c>
      <c r="R360" s="688"/>
      <c r="S360" s="688"/>
      <c r="T360" s="688"/>
      <c r="U360" s="688"/>
      <c r="V360" s="688"/>
      <c r="W360" s="689"/>
      <c r="X360" s="684" t="s">
        <v>4773</v>
      </c>
      <c r="AA360" s="337" t="s">
        <v>148</v>
      </c>
    </row>
    <row r="361" spans="1:27" ht="15">
      <c r="A361" s="741"/>
      <c r="B361" s="42"/>
      <c r="C361" s="149"/>
      <c r="D361" s="252"/>
      <c r="E361" s="252" t="s">
        <v>94</v>
      </c>
      <c r="F361" s="252" t="s">
        <v>4477</v>
      </c>
      <c r="G361" s="252" t="s">
        <v>4926</v>
      </c>
      <c r="H361" s="149" t="s">
        <v>5308</v>
      </c>
      <c r="I361" s="252"/>
      <c r="J361" s="252"/>
      <c r="K361" s="252"/>
      <c r="L361" s="252" t="s">
        <v>161</v>
      </c>
      <c r="M361" s="252"/>
      <c r="N361" s="252" t="s">
        <v>4467</v>
      </c>
      <c r="O361" s="252" t="s">
        <v>94</v>
      </c>
      <c r="P361" s="252"/>
      <c r="Q361" s="252"/>
      <c r="R361" s="252"/>
      <c r="S361" s="252"/>
      <c r="T361" s="252"/>
      <c r="U361" s="252"/>
      <c r="V361" s="252"/>
      <c r="W361" s="629"/>
      <c r="X361" s="630"/>
      <c r="AA361" s="149"/>
    </row>
    <row r="362" spans="1:27" ht="15">
      <c r="A362" s="741"/>
      <c r="B362" s="42"/>
      <c r="C362" s="149"/>
      <c r="D362" s="252"/>
      <c r="E362" s="252" t="s">
        <v>4937</v>
      </c>
      <c r="F362" s="252" t="s">
        <v>5107</v>
      </c>
      <c r="G362" s="252" t="s">
        <v>5108</v>
      </c>
      <c r="H362" s="149" t="s">
        <v>5309</v>
      </c>
      <c r="I362" s="252"/>
      <c r="J362" s="252"/>
      <c r="K362" s="252"/>
      <c r="L362" s="252" t="s">
        <v>161</v>
      </c>
      <c r="M362" s="252"/>
      <c r="N362" s="252" t="s">
        <v>4467</v>
      </c>
      <c r="O362" s="252" t="s">
        <v>94</v>
      </c>
      <c r="P362" s="252"/>
      <c r="Q362" s="252"/>
      <c r="R362" s="252"/>
      <c r="S362" s="252"/>
      <c r="T362" s="252"/>
      <c r="U362" s="252"/>
      <c r="V362" s="252"/>
      <c r="W362" s="629"/>
      <c r="X362" s="630"/>
      <c r="AA362" s="149"/>
    </row>
    <row r="363" spans="1:27">
      <c r="A363" s="741"/>
      <c r="B363" s="143"/>
      <c r="C363" s="149"/>
      <c r="D363" s="252"/>
      <c r="E363" s="252" t="s">
        <v>2595</v>
      </c>
      <c r="F363" s="252" t="s">
        <v>5110</v>
      </c>
      <c r="G363" s="252" t="s">
        <v>4935</v>
      </c>
      <c r="H363" s="149" t="s">
        <v>5310</v>
      </c>
      <c r="I363" s="633" t="s">
        <v>30</v>
      </c>
      <c r="J363" s="252" t="s">
        <v>5311</v>
      </c>
      <c r="K363" s="633" t="s">
        <v>5312</v>
      </c>
      <c r="L363" s="252" t="s">
        <v>4444</v>
      </c>
      <c r="M363" s="634" t="s">
        <v>5313</v>
      </c>
      <c r="N363" s="252" t="s">
        <v>4937</v>
      </c>
      <c r="O363" s="252" t="s">
        <v>30</v>
      </c>
      <c r="P363" s="252"/>
      <c r="Q363" s="252"/>
      <c r="R363" s="252"/>
      <c r="S363" s="252"/>
      <c r="T363" s="252"/>
      <c r="U363" s="252"/>
      <c r="V363" s="252"/>
      <c r="W363" s="629"/>
      <c r="X363" s="630"/>
      <c r="AA363" s="149"/>
    </row>
    <row r="364" spans="1:27">
      <c r="A364" s="741"/>
      <c r="B364" s="143"/>
      <c r="C364" s="154"/>
      <c r="D364" s="252"/>
      <c r="E364" s="252" t="s">
        <v>5314</v>
      </c>
      <c r="F364" s="252" t="s">
        <v>5315</v>
      </c>
      <c r="G364" s="252" t="s">
        <v>5316</v>
      </c>
      <c r="H364" s="149" t="s">
        <v>5317</v>
      </c>
      <c r="I364" s="633" t="s">
        <v>30</v>
      </c>
      <c r="J364" s="252" t="s">
        <v>5311</v>
      </c>
      <c r="K364" s="633" t="s">
        <v>5312</v>
      </c>
      <c r="L364" s="252" t="s">
        <v>4444</v>
      </c>
      <c r="M364" s="634" t="s">
        <v>5313</v>
      </c>
      <c r="N364" s="252" t="s">
        <v>4937</v>
      </c>
      <c r="O364" s="252" t="s">
        <v>30</v>
      </c>
      <c r="P364" s="252"/>
      <c r="Q364" s="252"/>
      <c r="R364" s="252"/>
      <c r="S364" s="252"/>
      <c r="T364" s="252"/>
      <c r="U364" s="252"/>
      <c r="V364" s="252"/>
      <c r="W364" s="629"/>
      <c r="X364" s="630"/>
      <c r="AA364" s="149"/>
    </row>
    <row r="365" spans="1:27">
      <c r="A365" s="741"/>
      <c r="B365" s="143"/>
      <c r="C365" s="154"/>
      <c r="D365" s="154"/>
      <c r="E365" s="252" t="s">
        <v>4494</v>
      </c>
      <c r="F365" s="252" t="s">
        <v>5318</v>
      </c>
      <c r="G365" s="252" t="s">
        <v>5319</v>
      </c>
      <c r="H365" s="149" t="s">
        <v>5320</v>
      </c>
      <c r="I365" s="633" t="s">
        <v>30</v>
      </c>
      <c r="J365" s="252" t="s">
        <v>5311</v>
      </c>
      <c r="K365" s="633" t="s">
        <v>5312</v>
      </c>
      <c r="L365" s="252" t="s">
        <v>4444</v>
      </c>
      <c r="M365" s="634" t="s">
        <v>5313</v>
      </c>
      <c r="N365" s="252" t="s">
        <v>4937</v>
      </c>
      <c r="O365" s="252" t="s">
        <v>30</v>
      </c>
      <c r="P365" s="636"/>
      <c r="Q365" s="636"/>
      <c r="R365" s="636"/>
      <c r="S365" s="636"/>
      <c r="T365" s="636"/>
      <c r="U365" s="636"/>
      <c r="V365" s="636"/>
      <c r="W365" s="629"/>
      <c r="X365" s="630"/>
      <c r="AA365" s="149"/>
    </row>
    <row r="366" spans="1:27" ht="15">
      <c r="A366" s="734">
        <f>A360+1</f>
        <v>97</v>
      </c>
      <c r="B366" s="38" t="s">
        <v>4795</v>
      </c>
      <c r="C366" s="335" t="s">
        <v>4796</v>
      </c>
      <c r="D366" s="332" t="s">
        <v>141</v>
      </c>
      <c r="E366" s="332"/>
      <c r="F366" s="332"/>
      <c r="G366" s="332"/>
      <c r="H366" s="335"/>
      <c r="I366" s="332"/>
      <c r="J366" s="332"/>
      <c r="K366" s="332"/>
      <c r="L366" s="332"/>
      <c r="M366" s="687"/>
      <c r="N366" s="332"/>
      <c r="O366" s="332"/>
      <c r="P366" s="688" t="s">
        <v>4923</v>
      </c>
      <c r="Q366" s="332" t="s">
        <v>4924</v>
      </c>
      <c r="R366" s="688"/>
      <c r="S366" s="688"/>
      <c r="T366" s="688"/>
      <c r="U366" s="688"/>
      <c r="V366" s="688"/>
      <c r="W366" s="689"/>
      <c r="X366" s="684" t="s">
        <v>4773</v>
      </c>
      <c r="AA366" s="337" t="s">
        <v>148</v>
      </c>
    </row>
    <row r="367" spans="1:27" ht="22.5">
      <c r="A367" s="741"/>
      <c r="B367" s="143"/>
      <c r="C367" s="149"/>
      <c r="D367" s="252"/>
      <c r="E367" s="252" t="s">
        <v>94</v>
      </c>
      <c r="F367" s="252" t="s">
        <v>4477</v>
      </c>
      <c r="G367" s="252" t="s">
        <v>4487</v>
      </c>
      <c r="H367" s="631" t="s">
        <v>5321</v>
      </c>
      <c r="I367" s="252" t="s">
        <v>5322</v>
      </c>
      <c r="J367" s="252" t="s">
        <v>5323</v>
      </c>
      <c r="K367" s="252" t="s">
        <v>5270</v>
      </c>
      <c r="L367" s="252" t="s">
        <v>4444</v>
      </c>
      <c r="M367" s="637" t="s">
        <v>5324</v>
      </c>
      <c r="N367" s="252" t="s">
        <v>4937</v>
      </c>
      <c r="O367" s="252" t="s">
        <v>5322</v>
      </c>
      <c r="P367" s="252"/>
      <c r="Q367" s="252"/>
      <c r="R367" s="252"/>
      <c r="S367" s="252"/>
      <c r="T367" s="252"/>
      <c r="U367" s="252"/>
      <c r="V367" s="252"/>
      <c r="W367" s="629"/>
      <c r="X367" s="630"/>
      <c r="AA367" s="149"/>
    </row>
    <row r="368" spans="1:27" ht="22.5">
      <c r="A368" s="741"/>
      <c r="B368" s="143"/>
      <c r="C368" s="149"/>
      <c r="D368" s="252"/>
      <c r="E368" s="252" t="s">
        <v>4467</v>
      </c>
      <c r="F368" s="252" t="s">
        <v>5253</v>
      </c>
      <c r="G368" s="252" t="s">
        <v>5314</v>
      </c>
      <c r="H368" s="631" t="s">
        <v>5325</v>
      </c>
      <c r="I368" s="252" t="s">
        <v>5322</v>
      </c>
      <c r="J368" s="252" t="s">
        <v>5323</v>
      </c>
      <c r="K368" s="252" t="s">
        <v>5270</v>
      </c>
      <c r="L368" s="252" t="s">
        <v>4444</v>
      </c>
      <c r="M368" s="634" t="s">
        <v>5324</v>
      </c>
      <c r="N368" s="252" t="s">
        <v>4937</v>
      </c>
      <c r="O368" s="252" t="s">
        <v>5326</v>
      </c>
      <c r="P368" s="252"/>
      <c r="Q368" s="252"/>
      <c r="R368" s="252"/>
      <c r="S368" s="252"/>
      <c r="T368" s="252"/>
      <c r="U368" s="252"/>
      <c r="V368" s="252"/>
      <c r="W368" s="638"/>
      <c r="X368" s="639"/>
      <c r="AA368" s="149"/>
    </row>
    <row r="369" spans="1:27" s="18" customFormat="1" ht="12">
      <c r="A369" s="734">
        <f>A366+1</f>
        <v>98</v>
      </c>
      <c r="B369" s="333" t="s">
        <v>5327</v>
      </c>
      <c r="C369" s="690" t="s">
        <v>4871</v>
      </c>
      <c r="D369" s="337" t="s">
        <v>5298</v>
      </c>
      <c r="E369" s="337"/>
      <c r="F369" s="337"/>
      <c r="G369" s="337"/>
      <c r="H369" s="334"/>
      <c r="I369" s="332"/>
      <c r="J369" s="332"/>
      <c r="K369" s="332"/>
      <c r="L369" s="332"/>
      <c r="M369" s="332"/>
      <c r="N369" s="332"/>
      <c r="O369" s="332"/>
      <c r="P369" s="332" t="s">
        <v>4932</v>
      </c>
      <c r="Q369" s="332" t="s">
        <v>4924</v>
      </c>
      <c r="R369" s="332"/>
      <c r="S369" s="332"/>
      <c r="T369" s="336" t="s">
        <v>478</v>
      </c>
      <c r="U369" s="336"/>
      <c r="V369" s="336" t="s">
        <v>479</v>
      </c>
      <c r="W369" s="337" t="s">
        <v>6461</v>
      </c>
      <c r="X369" s="332" t="s">
        <v>4873</v>
      </c>
      <c r="AA369" s="337" t="s">
        <v>148</v>
      </c>
    </row>
    <row r="370" spans="1:27" s="18" customFormat="1" ht="11.25">
      <c r="A370" s="538"/>
      <c r="B370" s="262"/>
      <c r="C370" s="640"/>
      <c r="D370" s="88"/>
      <c r="E370" s="88" t="s">
        <v>94</v>
      </c>
      <c r="F370" s="88" t="s">
        <v>4477</v>
      </c>
      <c r="G370" s="88" t="s">
        <v>566</v>
      </c>
      <c r="H370" s="254" t="s">
        <v>5329</v>
      </c>
      <c r="I370" s="252" t="s">
        <v>5330</v>
      </c>
      <c r="J370" s="252" t="s">
        <v>5331</v>
      </c>
      <c r="K370" s="252" t="s">
        <v>5332</v>
      </c>
      <c r="L370" s="252" t="s">
        <v>4444</v>
      </c>
      <c r="M370" s="252"/>
      <c r="N370" s="252" t="s">
        <v>5333</v>
      </c>
      <c r="O370" s="252" t="s">
        <v>5330</v>
      </c>
      <c r="P370" s="252"/>
      <c r="Q370" s="252"/>
      <c r="R370" s="252"/>
      <c r="S370" s="252"/>
      <c r="T370" s="252"/>
      <c r="U370" s="252"/>
      <c r="V370" s="252"/>
      <c r="W370" s="254" t="s">
        <v>5334</v>
      </c>
      <c r="X370" s="88"/>
      <c r="AA370" s="149"/>
    </row>
    <row r="371" spans="1:27" s="18" customFormat="1" ht="22.5">
      <c r="A371" s="538"/>
      <c r="B371" s="262"/>
      <c r="C371" s="640"/>
      <c r="D371" s="88"/>
      <c r="E371" s="88" t="s">
        <v>5335</v>
      </c>
      <c r="F371" s="88" t="s">
        <v>5336</v>
      </c>
      <c r="G371" s="88" t="s">
        <v>5337</v>
      </c>
      <c r="H371" s="254" t="s">
        <v>5338</v>
      </c>
      <c r="I371" s="252" t="s">
        <v>5339</v>
      </c>
      <c r="J371" s="252" t="s">
        <v>5340</v>
      </c>
      <c r="K371" s="252"/>
      <c r="L371" s="252" t="s">
        <v>4444</v>
      </c>
      <c r="M371" s="284" t="s">
        <v>5341</v>
      </c>
      <c r="N371" s="252" t="s">
        <v>5340</v>
      </c>
      <c r="O371" s="252" t="s">
        <v>5339</v>
      </c>
      <c r="P371" s="252"/>
      <c r="Q371" s="252"/>
      <c r="R371" s="252"/>
      <c r="S371" s="252"/>
      <c r="T371" s="252"/>
      <c r="U371" s="252"/>
      <c r="V371" s="252"/>
      <c r="W371" s="254" t="s">
        <v>5342</v>
      </c>
      <c r="X371" s="88"/>
      <c r="AA371" s="149"/>
    </row>
    <row r="372" spans="1:27" s="18" customFormat="1" ht="11.25">
      <c r="A372" s="538"/>
      <c r="B372" s="262"/>
      <c r="C372" s="640"/>
      <c r="D372" s="88"/>
      <c r="E372" s="88" t="s">
        <v>4501</v>
      </c>
      <c r="F372" s="88" t="s">
        <v>4497</v>
      </c>
      <c r="G372" s="88" t="s">
        <v>5343</v>
      </c>
      <c r="H372" s="254" t="s">
        <v>5344</v>
      </c>
      <c r="I372" s="641" t="str">
        <f>IF([1]GeneralInfo!A467="EBUS","0","0")</f>
        <v>0</v>
      </c>
      <c r="J372" s="641" t="str">
        <f>IF([1]GeneralInfo!A467="EBUS","250.99609375","255.875")</f>
        <v>255.875</v>
      </c>
      <c r="K372" s="641" t="str">
        <f>IF([1]GeneralInfo!A467="EBUS","km/h","km/h")</f>
        <v>km/h</v>
      </c>
      <c r="L372" s="252" t="s">
        <v>4444</v>
      </c>
      <c r="M372" s="642" t="str">
        <f>IF([1]GeneralInfo!A467="EBUS","","")</f>
        <v/>
      </c>
      <c r="N372" s="641" t="str">
        <f>IF([1]GeneralInfo!A467="EBUS","0.00390625","0.125")</f>
        <v>0.125</v>
      </c>
      <c r="O372" s="641" t="str">
        <f>IF([1]GeneralInfo!A467="EBUS","0","0")</f>
        <v>0</v>
      </c>
      <c r="P372" s="252"/>
      <c r="Q372" s="252"/>
      <c r="R372" s="252"/>
      <c r="S372" s="252"/>
      <c r="T372" s="252"/>
      <c r="U372" s="252"/>
      <c r="V372" s="252"/>
      <c r="W372" s="254" t="s">
        <v>5345</v>
      </c>
      <c r="X372" s="88"/>
      <c r="AA372" s="149"/>
    </row>
    <row r="373" spans="1:27" s="18" customFormat="1" ht="22.5">
      <c r="A373" s="538"/>
      <c r="B373" s="262"/>
      <c r="C373" s="640"/>
      <c r="D373" s="88"/>
      <c r="E373" s="88" t="s">
        <v>5346</v>
      </c>
      <c r="F373" s="88" t="s">
        <v>5347</v>
      </c>
      <c r="G373" s="88" t="s">
        <v>5348</v>
      </c>
      <c r="H373" s="254" t="s">
        <v>5349</v>
      </c>
      <c r="I373" s="252" t="s">
        <v>5339</v>
      </c>
      <c r="J373" s="252" t="s">
        <v>5340</v>
      </c>
      <c r="K373" s="252"/>
      <c r="L373" s="252" t="s">
        <v>4444</v>
      </c>
      <c r="M373" s="284" t="s">
        <v>5341</v>
      </c>
      <c r="N373" s="252" t="s">
        <v>5340</v>
      </c>
      <c r="O373" s="252" t="s">
        <v>5339</v>
      </c>
      <c r="P373" s="252"/>
      <c r="Q373" s="252"/>
      <c r="R373" s="252"/>
      <c r="S373" s="252"/>
      <c r="T373" s="252"/>
      <c r="U373" s="252"/>
      <c r="V373" s="252"/>
      <c r="W373" s="254" t="s">
        <v>5350</v>
      </c>
      <c r="X373" s="88"/>
      <c r="AA373" s="149"/>
    </row>
    <row r="374" spans="1:27" s="18" customFormat="1" ht="22.5">
      <c r="A374" s="538"/>
      <c r="B374" s="262"/>
      <c r="C374" s="640"/>
      <c r="D374" s="88"/>
      <c r="E374" s="88" t="s">
        <v>5351</v>
      </c>
      <c r="F374" s="88" t="s">
        <v>5352</v>
      </c>
      <c r="G374" s="88" t="s">
        <v>5353</v>
      </c>
      <c r="H374" s="254" t="s">
        <v>5354</v>
      </c>
      <c r="I374" s="252" t="s">
        <v>5339</v>
      </c>
      <c r="J374" s="252" t="s">
        <v>5340</v>
      </c>
      <c r="K374" s="252"/>
      <c r="L374" s="252" t="s">
        <v>4444</v>
      </c>
      <c r="M374" s="284" t="s">
        <v>5355</v>
      </c>
      <c r="N374" s="252" t="s">
        <v>5340</v>
      </c>
      <c r="O374" s="252" t="s">
        <v>5339</v>
      </c>
      <c r="P374" s="252"/>
      <c r="Q374" s="252"/>
      <c r="R374" s="252"/>
      <c r="S374" s="252"/>
      <c r="T374" s="252"/>
      <c r="U374" s="252"/>
      <c r="V374" s="252"/>
      <c r="W374" s="254" t="s">
        <v>5356</v>
      </c>
      <c r="X374" s="88"/>
      <c r="AA374" s="149"/>
    </row>
    <row r="375" spans="1:27" s="18" customFormat="1" ht="22.5">
      <c r="A375" s="538"/>
      <c r="B375" s="262"/>
      <c r="C375" s="640"/>
      <c r="D375" s="88"/>
      <c r="E375" s="88" t="s">
        <v>5357</v>
      </c>
      <c r="F375" s="88" t="s">
        <v>5358</v>
      </c>
      <c r="G375" s="88" t="s">
        <v>5359</v>
      </c>
      <c r="H375" s="254" t="s">
        <v>5360</v>
      </c>
      <c r="I375" s="252" t="s">
        <v>5339</v>
      </c>
      <c r="J375" s="252" t="s">
        <v>5340</v>
      </c>
      <c r="K375" s="252"/>
      <c r="L375" s="252" t="s">
        <v>4444</v>
      </c>
      <c r="M375" s="284" t="s">
        <v>5361</v>
      </c>
      <c r="N375" s="252" t="s">
        <v>5340</v>
      </c>
      <c r="O375" s="252" t="s">
        <v>5339</v>
      </c>
      <c r="P375" s="252"/>
      <c r="Q375" s="252"/>
      <c r="R375" s="252"/>
      <c r="S375" s="252"/>
      <c r="T375" s="252"/>
      <c r="U375" s="252"/>
      <c r="V375" s="252"/>
      <c r="W375" s="254" t="s">
        <v>5362</v>
      </c>
      <c r="X375" s="88"/>
      <c r="AA375" s="149"/>
    </row>
    <row r="376" spans="1:27" s="18" customFormat="1" ht="11.25">
      <c r="A376" s="538"/>
      <c r="B376" s="262"/>
      <c r="C376" s="640"/>
      <c r="D376" s="88"/>
      <c r="E376" s="88" t="s">
        <v>5363</v>
      </c>
      <c r="F376" s="88" t="s">
        <v>5364</v>
      </c>
      <c r="G376" s="88" t="s">
        <v>5365</v>
      </c>
      <c r="H376" s="254" t="s">
        <v>5366</v>
      </c>
      <c r="I376" s="252" t="s">
        <v>5367</v>
      </c>
      <c r="J376" s="252" t="s">
        <v>5368</v>
      </c>
      <c r="K376" s="252" t="s">
        <v>5369</v>
      </c>
      <c r="L376" s="252" t="s">
        <v>4444</v>
      </c>
      <c r="M376" s="252"/>
      <c r="N376" s="252" t="s">
        <v>5370</v>
      </c>
      <c r="O376" s="252" t="s">
        <v>5367</v>
      </c>
      <c r="P376" s="252"/>
      <c r="Q376" s="252"/>
      <c r="R376" s="252"/>
      <c r="S376" s="252"/>
      <c r="T376" s="252"/>
      <c r="U376" s="252"/>
      <c r="V376" s="252"/>
      <c r="W376" s="254" t="s">
        <v>5371</v>
      </c>
      <c r="X376" s="88"/>
      <c r="AA376" s="149"/>
    </row>
    <row r="377" spans="1:27" s="18" customFormat="1" ht="22.5">
      <c r="A377" s="538"/>
      <c r="B377" s="262"/>
      <c r="C377" s="640"/>
      <c r="D377" s="88"/>
      <c r="E377" s="88" t="s">
        <v>5372</v>
      </c>
      <c r="F377" s="88" t="s">
        <v>5373</v>
      </c>
      <c r="G377" s="88" t="s">
        <v>5374</v>
      </c>
      <c r="H377" s="254" t="s">
        <v>5375</v>
      </c>
      <c r="I377" s="252" t="s">
        <v>5339</v>
      </c>
      <c r="J377" s="252" t="s">
        <v>5340</v>
      </c>
      <c r="K377" s="252"/>
      <c r="L377" s="252" t="s">
        <v>4444</v>
      </c>
      <c r="M377" s="284" t="s">
        <v>5355</v>
      </c>
      <c r="N377" s="252" t="s">
        <v>5340</v>
      </c>
      <c r="O377" s="252" t="s">
        <v>5339</v>
      </c>
      <c r="P377" s="252"/>
      <c r="Q377" s="252"/>
      <c r="R377" s="252"/>
      <c r="S377" s="252"/>
      <c r="T377" s="252"/>
      <c r="U377" s="252"/>
      <c r="V377" s="252"/>
      <c r="W377" s="254" t="s">
        <v>5376</v>
      </c>
      <c r="X377" s="88"/>
      <c r="AA377" s="149"/>
    </row>
    <row r="378" spans="1:27" s="18" customFormat="1" ht="22.5">
      <c r="A378" s="538"/>
      <c r="B378" s="262"/>
      <c r="C378" s="640"/>
      <c r="D378" s="88"/>
      <c r="E378" s="88" t="s">
        <v>5377</v>
      </c>
      <c r="F378" s="88" t="s">
        <v>5378</v>
      </c>
      <c r="G378" s="88" t="s">
        <v>5379</v>
      </c>
      <c r="H378" s="254" t="s">
        <v>5380</v>
      </c>
      <c r="I378" s="252" t="s">
        <v>5339</v>
      </c>
      <c r="J378" s="252" t="s">
        <v>5340</v>
      </c>
      <c r="K378" s="252"/>
      <c r="L378" s="252" t="s">
        <v>4444</v>
      </c>
      <c r="M378" s="284" t="s">
        <v>5361</v>
      </c>
      <c r="N378" s="252" t="s">
        <v>5340</v>
      </c>
      <c r="O378" s="252" t="s">
        <v>5339</v>
      </c>
      <c r="P378" s="252"/>
      <c r="Q378" s="252"/>
      <c r="R378" s="252"/>
      <c r="S378" s="252"/>
      <c r="T378" s="252"/>
      <c r="U378" s="252"/>
      <c r="V378" s="252"/>
      <c r="W378" s="254" t="s">
        <v>5381</v>
      </c>
      <c r="X378" s="88"/>
      <c r="AA378" s="149"/>
    </row>
    <row r="379" spans="1:27" s="18" customFormat="1" ht="11.25">
      <c r="A379" s="538"/>
      <c r="B379" s="262"/>
      <c r="C379" s="640"/>
      <c r="D379" s="88"/>
      <c r="E379" s="88" t="s">
        <v>5382</v>
      </c>
      <c r="F379" s="88" t="s">
        <v>5383</v>
      </c>
      <c r="G379" s="88" t="s">
        <v>5384</v>
      </c>
      <c r="H379" s="254" t="s">
        <v>5385</v>
      </c>
      <c r="I379" s="252" t="s">
        <v>5386</v>
      </c>
      <c r="J379" s="252" t="s">
        <v>5363</v>
      </c>
      <c r="K379" s="252" t="s">
        <v>5387</v>
      </c>
      <c r="L379" s="252" t="s">
        <v>4444</v>
      </c>
      <c r="M379" s="252"/>
      <c r="N379" s="252" t="s">
        <v>5388</v>
      </c>
      <c r="O379" s="252" t="s">
        <v>5386</v>
      </c>
      <c r="P379" s="252"/>
      <c r="Q379" s="252"/>
      <c r="R379" s="252"/>
      <c r="S379" s="252"/>
      <c r="T379" s="252"/>
      <c r="U379" s="252"/>
      <c r="V379" s="252"/>
      <c r="W379" s="254" t="s">
        <v>5389</v>
      </c>
      <c r="X379" s="88"/>
      <c r="AA379" s="149"/>
    </row>
    <row r="380" spans="1:27" s="18" customFormat="1" ht="22.5">
      <c r="A380" s="783"/>
      <c r="B380" s="743"/>
      <c r="C380" s="784"/>
      <c r="D380" s="326"/>
      <c r="E380" s="772" t="s">
        <v>5328</v>
      </c>
      <c r="F380" s="772" t="s">
        <v>5108</v>
      </c>
      <c r="G380" s="772" t="s">
        <v>5108</v>
      </c>
      <c r="H380" s="780" t="s">
        <v>5638</v>
      </c>
      <c r="I380" s="781" t="s">
        <v>94</v>
      </c>
      <c r="J380" s="781" t="s">
        <v>4467</v>
      </c>
      <c r="K380" s="781"/>
      <c r="L380" s="781" t="s">
        <v>4444</v>
      </c>
      <c r="M380" s="782" t="s">
        <v>5639</v>
      </c>
      <c r="N380" s="781" t="s">
        <v>4467</v>
      </c>
      <c r="O380" s="781" t="s">
        <v>94</v>
      </c>
      <c r="P380" s="785"/>
      <c r="Q380" s="785"/>
      <c r="R380" s="785"/>
      <c r="S380" s="785"/>
      <c r="T380" s="785"/>
      <c r="U380" s="785"/>
      <c r="V380" s="785"/>
      <c r="W380" s="780" t="s">
        <v>5640</v>
      </c>
      <c r="X380" s="326"/>
      <c r="AA380" s="149"/>
    </row>
    <row r="381" spans="1:27" s="18" customFormat="1" ht="56.25">
      <c r="A381" s="783"/>
      <c r="B381" s="743"/>
      <c r="C381" s="784"/>
      <c r="D381" s="326"/>
      <c r="E381" s="772" t="s">
        <v>5328</v>
      </c>
      <c r="F381" s="772" t="s">
        <v>6482</v>
      </c>
      <c r="G381" s="772" t="s">
        <v>6483</v>
      </c>
      <c r="H381" s="780" t="s">
        <v>5641</v>
      </c>
      <c r="I381" s="781" t="s">
        <v>94</v>
      </c>
      <c r="J381" s="781" t="s">
        <v>4477</v>
      </c>
      <c r="K381" s="781"/>
      <c r="L381" s="781" t="s">
        <v>4444</v>
      </c>
      <c r="M381" s="782" t="s">
        <v>5642</v>
      </c>
      <c r="N381" s="781" t="s">
        <v>4467</v>
      </c>
      <c r="O381" s="781" t="s">
        <v>94</v>
      </c>
      <c r="P381" s="785"/>
      <c r="Q381" s="785"/>
      <c r="R381" s="785"/>
      <c r="S381" s="785"/>
      <c r="T381" s="785"/>
      <c r="U381" s="785"/>
      <c r="V381" s="785"/>
      <c r="W381" s="780" t="s">
        <v>5643</v>
      </c>
      <c r="X381" s="326"/>
      <c r="AA381" s="149"/>
    </row>
    <row r="382" spans="1:27" s="18" customFormat="1" ht="90">
      <c r="A382" s="783"/>
      <c r="B382" s="743"/>
      <c r="C382" s="784"/>
      <c r="D382" s="326"/>
      <c r="E382" s="772" t="s">
        <v>5328</v>
      </c>
      <c r="F382" s="772" t="s">
        <v>6484</v>
      </c>
      <c r="G382" s="772" t="s">
        <v>6485</v>
      </c>
      <c r="H382" s="780" t="s">
        <v>5644</v>
      </c>
      <c r="I382" s="781" t="s">
        <v>94</v>
      </c>
      <c r="J382" s="781" t="s">
        <v>4487</v>
      </c>
      <c r="K382" s="781"/>
      <c r="L382" s="781" t="s">
        <v>4444</v>
      </c>
      <c r="M382" s="782" t="s">
        <v>5645</v>
      </c>
      <c r="N382" s="781" t="s">
        <v>4467</v>
      </c>
      <c r="O382" s="781" t="s">
        <v>94</v>
      </c>
      <c r="P382" s="785"/>
      <c r="Q382" s="785"/>
      <c r="R382" s="785"/>
      <c r="S382" s="785"/>
      <c r="T382" s="785"/>
      <c r="U382" s="785"/>
      <c r="V382" s="785"/>
      <c r="W382" s="780" t="s">
        <v>5646</v>
      </c>
      <c r="X382" s="326"/>
      <c r="AA382" s="149"/>
    </row>
    <row r="383" spans="1:27" s="18" customFormat="1" ht="11.25">
      <c r="A383" s="783"/>
      <c r="B383" s="743"/>
      <c r="C383" s="784"/>
      <c r="D383" s="326"/>
      <c r="E383" s="772" t="s">
        <v>2595</v>
      </c>
      <c r="F383" s="772" t="s">
        <v>5110</v>
      </c>
      <c r="G383" s="772" t="s">
        <v>5024</v>
      </c>
      <c r="H383" s="780" t="s">
        <v>5647</v>
      </c>
      <c r="I383" s="781" t="s">
        <v>94</v>
      </c>
      <c r="J383" s="781" t="s">
        <v>2595</v>
      </c>
      <c r="K383" s="781" t="s">
        <v>5648</v>
      </c>
      <c r="L383" s="781" t="s">
        <v>4444</v>
      </c>
      <c r="M383" s="781"/>
      <c r="N383" s="781" t="s">
        <v>5649</v>
      </c>
      <c r="O383" s="781" t="s">
        <v>94</v>
      </c>
      <c r="P383" s="785"/>
      <c r="Q383" s="785"/>
      <c r="R383" s="785"/>
      <c r="S383" s="785"/>
      <c r="T383" s="785"/>
      <c r="U383" s="785"/>
      <c r="V383" s="785"/>
      <c r="W383" s="780" t="s">
        <v>5650</v>
      </c>
      <c r="X383" s="326"/>
      <c r="AA383" s="149"/>
    </row>
    <row r="384" spans="1:27" s="18" customFormat="1" ht="12">
      <c r="A384" s="734">
        <f>A369+1</f>
        <v>99</v>
      </c>
      <c r="B384" s="333" t="s">
        <v>5390</v>
      </c>
      <c r="C384" s="690" t="s">
        <v>5391</v>
      </c>
      <c r="D384" s="337" t="s">
        <v>4998</v>
      </c>
      <c r="E384" s="337"/>
      <c r="F384" s="337"/>
      <c r="G384" s="337"/>
      <c r="H384" s="334"/>
      <c r="I384" s="332"/>
      <c r="J384" s="332"/>
      <c r="K384" s="332"/>
      <c r="L384" s="332"/>
      <c r="M384" s="332"/>
      <c r="N384" s="332"/>
      <c r="O384" s="332"/>
      <c r="P384" s="332" t="s">
        <v>4923</v>
      </c>
      <c r="Q384" s="332" t="s">
        <v>4924</v>
      </c>
      <c r="R384" s="332"/>
      <c r="S384" s="332"/>
      <c r="T384" s="332"/>
      <c r="U384" s="332"/>
      <c r="V384" s="332"/>
      <c r="W384" s="337" t="s">
        <v>6461</v>
      </c>
      <c r="X384" s="332" t="s">
        <v>4873</v>
      </c>
      <c r="AA384" s="337" t="s">
        <v>148</v>
      </c>
    </row>
    <row r="385" spans="1:27" s="18" customFormat="1" ht="11.25">
      <c r="A385" s="538"/>
      <c r="B385" s="262"/>
      <c r="C385" s="640"/>
      <c r="D385" s="88"/>
      <c r="E385" s="88" t="s">
        <v>94</v>
      </c>
      <c r="F385" s="88" t="s">
        <v>4477</v>
      </c>
      <c r="G385" s="88" t="s">
        <v>566</v>
      </c>
      <c r="H385" s="643" t="s">
        <v>5392</v>
      </c>
      <c r="I385" s="641" t="str">
        <f>IF([1]GeneralInfo!A505="EBUS","0","0")</f>
        <v>0</v>
      </c>
      <c r="J385" s="641" t="str">
        <f>IF([1]GeneralInfo!A505="EBUS","250.99609375","255.875")</f>
        <v>255.875</v>
      </c>
      <c r="K385" s="641" t="str">
        <f>IF([1]GeneralInfo!A505="EBUS","km/h","km/h")</f>
        <v>km/h</v>
      </c>
      <c r="L385" s="252" t="s">
        <v>4444</v>
      </c>
      <c r="M385" s="642" t="str">
        <f>IF([1]GeneralInfo!A505="EBUS","","")</f>
        <v/>
      </c>
      <c r="N385" s="641" t="str">
        <f>IF([1]GeneralInfo!A505="EBUS","0.00390625","0.125")</f>
        <v>0.125</v>
      </c>
      <c r="O385" s="641" t="str">
        <f>IF([1]GeneralInfo!A505="EBUS","0","0")</f>
        <v>0</v>
      </c>
      <c r="P385" s="252"/>
      <c r="Q385" s="252"/>
      <c r="R385" s="252"/>
      <c r="S385" s="252"/>
      <c r="T385" s="252"/>
      <c r="U385" s="252"/>
      <c r="V385" s="252"/>
      <c r="W385" s="643" t="s">
        <v>5393</v>
      </c>
      <c r="X385" s="88"/>
      <c r="AA385" s="149"/>
    </row>
    <row r="386" spans="1:27" s="18" customFormat="1" ht="11.25">
      <c r="A386" s="538"/>
      <c r="B386" s="262"/>
      <c r="C386" s="640"/>
      <c r="D386" s="88"/>
      <c r="E386" s="88" t="s">
        <v>5335</v>
      </c>
      <c r="F386" s="88" t="s">
        <v>5336</v>
      </c>
      <c r="G386" s="88" t="s">
        <v>5394</v>
      </c>
      <c r="H386" s="643" t="s">
        <v>5395</v>
      </c>
      <c r="I386" s="252" t="s">
        <v>5396</v>
      </c>
      <c r="J386" s="252" t="s">
        <v>5397</v>
      </c>
      <c r="K386" s="252" t="s">
        <v>5398</v>
      </c>
      <c r="L386" s="252" t="s">
        <v>4444</v>
      </c>
      <c r="M386" s="252"/>
      <c r="N386" s="252" t="s">
        <v>5388</v>
      </c>
      <c r="O386" s="252" t="s">
        <v>5396</v>
      </c>
      <c r="P386" s="252"/>
      <c r="Q386" s="252"/>
      <c r="R386" s="252"/>
      <c r="S386" s="252"/>
      <c r="T386" s="252"/>
      <c r="U386" s="252"/>
      <c r="V386" s="252"/>
      <c r="W386" s="643" t="s">
        <v>5399</v>
      </c>
      <c r="X386" s="88"/>
      <c r="AA386" s="149"/>
    </row>
    <row r="387" spans="1:27" s="18" customFormat="1" ht="22.5">
      <c r="A387" s="538"/>
      <c r="B387" s="262"/>
      <c r="C387" s="640"/>
      <c r="D387" s="88"/>
      <c r="E387" s="88" t="s">
        <v>5400</v>
      </c>
      <c r="F387" s="88" t="s">
        <v>5401</v>
      </c>
      <c r="G387" s="88" t="s">
        <v>5402</v>
      </c>
      <c r="H387" s="643" t="s">
        <v>5403</v>
      </c>
      <c r="I387" s="252" t="s">
        <v>5339</v>
      </c>
      <c r="J387" s="252" t="s">
        <v>5340</v>
      </c>
      <c r="K387" s="252"/>
      <c r="L387" s="252" t="s">
        <v>4444</v>
      </c>
      <c r="M387" s="284" t="s">
        <v>5355</v>
      </c>
      <c r="N387" s="252" t="s">
        <v>5340</v>
      </c>
      <c r="O387" s="252" t="s">
        <v>5339</v>
      </c>
      <c r="P387" s="252"/>
      <c r="Q387" s="252"/>
      <c r="R387" s="252"/>
      <c r="S387" s="252"/>
      <c r="T387" s="252"/>
      <c r="U387" s="252"/>
      <c r="V387" s="252"/>
      <c r="W387" s="643" t="s">
        <v>5404</v>
      </c>
      <c r="X387" s="88"/>
      <c r="AA387" s="149"/>
    </row>
    <row r="388" spans="1:27" s="18" customFormat="1" ht="11.25">
      <c r="A388" s="538"/>
      <c r="B388" s="262"/>
      <c r="C388" s="640"/>
      <c r="D388" s="88"/>
      <c r="E388" s="88" t="s">
        <v>5405</v>
      </c>
      <c r="F388" s="88" t="s">
        <v>5406</v>
      </c>
      <c r="G388" s="88" t="s">
        <v>5348</v>
      </c>
      <c r="H388" s="643" t="s">
        <v>5407</v>
      </c>
      <c r="I388" s="252" t="s">
        <v>5396</v>
      </c>
      <c r="J388" s="252" t="s">
        <v>5397</v>
      </c>
      <c r="K388" s="252" t="s">
        <v>5398</v>
      </c>
      <c r="L388" s="252" t="s">
        <v>4444</v>
      </c>
      <c r="M388" s="252"/>
      <c r="N388" s="252" t="s">
        <v>5388</v>
      </c>
      <c r="O388" s="252" t="s">
        <v>5396</v>
      </c>
      <c r="P388" s="252"/>
      <c r="Q388" s="252"/>
      <c r="R388" s="252"/>
      <c r="S388" s="252"/>
      <c r="T388" s="252"/>
      <c r="U388" s="252"/>
      <c r="V388" s="252"/>
      <c r="W388" s="643" t="s">
        <v>5408</v>
      </c>
      <c r="X388" s="88"/>
      <c r="AA388" s="149"/>
    </row>
    <row r="389" spans="1:27" s="18" customFormat="1" ht="22.5">
      <c r="A389" s="538"/>
      <c r="B389" s="262"/>
      <c r="C389" s="640"/>
      <c r="D389" s="88"/>
      <c r="E389" s="88" t="s">
        <v>5351</v>
      </c>
      <c r="F389" s="88" t="s">
        <v>5352</v>
      </c>
      <c r="G389" s="88" t="s">
        <v>5353</v>
      </c>
      <c r="H389" s="643" t="s">
        <v>5409</v>
      </c>
      <c r="I389" s="252" t="s">
        <v>5339</v>
      </c>
      <c r="J389" s="252" t="s">
        <v>5340</v>
      </c>
      <c r="K389" s="252"/>
      <c r="L389" s="252" t="s">
        <v>4444</v>
      </c>
      <c r="M389" s="284" t="s">
        <v>5355</v>
      </c>
      <c r="N389" s="252" t="s">
        <v>5340</v>
      </c>
      <c r="O389" s="252" t="s">
        <v>5339</v>
      </c>
      <c r="P389" s="252"/>
      <c r="Q389" s="252"/>
      <c r="R389" s="252"/>
      <c r="S389" s="252"/>
      <c r="T389" s="252"/>
      <c r="U389" s="252"/>
      <c r="V389" s="252"/>
      <c r="W389" s="643" t="s">
        <v>5410</v>
      </c>
      <c r="X389" s="88"/>
      <c r="AA389" s="149"/>
    </row>
    <row r="390" spans="1:27" s="18" customFormat="1" ht="11.25">
      <c r="A390" s="538"/>
      <c r="B390" s="262"/>
      <c r="C390" s="640"/>
      <c r="D390" s="88"/>
      <c r="E390" s="88" t="s">
        <v>5357</v>
      </c>
      <c r="F390" s="88" t="s">
        <v>5358</v>
      </c>
      <c r="G390" s="88" t="s">
        <v>5411</v>
      </c>
      <c r="H390" s="643" t="s">
        <v>5412</v>
      </c>
      <c r="I390" s="252" t="s">
        <v>5413</v>
      </c>
      <c r="J390" s="252" t="s">
        <v>5414</v>
      </c>
      <c r="K390" s="252" t="s">
        <v>5415</v>
      </c>
      <c r="L390" s="252" t="s">
        <v>4444</v>
      </c>
      <c r="M390" s="252"/>
      <c r="N390" s="252" t="s">
        <v>5370</v>
      </c>
      <c r="O390" s="252" t="s">
        <v>5413</v>
      </c>
      <c r="P390" s="252"/>
      <c r="Q390" s="252"/>
      <c r="R390" s="252"/>
      <c r="S390" s="252"/>
      <c r="T390" s="252"/>
      <c r="U390" s="252"/>
      <c r="V390" s="252"/>
      <c r="W390" s="643" t="s">
        <v>5416</v>
      </c>
      <c r="X390" s="149"/>
      <c r="AA390" s="149"/>
    </row>
    <row r="391" spans="1:27" s="18" customFormat="1" ht="22.5">
      <c r="A391" s="538"/>
      <c r="B391" s="262"/>
      <c r="C391" s="640"/>
      <c r="D391" s="88"/>
      <c r="E391" s="88" t="s">
        <v>5417</v>
      </c>
      <c r="F391" s="88" t="s">
        <v>5418</v>
      </c>
      <c r="G391" s="88" t="s">
        <v>5419</v>
      </c>
      <c r="H391" s="643" t="s">
        <v>5420</v>
      </c>
      <c r="I391" s="252" t="s">
        <v>5339</v>
      </c>
      <c r="J391" s="252" t="s">
        <v>5340</v>
      </c>
      <c r="K391" s="252"/>
      <c r="L391" s="252" t="s">
        <v>4444</v>
      </c>
      <c r="M391" s="284" t="s">
        <v>5355</v>
      </c>
      <c r="N391" s="252" t="s">
        <v>5340</v>
      </c>
      <c r="O391" s="252" t="s">
        <v>5339</v>
      </c>
      <c r="P391" s="252"/>
      <c r="Q391" s="252"/>
      <c r="R391" s="252"/>
      <c r="S391" s="252"/>
      <c r="T391" s="252"/>
      <c r="U391" s="252"/>
      <c r="V391" s="252"/>
      <c r="W391" s="643" t="s">
        <v>5421</v>
      </c>
      <c r="X391" s="88"/>
      <c r="AA391" s="149"/>
    </row>
    <row r="392" spans="1:27" s="18" customFormat="1" ht="12">
      <c r="A392" s="734">
        <f>A384+1</f>
        <v>100</v>
      </c>
      <c r="B392" s="333" t="s">
        <v>5422</v>
      </c>
      <c r="C392" s="690" t="s">
        <v>5423</v>
      </c>
      <c r="D392" s="337" t="s">
        <v>5424</v>
      </c>
      <c r="E392" s="337"/>
      <c r="F392" s="337"/>
      <c r="G392" s="337"/>
      <c r="H392" s="334"/>
      <c r="I392" s="332"/>
      <c r="J392" s="332"/>
      <c r="K392" s="332"/>
      <c r="L392" s="332"/>
      <c r="M392" s="332"/>
      <c r="N392" s="332"/>
      <c r="O392" s="332"/>
      <c r="P392" s="332" t="s">
        <v>4923</v>
      </c>
      <c r="Q392" s="332" t="s">
        <v>4924</v>
      </c>
      <c r="R392" s="332"/>
      <c r="S392" s="332"/>
      <c r="T392" s="332"/>
      <c r="U392" s="332"/>
      <c r="V392" s="332"/>
      <c r="W392" s="337" t="s">
        <v>6461</v>
      </c>
      <c r="X392" s="332" t="s">
        <v>4873</v>
      </c>
      <c r="AA392" s="337" t="s">
        <v>148</v>
      </c>
    </row>
    <row r="393" spans="1:27" s="18" customFormat="1" ht="22.5">
      <c r="A393" s="538"/>
      <c r="B393" s="262"/>
      <c r="C393" s="640"/>
      <c r="D393" s="88"/>
      <c r="E393" s="88" t="s">
        <v>5339</v>
      </c>
      <c r="F393" s="88" t="s">
        <v>5346</v>
      </c>
      <c r="G393" s="88" t="s">
        <v>5339</v>
      </c>
      <c r="H393" s="643" t="s">
        <v>5425</v>
      </c>
      <c r="I393" s="252" t="s">
        <v>5339</v>
      </c>
      <c r="J393" s="252" t="s">
        <v>5340</v>
      </c>
      <c r="K393" s="252"/>
      <c r="L393" s="252" t="s">
        <v>4444</v>
      </c>
      <c r="M393" s="284" t="s">
        <v>5426</v>
      </c>
      <c r="N393" s="252" t="s">
        <v>5340</v>
      </c>
      <c r="O393" s="252" t="s">
        <v>5339</v>
      </c>
      <c r="P393" s="252"/>
      <c r="Q393" s="252"/>
      <c r="R393" s="252"/>
      <c r="S393" s="252"/>
      <c r="T393" s="252"/>
      <c r="U393" s="252"/>
      <c r="V393" s="252"/>
      <c r="W393" s="643" t="s">
        <v>5427</v>
      </c>
      <c r="X393" s="88"/>
      <c r="AA393" s="149"/>
    </row>
    <row r="394" spans="1:27" s="18" customFormat="1" ht="22.5">
      <c r="A394" s="538"/>
      <c r="B394" s="262"/>
      <c r="C394" s="640"/>
      <c r="D394" s="88"/>
      <c r="E394" s="88" t="s">
        <v>5340</v>
      </c>
      <c r="F394" s="88" t="s">
        <v>5377</v>
      </c>
      <c r="G394" s="88" t="s">
        <v>5351</v>
      </c>
      <c r="H394" s="643" t="s">
        <v>5428</v>
      </c>
      <c r="I394" s="252" t="s">
        <v>5339</v>
      </c>
      <c r="J394" s="252" t="s">
        <v>5340</v>
      </c>
      <c r="K394" s="252"/>
      <c r="L394" s="252" t="s">
        <v>4444</v>
      </c>
      <c r="M394" s="284" t="s">
        <v>5355</v>
      </c>
      <c r="N394" s="252" t="s">
        <v>5340</v>
      </c>
      <c r="O394" s="252" t="s">
        <v>5339</v>
      </c>
      <c r="P394" s="252"/>
      <c r="Q394" s="252"/>
      <c r="R394" s="252"/>
      <c r="S394" s="252"/>
      <c r="T394" s="252"/>
      <c r="U394" s="252"/>
      <c r="V394" s="252"/>
      <c r="W394" s="643" t="s">
        <v>5429</v>
      </c>
      <c r="X394" s="88"/>
      <c r="AA394" s="149"/>
    </row>
    <row r="395" spans="1:27" s="18" customFormat="1" ht="11.25">
      <c r="A395" s="538"/>
      <c r="B395" s="262"/>
      <c r="C395" s="640"/>
      <c r="D395" s="88"/>
      <c r="E395" s="88" t="s">
        <v>5430</v>
      </c>
      <c r="F395" s="88" t="s">
        <v>5431</v>
      </c>
      <c r="G395" s="88" t="s">
        <v>5394</v>
      </c>
      <c r="H395" s="643" t="s">
        <v>5432</v>
      </c>
      <c r="I395" s="252" t="s">
        <v>5433</v>
      </c>
      <c r="J395" s="252" t="s">
        <v>5434</v>
      </c>
      <c r="K395" s="252" t="s">
        <v>5435</v>
      </c>
      <c r="L395" s="252" t="s">
        <v>4444</v>
      </c>
      <c r="M395" s="252"/>
      <c r="N395" s="252" t="s">
        <v>5370</v>
      </c>
      <c r="O395" s="252" t="s">
        <v>5433</v>
      </c>
      <c r="P395" s="252"/>
      <c r="Q395" s="252"/>
      <c r="R395" s="252"/>
      <c r="S395" s="252"/>
      <c r="T395" s="252"/>
      <c r="U395" s="252"/>
      <c r="V395" s="252"/>
      <c r="W395" s="643" t="s">
        <v>5436</v>
      </c>
      <c r="X395" s="88"/>
      <c r="AA395" s="149"/>
    </row>
    <row r="396" spans="1:27" s="18" customFormat="1" ht="22.5">
      <c r="A396" s="538"/>
      <c r="B396" s="262"/>
      <c r="C396" s="640"/>
      <c r="D396" s="88"/>
      <c r="E396" s="88" t="s">
        <v>5400</v>
      </c>
      <c r="F396" s="88" t="s">
        <v>5401</v>
      </c>
      <c r="G396" s="88" t="s">
        <v>5402</v>
      </c>
      <c r="H396" s="643" t="s">
        <v>5437</v>
      </c>
      <c r="I396" s="252" t="s">
        <v>5339</v>
      </c>
      <c r="J396" s="252" t="s">
        <v>5340</v>
      </c>
      <c r="K396" s="252"/>
      <c r="L396" s="252" t="s">
        <v>4444</v>
      </c>
      <c r="M396" s="284" t="s">
        <v>5355</v>
      </c>
      <c r="N396" s="252" t="s">
        <v>5340</v>
      </c>
      <c r="O396" s="252" t="s">
        <v>5339</v>
      </c>
      <c r="P396" s="252"/>
      <c r="Q396" s="252"/>
      <c r="R396" s="252"/>
      <c r="S396" s="252"/>
      <c r="T396" s="252"/>
      <c r="U396" s="252"/>
      <c r="V396" s="252"/>
      <c r="W396" s="643" t="s">
        <v>5438</v>
      </c>
      <c r="X396" s="88"/>
      <c r="AA396" s="149"/>
    </row>
    <row r="397" spans="1:27" s="18" customFormat="1" ht="22.5">
      <c r="A397" s="538"/>
      <c r="B397" s="262"/>
      <c r="C397" s="640"/>
      <c r="D397" s="88"/>
      <c r="E397" s="88" t="s">
        <v>5405</v>
      </c>
      <c r="F397" s="88" t="s">
        <v>5406</v>
      </c>
      <c r="G397" s="88" t="s">
        <v>5439</v>
      </c>
      <c r="H397" s="643" t="s">
        <v>5440</v>
      </c>
      <c r="I397" s="252" t="s">
        <v>5339</v>
      </c>
      <c r="J397" s="252" t="s">
        <v>5340</v>
      </c>
      <c r="K397" s="252"/>
      <c r="L397" s="252" t="s">
        <v>4444</v>
      </c>
      <c r="M397" s="284" t="s">
        <v>5426</v>
      </c>
      <c r="N397" s="252" t="s">
        <v>5340</v>
      </c>
      <c r="O397" s="252" t="s">
        <v>5339</v>
      </c>
      <c r="P397" s="252"/>
      <c r="Q397" s="252"/>
      <c r="R397" s="252"/>
      <c r="S397" s="252"/>
      <c r="T397" s="252"/>
      <c r="U397" s="252"/>
      <c r="V397" s="252"/>
      <c r="W397" s="643" t="s">
        <v>5441</v>
      </c>
      <c r="X397" s="88"/>
      <c r="AA397" s="149"/>
    </row>
    <row r="398" spans="1:27" s="18" customFormat="1" ht="22.5">
      <c r="A398" s="538"/>
      <c r="B398" s="262"/>
      <c r="C398" s="640"/>
      <c r="D398" s="88"/>
      <c r="E398" s="88" t="s">
        <v>5346</v>
      </c>
      <c r="F398" s="88" t="s">
        <v>5347</v>
      </c>
      <c r="G398" s="88" t="s">
        <v>5348</v>
      </c>
      <c r="H398" s="643" t="s">
        <v>5442</v>
      </c>
      <c r="I398" s="252" t="s">
        <v>5339</v>
      </c>
      <c r="J398" s="252" t="s">
        <v>5340</v>
      </c>
      <c r="K398" s="252"/>
      <c r="L398" s="252" t="s">
        <v>4444</v>
      </c>
      <c r="M398" s="284" t="s">
        <v>5443</v>
      </c>
      <c r="N398" s="252" t="s">
        <v>5340</v>
      </c>
      <c r="O398" s="252" t="s">
        <v>5339</v>
      </c>
      <c r="P398" s="252"/>
      <c r="Q398" s="252"/>
      <c r="R398" s="252"/>
      <c r="S398" s="252"/>
      <c r="T398" s="252"/>
      <c r="U398" s="252"/>
      <c r="V398" s="252"/>
      <c r="W398" s="643" t="s">
        <v>5444</v>
      </c>
      <c r="X398" s="88"/>
      <c r="AA398" s="149"/>
    </row>
    <row r="399" spans="1:27" s="18" customFormat="1" ht="22.5">
      <c r="A399" s="538"/>
      <c r="B399" s="262"/>
      <c r="C399" s="640"/>
      <c r="D399" s="88"/>
      <c r="E399" s="88" t="s">
        <v>5351</v>
      </c>
      <c r="F399" s="88" t="s">
        <v>5352</v>
      </c>
      <c r="G399" s="88" t="s">
        <v>5353</v>
      </c>
      <c r="H399" s="643" t="s">
        <v>5445</v>
      </c>
      <c r="I399" s="252" t="s">
        <v>5339</v>
      </c>
      <c r="J399" s="252" t="s">
        <v>5340</v>
      </c>
      <c r="K399" s="252"/>
      <c r="L399" s="252" t="s">
        <v>4444</v>
      </c>
      <c r="M399" s="284" t="s">
        <v>5426</v>
      </c>
      <c r="N399" s="252" t="s">
        <v>5340</v>
      </c>
      <c r="O399" s="252" t="s">
        <v>5339</v>
      </c>
      <c r="P399" s="252"/>
      <c r="Q399" s="252"/>
      <c r="R399" s="252"/>
      <c r="S399" s="252"/>
      <c r="T399" s="252"/>
      <c r="U399" s="252"/>
      <c r="V399" s="252"/>
      <c r="W399" s="643" t="s">
        <v>5446</v>
      </c>
      <c r="X399" s="88"/>
      <c r="AA399" s="149"/>
    </row>
    <row r="400" spans="1:27" s="18" customFormat="1" ht="22.5">
      <c r="A400" s="538"/>
      <c r="B400" s="262"/>
      <c r="C400" s="640"/>
      <c r="D400" s="88"/>
      <c r="E400" s="88" t="s">
        <v>5357</v>
      </c>
      <c r="F400" s="88" t="s">
        <v>5358</v>
      </c>
      <c r="G400" s="88" t="s">
        <v>5359</v>
      </c>
      <c r="H400" s="643" t="s">
        <v>5447</v>
      </c>
      <c r="I400" s="252" t="s">
        <v>5339</v>
      </c>
      <c r="J400" s="252" t="s">
        <v>5340</v>
      </c>
      <c r="K400" s="252"/>
      <c r="L400" s="252" t="s">
        <v>4444</v>
      </c>
      <c r="M400" s="284" t="s">
        <v>5443</v>
      </c>
      <c r="N400" s="252" t="s">
        <v>5340</v>
      </c>
      <c r="O400" s="252" t="s">
        <v>5339</v>
      </c>
      <c r="P400" s="252"/>
      <c r="Q400" s="252"/>
      <c r="R400" s="252"/>
      <c r="S400" s="252"/>
      <c r="T400" s="252"/>
      <c r="U400" s="252"/>
      <c r="V400" s="252"/>
      <c r="W400" s="643" t="s">
        <v>5448</v>
      </c>
      <c r="X400" s="88"/>
      <c r="AA400" s="149"/>
    </row>
    <row r="401" spans="1:27" s="18" customFormat="1" ht="22.5">
      <c r="A401" s="538"/>
      <c r="B401" s="262"/>
      <c r="C401" s="640"/>
      <c r="D401" s="88"/>
      <c r="E401" s="88" t="s">
        <v>5363</v>
      </c>
      <c r="F401" s="88" t="s">
        <v>5364</v>
      </c>
      <c r="G401" s="88" t="s">
        <v>5449</v>
      </c>
      <c r="H401" s="643" t="s">
        <v>5450</v>
      </c>
      <c r="I401" s="252" t="s">
        <v>5339</v>
      </c>
      <c r="J401" s="252" t="s">
        <v>5340</v>
      </c>
      <c r="K401" s="252"/>
      <c r="L401" s="252" t="s">
        <v>4444</v>
      </c>
      <c r="M401" s="284" t="s">
        <v>5426</v>
      </c>
      <c r="N401" s="252" t="s">
        <v>5340</v>
      </c>
      <c r="O401" s="252" t="s">
        <v>5339</v>
      </c>
      <c r="P401" s="252"/>
      <c r="Q401" s="252"/>
      <c r="R401" s="252"/>
      <c r="S401" s="252"/>
      <c r="T401" s="252"/>
      <c r="U401" s="252"/>
      <c r="V401" s="252"/>
      <c r="W401" s="643" t="s">
        <v>5451</v>
      </c>
      <c r="X401" s="88"/>
      <c r="AA401" s="149"/>
    </row>
    <row r="402" spans="1:27" s="18" customFormat="1" ht="22.5">
      <c r="A402" s="538"/>
      <c r="B402" s="262"/>
      <c r="C402" s="640"/>
      <c r="D402" s="88"/>
      <c r="E402" s="88" t="s">
        <v>5452</v>
      </c>
      <c r="F402" s="88" t="s">
        <v>5453</v>
      </c>
      <c r="G402" s="88" t="s">
        <v>5411</v>
      </c>
      <c r="H402" s="643" t="s">
        <v>5454</v>
      </c>
      <c r="I402" s="252" t="s">
        <v>5339</v>
      </c>
      <c r="J402" s="252" t="s">
        <v>5340</v>
      </c>
      <c r="K402" s="252"/>
      <c r="L402" s="252" t="s">
        <v>4444</v>
      </c>
      <c r="M402" s="284" t="s">
        <v>5443</v>
      </c>
      <c r="N402" s="252" t="s">
        <v>5340</v>
      </c>
      <c r="O402" s="252" t="s">
        <v>5339</v>
      </c>
      <c r="P402" s="252"/>
      <c r="Q402" s="252"/>
      <c r="R402" s="252"/>
      <c r="S402" s="252"/>
      <c r="T402" s="252"/>
      <c r="U402" s="252"/>
      <c r="V402" s="252"/>
      <c r="W402" s="643" t="s">
        <v>5455</v>
      </c>
      <c r="X402" s="88"/>
      <c r="AA402" s="149"/>
    </row>
    <row r="403" spans="1:27" s="18" customFormat="1" ht="22.5">
      <c r="A403" s="538"/>
      <c r="B403" s="262"/>
      <c r="C403" s="640"/>
      <c r="D403" s="88"/>
      <c r="E403" s="88" t="s">
        <v>5417</v>
      </c>
      <c r="F403" s="88" t="s">
        <v>5418</v>
      </c>
      <c r="G403" s="88" t="s">
        <v>5419</v>
      </c>
      <c r="H403" s="643" t="s">
        <v>5456</v>
      </c>
      <c r="I403" s="252" t="s">
        <v>5339</v>
      </c>
      <c r="J403" s="252" t="s">
        <v>5340</v>
      </c>
      <c r="K403" s="252"/>
      <c r="L403" s="252" t="s">
        <v>4444</v>
      </c>
      <c r="M403" s="284" t="s">
        <v>5457</v>
      </c>
      <c r="N403" s="252" t="s">
        <v>5340</v>
      </c>
      <c r="O403" s="252" t="s">
        <v>5339</v>
      </c>
      <c r="P403" s="252"/>
      <c r="Q403" s="252"/>
      <c r="R403" s="252"/>
      <c r="S403" s="252"/>
      <c r="T403" s="252"/>
      <c r="U403" s="252"/>
      <c r="V403" s="252"/>
      <c r="W403" s="643" t="s">
        <v>5458</v>
      </c>
      <c r="X403" s="88"/>
      <c r="AA403" s="149"/>
    </row>
    <row r="404" spans="1:27" s="18" customFormat="1" ht="12">
      <c r="A404" s="734">
        <f>A392+1</f>
        <v>101</v>
      </c>
      <c r="B404" s="333" t="s">
        <v>5459</v>
      </c>
      <c r="C404" s="690" t="s">
        <v>5460</v>
      </c>
      <c r="D404" s="337" t="s">
        <v>5382</v>
      </c>
      <c r="E404" s="337"/>
      <c r="F404" s="337"/>
      <c r="G404" s="337"/>
      <c r="H404" s="691"/>
      <c r="I404" s="332"/>
      <c r="J404" s="332"/>
      <c r="K404" s="332"/>
      <c r="L404" s="332"/>
      <c r="M404" s="332"/>
      <c r="N404" s="332"/>
      <c r="O404" s="332"/>
      <c r="P404" s="332" t="s">
        <v>4923</v>
      </c>
      <c r="Q404" s="332" t="s">
        <v>4924</v>
      </c>
      <c r="R404" s="332"/>
      <c r="S404" s="332"/>
      <c r="T404" s="332"/>
      <c r="U404" s="332"/>
      <c r="V404" s="332"/>
      <c r="W404" s="337" t="s">
        <v>6461</v>
      </c>
      <c r="X404" s="332" t="s">
        <v>4873</v>
      </c>
      <c r="AA404" s="337" t="s">
        <v>148</v>
      </c>
    </row>
    <row r="405" spans="1:27" s="18" customFormat="1" ht="11.25">
      <c r="A405" s="538"/>
      <c r="B405" s="644"/>
      <c r="C405" s="640"/>
      <c r="D405" s="88"/>
      <c r="E405" s="88" t="s">
        <v>5339</v>
      </c>
      <c r="F405" s="88" t="s">
        <v>5346</v>
      </c>
      <c r="G405" s="88" t="s">
        <v>5382</v>
      </c>
      <c r="H405" s="643" t="s">
        <v>5461</v>
      </c>
      <c r="I405" s="252" t="s">
        <v>5339</v>
      </c>
      <c r="J405" s="252" t="s">
        <v>5462</v>
      </c>
      <c r="K405" s="252" t="s">
        <v>5463</v>
      </c>
      <c r="L405" s="252" t="s">
        <v>4444</v>
      </c>
      <c r="M405" s="252"/>
      <c r="N405" s="252" t="s">
        <v>5464</v>
      </c>
      <c r="O405" s="252" t="s">
        <v>5339</v>
      </c>
      <c r="P405" s="252"/>
      <c r="Q405" s="252"/>
      <c r="R405" s="252"/>
      <c r="S405" s="252"/>
      <c r="T405" s="252"/>
      <c r="U405" s="252"/>
      <c r="V405" s="252"/>
      <c r="W405" s="643" t="s">
        <v>5465</v>
      </c>
      <c r="X405" s="88"/>
      <c r="AA405" s="149"/>
    </row>
    <row r="406" spans="1:27" s="18" customFormat="1" ht="22.5">
      <c r="A406" s="538"/>
      <c r="B406" s="644"/>
      <c r="C406" s="640"/>
      <c r="D406" s="88"/>
      <c r="E406" s="88" t="s">
        <v>5335</v>
      </c>
      <c r="F406" s="88" t="s">
        <v>5336</v>
      </c>
      <c r="G406" s="88" t="s">
        <v>5337</v>
      </c>
      <c r="H406" s="643" t="s">
        <v>5466</v>
      </c>
      <c r="I406" s="252" t="s">
        <v>5339</v>
      </c>
      <c r="J406" s="252" t="s">
        <v>5340</v>
      </c>
      <c r="K406" s="252"/>
      <c r="L406" s="252" t="s">
        <v>4444</v>
      </c>
      <c r="M406" s="284" t="s">
        <v>5467</v>
      </c>
      <c r="N406" s="252" t="s">
        <v>5340</v>
      </c>
      <c r="O406" s="252" t="s">
        <v>5339</v>
      </c>
      <c r="P406" s="252"/>
      <c r="Q406" s="252"/>
      <c r="R406" s="252"/>
      <c r="S406" s="252"/>
      <c r="T406" s="252"/>
      <c r="U406" s="252"/>
      <c r="V406" s="252"/>
      <c r="W406" s="643" t="s">
        <v>5468</v>
      </c>
      <c r="X406" s="88"/>
      <c r="AA406" s="149"/>
    </row>
    <row r="407" spans="1:27" s="18" customFormat="1" ht="11.25">
      <c r="A407" s="538"/>
      <c r="B407" s="644"/>
      <c r="C407" s="640"/>
      <c r="D407" s="88"/>
      <c r="E407" s="88" t="s">
        <v>5469</v>
      </c>
      <c r="F407" s="88" t="s">
        <v>5470</v>
      </c>
      <c r="G407" s="88" t="s">
        <v>5439</v>
      </c>
      <c r="H407" s="643" t="s">
        <v>5471</v>
      </c>
      <c r="I407" s="252" t="s">
        <v>5339</v>
      </c>
      <c r="J407" s="252" t="s">
        <v>5462</v>
      </c>
      <c r="K407" s="252" t="s">
        <v>5463</v>
      </c>
      <c r="L407" s="252" t="s">
        <v>4444</v>
      </c>
      <c r="M407" s="252"/>
      <c r="N407" s="252" t="s">
        <v>5464</v>
      </c>
      <c r="O407" s="252" t="s">
        <v>5339</v>
      </c>
      <c r="P407" s="252"/>
      <c r="Q407" s="252"/>
      <c r="R407" s="252"/>
      <c r="S407" s="252"/>
      <c r="T407" s="252"/>
      <c r="U407" s="252"/>
      <c r="V407" s="252"/>
      <c r="W407" s="643" t="s">
        <v>5472</v>
      </c>
      <c r="X407" s="88"/>
      <c r="AA407" s="149"/>
    </row>
    <row r="408" spans="1:27" s="18" customFormat="1" ht="22.5">
      <c r="A408" s="538"/>
      <c r="B408" s="644"/>
      <c r="C408" s="640"/>
      <c r="D408" s="88"/>
      <c r="E408" s="88" t="s">
        <v>5346</v>
      </c>
      <c r="F408" s="88" t="s">
        <v>5347</v>
      </c>
      <c r="G408" s="88" t="s">
        <v>5348</v>
      </c>
      <c r="H408" s="643" t="s">
        <v>5473</v>
      </c>
      <c r="I408" s="252" t="s">
        <v>5339</v>
      </c>
      <c r="J408" s="252" t="s">
        <v>5340</v>
      </c>
      <c r="K408" s="252"/>
      <c r="L408" s="252" t="s">
        <v>4444</v>
      </c>
      <c r="M408" s="284" t="s">
        <v>5467</v>
      </c>
      <c r="N408" s="252" t="s">
        <v>5340</v>
      </c>
      <c r="O408" s="252" t="s">
        <v>5339</v>
      </c>
      <c r="P408" s="252"/>
      <c r="Q408" s="252"/>
      <c r="R408" s="252"/>
      <c r="S408" s="252"/>
      <c r="T408" s="252"/>
      <c r="U408" s="252"/>
      <c r="V408" s="252"/>
      <c r="W408" s="643" t="s">
        <v>5474</v>
      </c>
      <c r="X408" s="88"/>
      <c r="AA408" s="149"/>
    </row>
    <row r="409" spans="1:27" s="18" customFormat="1" ht="11.25">
      <c r="A409" s="538"/>
      <c r="B409" s="644"/>
      <c r="C409" s="640"/>
      <c r="D409" s="88"/>
      <c r="E409" s="88" t="s">
        <v>5351</v>
      </c>
      <c r="F409" s="88" t="s">
        <v>5352</v>
      </c>
      <c r="G409" s="88" t="s">
        <v>5449</v>
      </c>
      <c r="H409" s="643" t="s">
        <v>5475</v>
      </c>
      <c r="I409" s="252" t="s">
        <v>5339</v>
      </c>
      <c r="J409" s="252" t="s">
        <v>5462</v>
      </c>
      <c r="K409" s="252" t="s">
        <v>5463</v>
      </c>
      <c r="L409" s="252" t="s">
        <v>4444</v>
      </c>
      <c r="M409" s="252"/>
      <c r="N409" s="252" t="s">
        <v>5464</v>
      </c>
      <c r="O409" s="252" t="s">
        <v>5339</v>
      </c>
      <c r="P409" s="252"/>
      <c r="Q409" s="252"/>
      <c r="R409" s="252"/>
      <c r="S409" s="252"/>
      <c r="T409" s="252"/>
      <c r="U409" s="252"/>
      <c r="V409" s="252"/>
      <c r="W409" s="643" t="s">
        <v>5476</v>
      </c>
      <c r="X409" s="88"/>
      <c r="AA409" s="149"/>
    </row>
    <row r="410" spans="1:27" s="18" customFormat="1" ht="22.5">
      <c r="A410" s="538"/>
      <c r="B410" s="644"/>
      <c r="C410" s="640"/>
      <c r="D410" s="88"/>
      <c r="E410" s="88" t="s">
        <v>5452</v>
      </c>
      <c r="F410" s="88" t="s">
        <v>5453</v>
      </c>
      <c r="G410" s="88" t="s">
        <v>5411</v>
      </c>
      <c r="H410" s="643" t="s">
        <v>5477</v>
      </c>
      <c r="I410" s="252" t="s">
        <v>5339</v>
      </c>
      <c r="J410" s="252" t="s">
        <v>5340</v>
      </c>
      <c r="K410" s="252"/>
      <c r="L410" s="252" t="s">
        <v>4444</v>
      </c>
      <c r="M410" s="284" t="s">
        <v>5467</v>
      </c>
      <c r="N410" s="252" t="s">
        <v>5340</v>
      </c>
      <c r="O410" s="252" t="s">
        <v>5339</v>
      </c>
      <c r="P410" s="252"/>
      <c r="Q410" s="252"/>
      <c r="R410" s="252"/>
      <c r="S410" s="252"/>
      <c r="T410" s="252"/>
      <c r="U410" s="252"/>
      <c r="V410" s="252"/>
      <c r="W410" s="643" t="s">
        <v>5478</v>
      </c>
      <c r="X410" s="88"/>
      <c r="AA410" s="149"/>
    </row>
    <row r="411" spans="1:27" s="18" customFormat="1" ht="11.25">
      <c r="A411" s="538"/>
      <c r="B411" s="644"/>
      <c r="C411" s="640"/>
      <c r="D411" s="88"/>
      <c r="E411" s="88" t="s">
        <v>5417</v>
      </c>
      <c r="F411" s="88" t="s">
        <v>5418</v>
      </c>
      <c r="G411" s="88" t="s">
        <v>5374</v>
      </c>
      <c r="H411" s="643" t="s">
        <v>5479</v>
      </c>
      <c r="I411" s="252" t="s">
        <v>5339</v>
      </c>
      <c r="J411" s="252" t="s">
        <v>5462</v>
      </c>
      <c r="K411" s="252" t="s">
        <v>5463</v>
      </c>
      <c r="L411" s="252" t="s">
        <v>4444</v>
      </c>
      <c r="M411" s="252"/>
      <c r="N411" s="252" t="s">
        <v>5464</v>
      </c>
      <c r="O411" s="252" t="s">
        <v>5339</v>
      </c>
      <c r="P411" s="252"/>
      <c r="Q411" s="252"/>
      <c r="R411" s="252"/>
      <c r="S411" s="252"/>
      <c r="T411" s="252"/>
      <c r="U411" s="252"/>
      <c r="V411" s="252"/>
      <c r="W411" s="643" t="s">
        <v>5480</v>
      </c>
      <c r="X411" s="88"/>
      <c r="AA411" s="149"/>
    </row>
    <row r="412" spans="1:27" s="18" customFormat="1" ht="22.5">
      <c r="A412" s="538"/>
      <c r="B412" s="644"/>
      <c r="C412" s="640"/>
      <c r="D412" s="88"/>
      <c r="E412" s="88" t="s">
        <v>5377</v>
      </c>
      <c r="F412" s="88" t="s">
        <v>5378</v>
      </c>
      <c r="G412" s="88" t="s">
        <v>5379</v>
      </c>
      <c r="H412" s="643" t="s">
        <v>5481</v>
      </c>
      <c r="I412" s="252" t="s">
        <v>5339</v>
      </c>
      <c r="J412" s="252" t="s">
        <v>5340</v>
      </c>
      <c r="K412" s="252"/>
      <c r="L412" s="252" t="s">
        <v>4444</v>
      </c>
      <c r="M412" s="284" t="s">
        <v>5467</v>
      </c>
      <c r="N412" s="252" t="s">
        <v>5340</v>
      </c>
      <c r="O412" s="252" t="s">
        <v>5339</v>
      </c>
      <c r="P412" s="252"/>
      <c r="Q412" s="252"/>
      <c r="R412" s="252"/>
      <c r="S412" s="252"/>
      <c r="T412" s="252"/>
      <c r="U412" s="252"/>
      <c r="V412" s="252"/>
      <c r="W412" s="643" t="s">
        <v>5482</v>
      </c>
      <c r="X412" s="88"/>
      <c r="AA412" s="149"/>
    </row>
    <row r="413" spans="1:27" s="18" customFormat="1" ht="12">
      <c r="A413" s="734">
        <f>A404+1</f>
        <v>102</v>
      </c>
      <c r="B413" s="333" t="s">
        <v>5483</v>
      </c>
      <c r="C413" s="690" t="s">
        <v>5484</v>
      </c>
      <c r="D413" s="337" t="s">
        <v>5452</v>
      </c>
      <c r="E413" s="337"/>
      <c r="F413" s="337"/>
      <c r="G413" s="337"/>
      <c r="H413" s="334"/>
      <c r="I413" s="332"/>
      <c r="J413" s="332"/>
      <c r="K413" s="332"/>
      <c r="L413" s="332"/>
      <c r="M413" s="332"/>
      <c r="N413" s="332"/>
      <c r="O413" s="332"/>
      <c r="P413" s="332" t="s">
        <v>4923</v>
      </c>
      <c r="Q413" s="332" t="s">
        <v>4924</v>
      </c>
      <c r="R413" s="332"/>
      <c r="S413" s="332"/>
      <c r="T413" s="332"/>
      <c r="U413" s="332"/>
      <c r="V413" s="332"/>
      <c r="W413" s="337" t="s">
        <v>6461</v>
      </c>
      <c r="X413" s="332" t="s">
        <v>4873</v>
      </c>
      <c r="AA413" s="337" t="s">
        <v>148</v>
      </c>
    </row>
    <row r="414" spans="1:27" s="18" customFormat="1" ht="11.25">
      <c r="A414" s="538"/>
      <c r="B414" s="644"/>
      <c r="C414" s="640"/>
      <c r="D414" s="88"/>
      <c r="E414" s="88" t="s">
        <v>5339</v>
      </c>
      <c r="F414" s="88" t="s">
        <v>5346</v>
      </c>
      <c r="G414" s="88" t="s">
        <v>5337</v>
      </c>
      <c r="H414" s="643" t="s">
        <v>5485</v>
      </c>
      <c r="I414" s="252" t="s">
        <v>5367</v>
      </c>
      <c r="J414" s="252" t="s">
        <v>5368</v>
      </c>
      <c r="K414" s="252" t="s">
        <v>5486</v>
      </c>
      <c r="L414" s="252" t="s">
        <v>4444</v>
      </c>
      <c r="M414" s="252"/>
      <c r="N414" s="252" t="s">
        <v>5370</v>
      </c>
      <c r="O414" s="252" t="s">
        <v>5367</v>
      </c>
      <c r="P414" s="252"/>
      <c r="Q414" s="252"/>
      <c r="R414" s="252"/>
      <c r="S414" s="252"/>
      <c r="T414" s="252"/>
      <c r="U414" s="252"/>
      <c r="V414" s="252"/>
      <c r="W414" s="643" t="s">
        <v>5487</v>
      </c>
      <c r="X414" s="88"/>
      <c r="AA414" s="149"/>
    </row>
    <row r="415" spans="1:27" s="18" customFormat="1" ht="22.5">
      <c r="A415" s="538"/>
      <c r="B415" s="644"/>
      <c r="C415" s="640"/>
      <c r="D415" s="88"/>
      <c r="E415" s="88" t="s">
        <v>5469</v>
      </c>
      <c r="F415" s="88" t="s">
        <v>5470</v>
      </c>
      <c r="G415" s="88" t="s">
        <v>5394</v>
      </c>
      <c r="H415" s="643" t="s">
        <v>5488</v>
      </c>
      <c r="I415" s="252" t="s">
        <v>5339</v>
      </c>
      <c r="J415" s="252" t="s">
        <v>5340</v>
      </c>
      <c r="K415" s="252"/>
      <c r="L415" s="252" t="s">
        <v>4444</v>
      </c>
      <c r="M415" s="284" t="s">
        <v>5467</v>
      </c>
      <c r="N415" s="252" t="s">
        <v>5340</v>
      </c>
      <c r="O415" s="252" t="s">
        <v>5339</v>
      </c>
      <c r="P415" s="252"/>
      <c r="Q415" s="252"/>
      <c r="R415" s="252"/>
      <c r="S415" s="252"/>
      <c r="T415" s="252"/>
      <c r="U415" s="252"/>
      <c r="V415" s="252"/>
      <c r="W415" s="643" t="s">
        <v>5489</v>
      </c>
      <c r="X415" s="88"/>
      <c r="AA415" s="149"/>
    </row>
    <row r="416" spans="1:27" s="18" customFormat="1" ht="22.5">
      <c r="A416" s="538"/>
      <c r="B416" s="644"/>
      <c r="C416" s="640"/>
      <c r="D416" s="88"/>
      <c r="E416" s="88" t="s">
        <v>5400</v>
      </c>
      <c r="F416" s="88" t="s">
        <v>5401</v>
      </c>
      <c r="G416" s="88" t="s">
        <v>5402</v>
      </c>
      <c r="H416" s="643" t="s">
        <v>5490</v>
      </c>
      <c r="I416" s="252" t="s">
        <v>5339</v>
      </c>
      <c r="J416" s="252" t="s">
        <v>5340</v>
      </c>
      <c r="K416" s="252"/>
      <c r="L416" s="252" t="s">
        <v>4444</v>
      </c>
      <c r="M416" s="284" t="s">
        <v>5491</v>
      </c>
      <c r="N416" s="252" t="s">
        <v>5340</v>
      </c>
      <c r="O416" s="252" t="s">
        <v>5339</v>
      </c>
      <c r="P416" s="252"/>
      <c r="Q416" s="252"/>
      <c r="R416" s="252"/>
      <c r="S416" s="252"/>
      <c r="T416" s="252"/>
      <c r="U416" s="252"/>
      <c r="V416" s="252"/>
      <c r="W416" s="643" t="s">
        <v>5492</v>
      </c>
      <c r="X416" s="88"/>
      <c r="AA416" s="149"/>
    </row>
    <row r="417" spans="1:27" s="18" customFormat="1" ht="45">
      <c r="A417" s="538"/>
      <c r="B417" s="644"/>
      <c r="C417" s="640"/>
      <c r="D417" s="88"/>
      <c r="E417" s="88" t="s">
        <v>5405</v>
      </c>
      <c r="F417" s="88" t="s">
        <v>5406</v>
      </c>
      <c r="G417" s="88" t="s">
        <v>5439</v>
      </c>
      <c r="H417" s="643" t="s">
        <v>5493</v>
      </c>
      <c r="I417" s="252" t="s">
        <v>5339</v>
      </c>
      <c r="J417" s="252" t="s">
        <v>5335</v>
      </c>
      <c r="K417" s="252"/>
      <c r="L417" s="252" t="s">
        <v>4444</v>
      </c>
      <c r="M417" s="284" t="s">
        <v>5494</v>
      </c>
      <c r="N417" s="252" t="s">
        <v>5340</v>
      </c>
      <c r="O417" s="252" t="s">
        <v>5339</v>
      </c>
      <c r="P417" s="252"/>
      <c r="Q417" s="252"/>
      <c r="R417" s="252"/>
      <c r="S417" s="252"/>
      <c r="T417" s="252"/>
      <c r="U417" s="252"/>
      <c r="V417" s="252"/>
      <c r="W417" s="643" t="s">
        <v>5495</v>
      </c>
      <c r="X417" s="88"/>
      <c r="AA417" s="149"/>
    </row>
    <row r="418" spans="1:27" s="18" customFormat="1" ht="22.5">
      <c r="A418" s="538"/>
      <c r="B418" s="644"/>
      <c r="C418" s="640"/>
      <c r="D418" s="88"/>
      <c r="E418" s="88" t="s">
        <v>5346</v>
      </c>
      <c r="F418" s="88" t="s">
        <v>5347</v>
      </c>
      <c r="G418" s="88" t="s">
        <v>5348</v>
      </c>
      <c r="H418" s="643" t="s">
        <v>5496</v>
      </c>
      <c r="I418" s="252" t="s">
        <v>5339</v>
      </c>
      <c r="J418" s="252" t="s">
        <v>5340</v>
      </c>
      <c r="K418" s="252"/>
      <c r="L418" s="252" t="s">
        <v>4444</v>
      </c>
      <c r="M418" s="284" t="s">
        <v>5467</v>
      </c>
      <c r="N418" s="252" t="s">
        <v>5340</v>
      </c>
      <c r="O418" s="252" t="s">
        <v>5339</v>
      </c>
      <c r="P418" s="252"/>
      <c r="Q418" s="252"/>
      <c r="R418" s="252"/>
      <c r="S418" s="252"/>
      <c r="T418" s="252"/>
      <c r="U418" s="252"/>
      <c r="V418" s="252"/>
      <c r="W418" s="643" t="s">
        <v>5497</v>
      </c>
      <c r="X418" s="88"/>
      <c r="AA418" s="149"/>
    </row>
    <row r="419" spans="1:27" s="18" customFormat="1" ht="22.5">
      <c r="A419" s="538"/>
      <c r="B419" s="644"/>
      <c r="C419" s="640"/>
      <c r="D419" s="88"/>
      <c r="E419" s="88" t="s">
        <v>5351</v>
      </c>
      <c r="F419" s="88" t="s">
        <v>5352</v>
      </c>
      <c r="G419" s="88" t="s">
        <v>5353</v>
      </c>
      <c r="H419" s="643" t="s">
        <v>5498</v>
      </c>
      <c r="I419" s="252" t="s">
        <v>5339</v>
      </c>
      <c r="J419" s="252" t="s">
        <v>5340</v>
      </c>
      <c r="K419" s="252"/>
      <c r="L419" s="252" t="s">
        <v>4444</v>
      </c>
      <c r="M419" s="284" t="s">
        <v>5499</v>
      </c>
      <c r="N419" s="252" t="s">
        <v>5340</v>
      </c>
      <c r="O419" s="252" t="s">
        <v>5339</v>
      </c>
      <c r="P419" s="252"/>
      <c r="Q419" s="252"/>
      <c r="R419" s="252"/>
      <c r="S419" s="252"/>
      <c r="T419" s="252"/>
      <c r="U419" s="252"/>
      <c r="V419" s="252"/>
      <c r="W419" s="643" t="s">
        <v>5500</v>
      </c>
      <c r="X419" s="88"/>
      <c r="AA419" s="149"/>
    </row>
    <row r="420" spans="1:27" s="18" customFormat="1" ht="22.5">
      <c r="A420" s="538"/>
      <c r="B420" s="644"/>
      <c r="C420" s="640"/>
      <c r="D420" s="88"/>
      <c r="E420" s="88" t="s">
        <v>5357</v>
      </c>
      <c r="F420" s="88" t="s">
        <v>5358</v>
      </c>
      <c r="G420" s="88" t="s">
        <v>5359</v>
      </c>
      <c r="H420" s="643" t="s">
        <v>5501</v>
      </c>
      <c r="I420" s="252" t="s">
        <v>5339</v>
      </c>
      <c r="J420" s="252" t="s">
        <v>5340</v>
      </c>
      <c r="K420" s="252"/>
      <c r="L420" s="252" t="s">
        <v>4444</v>
      </c>
      <c r="M420" s="284" t="s">
        <v>5502</v>
      </c>
      <c r="N420" s="252" t="s">
        <v>5340</v>
      </c>
      <c r="O420" s="252" t="s">
        <v>5339</v>
      </c>
      <c r="P420" s="252"/>
      <c r="Q420" s="252"/>
      <c r="R420" s="252"/>
      <c r="S420" s="252"/>
      <c r="T420" s="252"/>
      <c r="U420" s="252"/>
      <c r="V420" s="252"/>
      <c r="W420" s="643" t="s">
        <v>5503</v>
      </c>
      <c r="X420" s="88"/>
      <c r="AA420" s="149"/>
    </row>
    <row r="421" spans="1:27" s="18" customFormat="1" ht="22.5">
      <c r="A421" s="538"/>
      <c r="B421" s="644"/>
      <c r="C421" s="640"/>
      <c r="D421" s="88"/>
      <c r="E421" s="88" t="s">
        <v>5363</v>
      </c>
      <c r="F421" s="88" t="s">
        <v>5364</v>
      </c>
      <c r="G421" s="88" t="s">
        <v>5449</v>
      </c>
      <c r="H421" s="643" t="s">
        <v>5504</v>
      </c>
      <c r="I421" s="252" t="s">
        <v>5339</v>
      </c>
      <c r="J421" s="252" t="s">
        <v>5340</v>
      </c>
      <c r="K421" s="252"/>
      <c r="L421" s="252" t="s">
        <v>4444</v>
      </c>
      <c r="M421" s="284" t="s">
        <v>5505</v>
      </c>
      <c r="N421" s="252" t="s">
        <v>5340</v>
      </c>
      <c r="O421" s="252" t="s">
        <v>5339</v>
      </c>
      <c r="P421" s="252"/>
      <c r="Q421" s="252"/>
      <c r="R421" s="252"/>
      <c r="S421" s="252"/>
      <c r="T421" s="252"/>
      <c r="U421" s="252"/>
      <c r="V421" s="252"/>
      <c r="W421" s="643" t="s">
        <v>5506</v>
      </c>
      <c r="X421" s="88"/>
      <c r="AA421" s="149"/>
    </row>
    <row r="422" spans="1:27" s="18" customFormat="1" ht="12">
      <c r="A422" s="734">
        <f>A413+1</f>
        <v>103</v>
      </c>
      <c r="B422" s="333" t="s">
        <v>5507</v>
      </c>
      <c r="C422" s="335" t="s">
        <v>4883</v>
      </c>
      <c r="D422" s="337" t="s">
        <v>5430</v>
      </c>
      <c r="E422" s="337"/>
      <c r="F422" s="337"/>
      <c r="G422" s="337"/>
      <c r="H422" s="334"/>
      <c r="I422" s="332"/>
      <c r="J422" s="332"/>
      <c r="K422" s="332"/>
      <c r="L422" s="332"/>
      <c r="M422" s="332"/>
      <c r="N422" s="332"/>
      <c r="O422" s="332"/>
      <c r="P422" s="332" t="s">
        <v>4923</v>
      </c>
      <c r="Q422" s="332" t="s">
        <v>4924</v>
      </c>
      <c r="R422" s="332"/>
      <c r="S422" s="332"/>
      <c r="T422" s="332"/>
      <c r="U422" s="332"/>
      <c r="V422" s="332"/>
      <c r="W422" s="337" t="s">
        <v>6461</v>
      </c>
      <c r="X422" s="332" t="s">
        <v>4873</v>
      </c>
      <c r="AA422" s="337" t="s">
        <v>148</v>
      </c>
    </row>
    <row r="423" spans="1:27" s="18" customFormat="1" ht="22.5">
      <c r="A423" s="538"/>
      <c r="B423" s="262"/>
      <c r="C423" s="149"/>
      <c r="D423" s="88"/>
      <c r="E423" s="88" t="s">
        <v>5339</v>
      </c>
      <c r="F423" s="88" t="s">
        <v>5339</v>
      </c>
      <c r="G423" s="88" t="s">
        <v>5339</v>
      </c>
      <c r="H423" s="254" t="s">
        <v>5508</v>
      </c>
      <c r="I423" s="252" t="s">
        <v>5339</v>
      </c>
      <c r="J423" s="252" t="s">
        <v>5340</v>
      </c>
      <c r="K423" s="252"/>
      <c r="L423" s="252" t="s">
        <v>4444</v>
      </c>
      <c r="M423" s="284" t="s">
        <v>5509</v>
      </c>
      <c r="N423" s="252" t="s">
        <v>5340</v>
      </c>
      <c r="O423" s="252" t="s">
        <v>5339</v>
      </c>
      <c r="P423" s="252"/>
      <c r="Q423" s="252"/>
      <c r="R423" s="252"/>
      <c r="S423" s="252"/>
      <c r="T423" s="252"/>
      <c r="U423" s="252"/>
      <c r="V423" s="252"/>
      <c r="W423" s="254" t="s">
        <v>5510</v>
      </c>
      <c r="X423" s="88"/>
      <c r="AA423" s="149"/>
    </row>
    <row r="424" spans="1:27" s="18" customFormat="1" ht="22.5">
      <c r="A424" s="538"/>
      <c r="B424" s="262"/>
      <c r="C424" s="149"/>
      <c r="D424" s="88"/>
      <c r="E424" s="88" t="s">
        <v>5339</v>
      </c>
      <c r="F424" s="88" t="s">
        <v>5340</v>
      </c>
      <c r="G424" s="88" t="s">
        <v>5340</v>
      </c>
      <c r="H424" s="643" t="s">
        <v>5511</v>
      </c>
      <c r="I424" s="252" t="s">
        <v>5339</v>
      </c>
      <c r="J424" s="252" t="s">
        <v>5340</v>
      </c>
      <c r="K424" s="252"/>
      <c r="L424" s="252" t="s">
        <v>4444</v>
      </c>
      <c r="M424" s="284" t="s">
        <v>5509</v>
      </c>
      <c r="N424" s="252" t="s">
        <v>5340</v>
      </c>
      <c r="O424" s="252" t="s">
        <v>5339</v>
      </c>
      <c r="P424" s="252"/>
      <c r="Q424" s="252"/>
      <c r="R424" s="252"/>
      <c r="S424" s="252"/>
      <c r="T424" s="252"/>
      <c r="U424" s="252"/>
      <c r="V424" s="252"/>
      <c r="W424" s="643" t="s">
        <v>5512</v>
      </c>
      <c r="X424" s="88"/>
      <c r="AA424" s="149"/>
    </row>
    <row r="425" spans="1:27" s="18" customFormat="1" ht="22.5">
      <c r="A425" s="538"/>
      <c r="B425" s="262"/>
      <c r="C425" s="149"/>
      <c r="D425" s="88"/>
      <c r="E425" s="88" t="s">
        <v>5339</v>
      </c>
      <c r="F425" s="88" t="s">
        <v>5430</v>
      </c>
      <c r="G425" s="88" t="s">
        <v>5430</v>
      </c>
      <c r="H425" s="254" t="s">
        <v>5513</v>
      </c>
      <c r="I425" s="252" t="s">
        <v>5339</v>
      </c>
      <c r="J425" s="252" t="s">
        <v>5340</v>
      </c>
      <c r="K425" s="252"/>
      <c r="L425" s="252" t="s">
        <v>4444</v>
      </c>
      <c r="M425" s="284" t="s">
        <v>5509</v>
      </c>
      <c r="N425" s="252" t="s">
        <v>5340</v>
      </c>
      <c r="O425" s="252" t="s">
        <v>5339</v>
      </c>
      <c r="P425" s="252"/>
      <c r="Q425" s="252"/>
      <c r="R425" s="252"/>
      <c r="S425" s="252"/>
      <c r="T425" s="252"/>
      <c r="U425" s="252"/>
      <c r="V425" s="252"/>
      <c r="W425" s="254" t="s">
        <v>5514</v>
      </c>
      <c r="X425" s="88"/>
      <c r="AA425" s="149"/>
    </row>
    <row r="426" spans="1:27" s="18" customFormat="1" ht="22.5">
      <c r="A426" s="538"/>
      <c r="B426" s="262"/>
      <c r="C426" s="149"/>
      <c r="D426" s="88"/>
      <c r="E426" s="88" t="s">
        <v>5339</v>
      </c>
      <c r="F426" s="88" t="s">
        <v>5335</v>
      </c>
      <c r="G426" s="88" t="s">
        <v>5335</v>
      </c>
      <c r="H426" s="254" t="s">
        <v>5515</v>
      </c>
      <c r="I426" s="252" t="s">
        <v>5339</v>
      </c>
      <c r="J426" s="252" t="s">
        <v>5340</v>
      </c>
      <c r="K426" s="252"/>
      <c r="L426" s="252" t="s">
        <v>4444</v>
      </c>
      <c r="M426" s="284" t="s">
        <v>5509</v>
      </c>
      <c r="N426" s="252" t="s">
        <v>5340</v>
      </c>
      <c r="O426" s="252" t="s">
        <v>5339</v>
      </c>
      <c r="P426" s="252"/>
      <c r="Q426" s="252"/>
      <c r="R426" s="252"/>
      <c r="S426" s="252"/>
      <c r="T426" s="252"/>
      <c r="U426" s="252"/>
      <c r="V426" s="252"/>
      <c r="W426" s="254" t="s">
        <v>5516</v>
      </c>
      <c r="X426" s="88"/>
      <c r="AA426" s="149"/>
    </row>
    <row r="427" spans="1:27" s="18" customFormat="1" ht="22.5">
      <c r="A427" s="538"/>
      <c r="B427" s="262"/>
      <c r="C427" s="149"/>
      <c r="D427" s="88"/>
      <c r="E427" s="88" t="s">
        <v>5339</v>
      </c>
      <c r="F427" s="88" t="s">
        <v>5469</v>
      </c>
      <c r="G427" s="88" t="s">
        <v>5469</v>
      </c>
      <c r="H427" s="254" t="s">
        <v>5517</v>
      </c>
      <c r="I427" s="252" t="s">
        <v>5339</v>
      </c>
      <c r="J427" s="252" t="s">
        <v>5340</v>
      </c>
      <c r="K427" s="252"/>
      <c r="L427" s="252" t="s">
        <v>4444</v>
      </c>
      <c r="M427" s="284" t="s">
        <v>5509</v>
      </c>
      <c r="N427" s="252" t="s">
        <v>5340</v>
      </c>
      <c r="O427" s="252" t="s">
        <v>5339</v>
      </c>
      <c r="P427" s="252"/>
      <c r="Q427" s="252"/>
      <c r="R427" s="252"/>
      <c r="S427" s="252"/>
      <c r="T427" s="252"/>
      <c r="U427" s="252"/>
      <c r="V427" s="252"/>
      <c r="W427" s="254" t="s">
        <v>5518</v>
      </c>
      <c r="X427" s="88"/>
      <c r="AA427" s="149"/>
    </row>
    <row r="428" spans="1:27" s="18" customFormat="1" ht="22.5">
      <c r="A428" s="538"/>
      <c r="B428" s="644"/>
      <c r="C428" s="149"/>
      <c r="D428" s="88"/>
      <c r="E428" s="88" t="s">
        <v>5339</v>
      </c>
      <c r="F428" s="88" t="s">
        <v>5400</v>
      </c>
      <c r="G428" s="88" t="s">
        <v>5400</v>
      </c>
      <c r="H428" s="645" t="s">
        <v>5519</v>
      </c>
      <c r="I428" s="252" t="s">
        <v>5339</v>
      </c>
      <c r="J428" s="252" t="s">
        <v>5340</v>
      </c>
      <c r="K428" s="252"/>
      <c r="L428" s="252" t="s">
        <v>4444</v>
      </c>
      <c r="M428" s="284" t="s">
        <v>5509</v>
      </c>
      <c r="N428" s="252" t="s">
        <v>5340</v>
      </c>
      <c r="O428" s="252" t="s">
        <v>5339</v>
      </c>
      <c r="P428" s="252"/>
      <c r="Q428" s="252"/>
      <c r="R428" s="252"/>
      <c r="S428" s="252"/>
      <c r="T428" s="252"/>
      <c r="U428" s="252"/>
      <c r="V428" s="252"/>
      <c r="W428" s="645" t="s">
        <v>5520</v>
      </c>
      <c r="X428" s="88"/>
      <c r="AA428" s="149"/>
    </row>
    <row r="429" spans="1:27" s="18" customFormat="1" ht="22.5">
      <c r="A429" s="538"/>
      <c r="B429" s="644"/>
      <c r="C429" s="149"/>
      <c r="D429" s="88"/>
      <c r="E429" s="88" t="s">
        <v>5339</v>
      </c>
      <c r="F429" s="88" t="s">
        <v>5405</v>
      </c>
      <c r="G429" s="88" t="s">
        <v>5405</v>
      </c>
      <c r="H429" s="645" t="s">
        <v>5521</v>
      </c>
      <c r="I429" s="252" t="s">
        <v>5339</v>
      </c>
      <c r="J429" s="252" t="s">
        <v>5340</v>
      </c>
      <c r="K429" s="252"/>
      <c r="L429" s="252" t="s">
        <v>4444</v>
      </c>
      <c r="M429" s="284" t="s">
        <v>5509</v>
      </c>
      <c r="N429" s="252" t="s">
        <v>5340</v>
      </c>
      <c r="O429" s="252" t="s">
        <v>5339</v>
      </c>
      <c r="P429" s="252"/>
      <c r="Q429" s="252"/>
      <c r="R429" s="252"/>
      <c r="S429" s="252"/>
      <c r="T429" s="252"/>
      <c r="U429" s="252"/>
      <c r="V429" s="252"/>
      <c r="W429" s="645" t="s">
        <v>5522</v>
      </c>
      <c r="X429" s="88"/>
      <c r="AA429" s="149"/>
    </row>
    <row r="430" spans="1:27" s="18" customFormat="1" ht="22.5">
      <c r="A430" s="538"/>
      <c r="B430" s="644"/>
      <c r="C430" s="149"/>
      <c r="D430" s="88"/>
      <c r="E430" s="88" t="s">
        <v>5339</v>
      </c>
      <c r="F430" s="88" t="s">
        <v>5346</v>
      </c>
      <c r="G430" s="88" t="s">
        <v>5346</v>
      </c>
      <c r="H430" s="645" t="s">
        <v>5523</v>
      </c>
      <c r="I430" s="252" t="s">
        <v>5339</v>
      </c>
      <c r="J430" s="252" t="s">
        <v>5340</v>
      </c>
      <c r="K430" s="252"/>
      <c r="L430" s="252" t="s">
        <v>4444</v>
      </c>
      <c r="M430" s="284" t="s">
        <v>5509</v>
      </c>
      <c r="N430" s="252" t="s">
        <v>5340</v>
      </c>
      <c r="O430" s="252" t="s">
        <v>5339</v>
      </c>
      <c r="P430" s="252"/>
      <c r="Q430" s="252"/>
      <c r="R430" s="252"/>
      <c r="S430" s="252"/>
      <c r="T430" s="252"/>
      <c r="U430" s="252"/>
      <c r="V430" s="252"/>
      <c r="W430" s="645" t="s">
        <v>5524</v>
      </c>
      <c r="X430" s="88"/>
      <c r="AA430" s="149"/>
    </row>
    <row r="431" spans="1:27" s="18" customFormat="1" ht="22.5">
      <c r="A431" s="538"/>
      <c r="B431" s="644"/>
      <c r="C431" s="149"/>
      <c r="D431" s="88"/>
      <c r="E431" s="88" t="s">
        <v>5340</v>
      </c>
      <c r="F431" s="88" t="s">
        <v>5351</v>
      </c>
      <c r="G431" s="88" t="s">
        <v>5351</v>
      </c>
      <c r="H431" s="645" t="s">
        <v>5525</v>
      </c>
      <c r="I431" s="252" t="s">
        <v>5339</v>
      </c>
      <c r="J431" s="252" t="s">
        <v>5340</v>
      </c>
      <c r="K431" s="252"/>
      <c r="L431" s="252" t="s">
        <v>4444</v>
      </c>
      <c r="M431" s="284" t="s">
        <v>5509</v>
      </c>
      <c r="N431" s="252" t="s">
        <v>5340</v>
      </c>
      <c r="O431" s="252" t="s">
        <v>5339</v>
      </c>
      <c r="P431" s="252"/>
      <c r="Q431" s="252"/>
      <c r="R431" s="252"/>
      <c r="S431" s="252"/>
      <c r="T431" s="252"/>
      <c r="U431" s="252"/>
      <c r="V431" s="252"/>
      <c r="W431" s="645" t="s">
        <v>5526</v>
      </c>
      <c r="X431" s="88"/>
      <c r="AA431" s="149"/>
    </row>
    <row r="432" spans="1:27" s="18" customFormat="1" ht="22.5">
      <c r="A432" s="538"/>
      <c r="B432" s="644"/>
      <c r="C432" s="149"/>
      <c r="D432" s="88"/>
      <c r="E432" s="88" t="s">
        <v>5340</v>
      </c>
      <c r="F432" s="88" t="s">
        <v>5357</v>
      </c>
      <c r="G432" s="88" t="s">
        <v>5357</v>
      </c>
      <c r="H432" s="645" t="s">
        <v>5527</v>
      </c>
      <c r="I432" s="252" t="s">
        <v>5339</v>
      </c>
      <c r="J432" s="252" t="s">
        <v>5340</v>
      </c>
      <c r="K432" s="252"/>
      <c r="L432" s="252" t="s">
        <v>4444</v>
      </c>
      <c r="M432" s="284" t="s">
        <v>5509</v>
      </c>
      <c r="N432" s="252" t="s">
        <v>5340</v>
      </c>
      <c r="O432" s="252" t="s">
        <v>5339</v>
      </c>
      <c r="P432" s="252"/>
      <c r="Q432" s="252"/>
      <c r="R432" s="252"/>
      <c r="S432" s="252"/>
      <c r="T432" s="252"/>
      <c r="U432" s="252"/>
      <c r="V432" s="252"/>
      <c r="W432" s="645" t="s">
        <v>5528</v>
      </c>
      <c r="X432" s="88"/>
      <c r="AA432" s="149"/>
    </row>
    <row r="433" spans="1:27" s="18" customFormat="1" ht="22.5">
      <c r="A433" s="538"/>
      <c r="B433" s="644"/>
      <c r="C433" s="149"/>
      <c r="D433" s="88"/>
      <c r="E433" s="88" t="s">
        <v>5340</v>
      </c>
      <c r="F433" s="88" t="s">
        <v>5363</v>
      </c>
      <c r="G433" s="88" t="s">
        <v>5363</v>
      </c>
      <c r="H433" s="645" t="s">
        <v>5529</v>
      </c>
      <c r="I433" s="252" t="s">
        <v>5339</v>
      </c>
      <c r="J433" s="252" t="s">
        <v>5340</v>
      </c>
      <c r="K433" s="252"/>
      <c r="L433" s="252" t="s">
        <v>4444</v>
      </c>
      <c r="M433" s="284" t="s">
        <v>5509</v>
      </c>
      <c r="N433" s="252" t="s">
        <v>5340</v>
      </c>
      <c r="O433" s="252" t="s">
        <v>5339</v>
      </c>
      <c r="P433" s="252"/>
      <c r="Q433" s="252"/>
      <c r="R433" s="252"/>
      <c r="S433" s="252"/>
      <c r="T433" s="252"/>
      <c r="U433" s="252"/>
      <c r="V433" s="252"/>
      <c r="W433" s="645" t="s">
        <v>5530</v>
      </c>
      <c r="X433" s="88"/>
      <c r="AA433" s="149"/>
    </row>
    <row r="434" spans="1:27" s="18" customFormat="1" ht="22.5">
      <c r="A434" s="538"/>
      <c r="B434" s="644"/>
      <c r="C434" s="149"/>
      <c r="D434" s="88"/>
      <c r="E434" s="88" t="s">
        <v>5340</v>
      </c>
      <c r="F434" s="88" t="s">
        <v>5452</v>
      </c>
      <c r="G434" s="88" t="s">
        <v>5452</v>
      </c>
      <c r="H434" s="645" t="s">
        <v>5531</v>
      </c>
      <c r="I434" s="252" t="s">
        <v>5339</v>
      </c>
      <c r="J434" s="252" t="s">
        <v>5340</v>
      </c>
      <c r="K434" s="252"/>
      <c r="L434" s="252" t="s">
        <v>4444</v>
      </c>
      <c r="M434" s="284" t="s">
        <v>5509</v>
      </c>
      <c r="N434" s="252" t="s">
        <v>5340</v>
      </c>
      <c r="O434" s="252" t="s">
        <v>5339</v>
      </c>
      <c r="P434" s="252"/>
      <c r="Q434" s="252"/>
      <c r="R434" s="252"/>
      <c r="S434" s="252"/>
      <c r="T434" s="252"/>
      <c r="U434" s="252"/>
      <c r="V434" s="252"/>
      <c r="W434" s="645" t="s">
        <v>5532</v>
      </c>
      <c r="X434" s="88"/>
      <c r="AA434" s="149"/>
    </row>
    <row r="435" spans="1:27" s="18" customFormat="1" ht="22.5">
      <c r="A435" s="538"/>
      <c r="B435" s="644"/>
      <c r="C435" s="149"/>
      <c r="D435" s="88"/>
      <c r="E435" s="88" t="s">
        <v>5340</v>
      </c>
      <c r="F435" s="88" t="s">
        <v>5417</v>
      </c>
      <c r="G435" s="88" t="s">
        <v>5417</v>
      </c>
      <c r="H435" s="645" t="s">
        <v>5533</v>
      </c>
      <c r="I435" s="252" t="s">
        <v>5339</v>
      </c>
      <c r="J435" s="252" t="s">
        <v>5340</v>
      </c>
      <c r="K435" s="252"/>
      <c r="L435" s="252" t="s">
        <v>4444</v>
      </c>
      <c r="M435" s="284" t="s">
        <v>5509</v>
      </c>
      <c r="N435" s="252" t="s">
        <v>5340</v>
      </c>
      <c r="O435" s="252" t="s">
        <v>5339</v>
      </c>
      <c r="P435" s="252"/>
      <c r="Q435" s="252"/>
      <c r="R435" s="252"/>
      <c r="S435" s="252"/>
      <c r="T435" s="252"/>
      <c r="U435" s="252"/>
      <c r="V435" s="252"/>
      <c r="W435" s="645" t="s">
        <v>5534</v>
      </c>
      <c r="X435" s="88"/>
      <c r="AA435" s="149"/>
    </row>
    <row r="436" spans="1:27" s="18" customFormat="1" ht="22.5">
      <c r="A436" s="538"/>
      <c r="B436" s="644"/>
      <c r="C436" s="149"/>
      <c r="D436" s="88"/>
      <c r="E436" s="88" t="s">
        <v>5340</v>
      </c>
      <c r="F436" s="88" t="s">
        <v>5424</v>
      </c>
      <c r="G436" s="88" t="s">
        <v>5424</v>
      </c>
      <c r="H436" s="645" t="s">
        <v>5535</v>
      </c>
      <c r="I436" s="252" t="s">
        <v>5339</v>
      </c>
      <c r="J436" s="252" t="s">
        <v>5340</v>
      </c>
      <c r="K436" s="252"/>
      <c r="L436" s="252" t="s">
        <v>4444</v>
      </c>
      <c r="M436" s="284" t="s">
        <v>5509</v>
      </c>
      <c r="N436" s="252" t="s">
        <v>5340</v>
      </c>
      <c r="O436" s="252" t="s">
        <v>5339</v>
      </c>
      <c r="P436" s="252"/>
      <c r="Q436" s="252"/>
      <c r="R436" s="252"/>
      <c r="S436" s="252"/>
      <c r="T436" s="252"/>
      <c r="U436" s="252"/>
      <c r="V436" s="252"/>
      <c r="W436" s="645" t="s">
        <v>5536</v>
      </c>
      <c r="X436" s="88"/>
      <c r="AA436" s="149"/>
    </row>
    <row r="437" spans="1:27" s="18" customFormat="1" ht="22.5">
      <c r="A437" s="538"/>
      <c r="B437" s="644"/>
      <c r="C437" s="149"/>
      <c r="D437" s="88"/>
      <c r="E437" s="88" t="s">
        <v>5340</v>
      </c>
      <c r="F437" s="88" t="s">
        <v>5372</v>
      </c>
      <c r="G437" s="88" t="s">
        <v>5372</v>
      </c>
      <c r="H437" s="645" t="s">
        <v>5537</v>
      </c>
      <c r="I437" s="252" t="s">
        <v>5339</v>
      </c>
      <c r="J437" s="252" t="s">
        <v>5340</v>
      </c>
      <c r="K437" s="252"/>
      <c r="L437" s="252" t="s">
        <v>4444</v>
      </c>
      <c r="M437" s="284" t="s">
        <v>5509</v>
      </c>
      <c r="N437" s="252" t="s">
        <v>5340</v>
      </c>
      <c r="O437" s="252" t="s">
        <v>5339</v>
      </c>
      <c r="P437" s="252"/>
      <c r="Q437" s="252"/>
      <c r="R437" s="252"/>
      <c r="S437" s="252"/>
      <c r="T437" s="252"/>
      <c r="U437" s="252"/>
      <c r="V437" s="252"/>
      <c r="W437" s="645" t="s">
        <v>5538</v>
      </c>
      <c r="X437" s="88"/>
      <c r="AA437" s="149"/>
    </row>
    <row r="438" spans="1:27" s="18" customFormat="1" ht="22.5">
      <c r="A438" s="538"/>
      <c r="B438" s="262"/>
      <c r="C438" s="149"/>
      <c r="D438" s="88"/>
      <c r="E438" s="88" t="s">
        <v>5340</v>
      </c>
      <c r="F438" s="88" t="s">
        <v>5377</v>
      </c>
      <c r="G438" s="88" t="s">
        <v>5377</v>
      </c>
      <c r="H438" s="645" t="s">
        <v>5539</v>
      </c>
      <c r="I438" s="252" t="s">
        <v>5339</v>
      </c>
      <c r="J438" s="252" t="s">
        <v>5340</v>
      </c>
      <c r="K438" s="252"/>
      <c r="L438" s="252" t="s">
        <v>4444</v>
      </c>
      <c r="M438" s="284" t="s">
        <v>5509</v>
      </c>
      <c r="N438" s="252" t="s">
        <v>5340</v>
      </c>
      <c r="O438" s="252" t="s">
        <v>5339</v>
      </c>
      <c r="P438" s="252"/>
      <c r="Q438" s="252"/>
      <c r="R438" s="252"/>
      <c r="S438" s="252"/>
      <c r="T438" s="252"/>
      <c r="U438" s="252"/>
      <c r="V438" s="252"/>
      <c r="W438" s="645" t="s">
        <v>5540</v>
      </c>
      <c r="X438" s="88"/>
      <c r="AA438" s="149"/>
    </row>
    <row r="439" spans="1:27" s="18" customFormat="1" ht="12">
      <c r="A439" s="734">
        <f>A422+1</f>
        <v>104</v>
      </c>
      <c r="B439" s="333" t="s">
        <v>5541</v>
      </c>
      <c r="C439" s="335" t="s">
        <v>4886</v>
      </c>
      <c r="D439" s="337" t="s">
        <v>2595</v>
      </c>
      <c r="E439" s="337"/>
      <c r="F439" s="337"/>
      <c r="G439" s="337"/>
      <c r="H439" s="334"/>
      <c r="I439" s="332"/>
      <c r="J439" s="332"/>
      <c r="K439" s="332"/>
      <c r="L439" s="332"/>
      <c r="M439" s="332"/>
      <c r="N439" s="332"/>
      <c r="O439" s="332"/>
      <c r="P439" s="332" t="s">
        <v>4923</v>
      </c>
      <c r="Q439" s="332" t="s">
        <v>4924</v>
      </c>
      <c r="R439" s="332"/>
      <c r="S439" s="332"/>
      <c r="T439" s="332"/>
      <c r="U439" s="332"/>
      <c r="V439" s="332"/>
      <c r="W439" s="337" t="s">
        <v>6461</v>
      </c>
      <c r="X439" s="332" t="s">
        <v>4873</v>
      </c>
      <c r="AA439" s="337" t="s">
        <v>148</v>
      </c>
    </row>
    <row r="440" spans="1:27" s="18" customFormat="1" ht="56.25">
      <c r="A440" s="538"/>
      <c r="B440" s="262"/>
      <c r="C440" s="149"/>
      <c r="D440" s="88"/>
      <c r="E440" s="88" t="s">
        <v>94</v>
      </c>
      <c r="F440" s="88" t="s">
        <v>141</v>
      </c>
      <c r="G440" s="88" t="s">
        <v>94</v>
      </c>
      <c r="H440" s="254" t="s">
        <v>5543</v>
      </c>
      <c r="I440" s="252" t="s">
        <v>94</v>
      </c>
      <c r="J440" s="252" t="s">
        <v>4501</v>
      </c>
      <c r="K440" s="252"/>
      <c r="L440" s="252" t="s">
        <v>4444</v>
      </c>
      <c r="M440" s="284" t="s">
        <v>5544</v>
      </c>
      <c r="N440" s="252" t="s">
        <v>4467</v>
      </c>
      <c r="O440" s="252" t="s">
        <v>94</v>
      </c>
      <c r="P440" s="252"/>
      <c r="Q440" s="252"/>
      <c r="R440" s="252"/>
      <c r="S440" s="252"/>
      <c r="T440" s="252"/>
      <c r="U440" s="252"/>
      <c r="V440" s="252"/>
      <c r="W440" s="254" t="s">
        <v>5545</v>
      </c>
      <c r="X440" s="88"/>
      <c r="AA440" s="149"/>
    </row>
    <row r="441" spans="1:27" s="18" customFormat="1" ht="56.25">
      <c r="A441" s="538"/>
      <c r="B441" s="262"/>
      <c r="C441" s="149"/>
      <c r="D441" s="88"/>
      <c r="E441" s="88" t="s">
        <v>94</v>
      </c>
      <c r="F441" s="88" t="s">
        <v>4477</v>
      </c>
      <c r="G441" s="88" t="s">
        <v>4501</v>
      </c>
      <c r="H441" s="254" t="s">
        <v>5546</v>
      </c>
      <c r="I441" s="252" t="s">
        <v>94</v>
      </c>
      <c r="J441" s="252" t="s">
        <v>4501</v>
      </c>
      <c r="K441" s="252"/>
      <c r="L441" s="252" t="s">
        <v>4444</v>
      </c>
      <c r="M441" s="284" t="s">
        <v>5544</v>
      </c>
      <c r="N441" s="252" t="s">
        <v>4467</v>
      </c>
      <c r="O441" s="252" t="s">
        <v>94</v>
      </c>
      <c r="P441" s="252"/>
      <c r="Q441" s="252"/>
      <c r="R441" s="252"/>
      <c r="S441" s="252"/>
      <c r="T441" s="252"/>
      <c r="U441" s="252"/>
      <c r="V441" s="252"/>
      <c r="W441" s="254" t="s">
        <v>5547</v>
      </c>
      <c r="X441" s="88"/>
      <c r="AA441" s="149"/>
    </row>
    <row r="442" spans="1:27" s="18" customFormat="1" ht="56.25">
      <c r="A442" s="538"/>
      <c r="B442" s="262"/>
      <c r="C442" s="149"/>
      <c r="D442" s="88"/>
      <c r="E442" s="88" t="s">
        <v>4467</v>
      </c>
      <c r="F442" s="88" t="s">
        <v>4961</v>
      </c>
      <c r="G442" s="88" t="s">
        <v>4478</v>
      </c>
      <c r="H442" s="254" t="s">
        <v>5548</v>
      </c>
      <c r="I442" s="252" t="s">
        <v>94</v>
      </c>
      <c r="J442" s="252" t="s">
        <v>4501</v>
      </c>
      <c r="K442" s="252"/>
      <c r="L442" s="252" t="s">
        <v>4444</v>
      </c>
      <c r="M442" s="284" t="s">
        <v>5544</v>
      </c>
      <c r="N442" s="252" t="s">
        <v>4467</v>
      </c>
      <c r="O442" s="252" t="s">
        <v>94</v>
      </c>
      <c r="P442" s="252"/>
      <c r="Q442" s="252"/>
      <c r="R442" s="252"/>
      <c r="S442" s="252"/>
      <c r="T442" s="252"/>
      <c r="U442" s="252"/>
      <c r="V442" s="252"/>
      <c r="W442" s="254" t="s">
        <v>5549</v>
      </c>
      <c r="X442" s="88"/>
      <c r="AA442" s="149"/>
    </row>
    <row r="443" spans="1:27" s="18" customFormat="1" ht="56.25">
      <c r="A443" s="538"/>
      <c r="B443" s="262"/>
      <c r="C443" s="149"/>
      <c r="D443" s="88"/>
      <c r="E443" s="88" t="s">
        <v>4467</v>
      </c>
      <c r="F443" s="88" t="s">
        <v>4487</v>
      </c>
      <c r="G443" s="88" t="s">
        <v>4955</v>
      </c>
      <c r="H443" s="254" t="s">
        <v>5550</v>
      </c>
      <c r="I443" s="252" t="s">
        <v>94</v>
      </c>
      <c r="J443" s="252" t="s">
        <v>4501</v>
      </c>
      <c r="K443" s="252"/>
      <c r="L443" s="252" t="s">
        <v>4444</v>
      </c>
      <c r="M443" s="284" t="s">
        <v>5544</v>
      </c>
      <c r="N443" s="252" t="s">
        <v>4467</v>
      </c>
      <c r="O443" s="252" t="s">
        <v>94</v>
      </c>
      <c r="P443" s="252"/>
      <c r="Q443" s="252"/>
      <c r="R443" s="252"/>
      <c r="S443" s="252"/>
      <c r="T443" s="252"/>
      <c r="U443" s="252"/>
      <c r="V443" s="252"/>
      <c r="W443" s="254" t="s">
        <v>5551</v>
      </c>
      <c r="X443" s="88"/>
      <c r="AA443" s="149"/>
    </row>
    <row r="444" spans="1:27" s="18" customFormat="1" ht="56.25">
      <c r="A444" s="538"/>
      <c r="B444" s="262"/>
      <c r="C444" s="149"/>
      <c r="D444" s="88"/>
      <c r="E444" s="88" t="s">
        <v>4474</v>
      </c>
      <c r="F444" s="88" t="s">
        <v>5328</v>
      </c>
      <c r="G444" s="88" t="s">
        <v>566</v>
      </c>
      <c r="H444" s="254" t="s">
        <v>5552</v>
      </c>
      <c r="I444" s="252" t="s">
        <v>94</v>
      </c>
      <c r="J444" s="252" t="s">
        <v>4501</v>
      </c>
      <c r="K444" s="252"/>
      <c r="L444" s="252" t="s">
        <v>4444</v>
      </c>
      <c r="M444" s="284" t="s">
        <v>5544</v>
      </c>
      <c r="N444" s="252" t="s">
        <v>4467</v>
      </c>
      <c r="O444" s="252" t="s">
        <v>94</v>
      </c>
      <c r="P444" s="252"/>
      <c r="Q444" s="252"/>
      <c r="R444" s="252"/>
      <c r="S444" s="252"/>
      <c r="T444" s="252"/>
      <c r="U444" s="252"/>
      <c r="V444" s="252"/>
      <c r="W444" s="254" t="s">
        <v>5553</v>
      </c>
      <c r="X444" s="88"/>
      <c r="AA444" s="149"/>
    </row>
    <row r="445" spans="1:27" s="18" customFormat="1" ht="56.25">
      <c r="A445" s="538"/>
      <c r="B445" s="262"/>
      <c r="C445" s="149"/>
      <c r="D445" s="88"/>
      <c r="E445" s="88" t="s">
        <v>4474</v>
      </c>
      <c r="F445" s="88" t="s">
        <v>4490</v>
      </c>
      <c r="G445" s="88" t="s">
        <v>2595</v>
      </c>
      <c r="H445" s="254" t="s">
        <v>5554</v>
      </c>
      <c r="I445" s="252" t="s">
        <v>94</v>
      </c>
      <c r="J445" s="252" t="s">
        <v>4501</v>
      </c>
      <c r="K445" s="252"/>
      <c r="L445" s="252" t="s">
        <v>4444</v>
      </c>
      <c r="M445" s="284" t="s">
        <v>5544</v>
      </c>
      <c r="N445" s="252" t="s">
        <v>4467</v>
      </c>
      <c r="O445" s="252" t="s">
        <v>94</v>
      </c>
      <c r="P445" s="252"/>
      <c r="Q445" s="252"/>
      <c r="R445" s="252"/>
      <c r="S445" s="252"/>
      <c r="T445" s="252"/>
      <c r="U445" s="252"/>
      <c r="V445" s="252"/>
      <c r="W445" s="254" t="s">
        <v>5555</v>
      </c>
      <c r="X445" s="88"/>
      <c r="AA445" s="149"/>
    </row>
    <row r="446" spans="1:27" s="18" customFormat="1" ht="56.25">
      <c r="A446" s="538"/>
      <c r="B446" s="262"/>
      <c r="C446" s="149"/>
      <c r="D446" s="88"/>
      <c r="E446" s="88" t="s">
        <v>141</v>
      </c>
      <c r="F446" s="88" t="s">
        <v>4962</v>
      </c>
      <c r="G446" s="88" t="s">
        <v>4494</v>
      </c>
      <c r="H446" s="254" t="s">
        <v>5556</v>
      </c>
      <c r="I446" s="252" t="s">
        <v>94</v>
      </c>
      <c r="J446" s="252" t="s">
        <v>4501</v>
      </c>
      <c r="K446" s="252"/>
      <c r="L446" s="252" t="s">
        <v>4444</v>
      </c>
      <c r="M446" s="284" t="s">
        <v>5544</v>
      </c>
      <c r="N446" s="252" t="s">
        <v>4467</v>
      </c>
      <c r="O446" s="252" t="s">
        <v>94</v>
      </c>
      <c r="P446" s="252"/>
      <c r="Q446" s="252"/>
      <c r="R446" s="252"/>
      <c r="S446" s="252"/>
      <c r="T446" s="252"/>
      <c r="U446" s="252"/>
      <c r="V446" s="252"/>
      <c r="W446" s="254" t="s">
        <v>5557</v>
      </c>
      <c r="X446" s="88"/>
      <c r="AA446" s="149"/>
    </row>
    <row r="447" spans="1:27" s="18" customFormat="1" ht="56.25">
      <c r="A447" s="538"/>
      <c r="B447" s="262"/>
      <c r="C447" s="149"/>
      <c r="D447" s="88"/>
      <c r="E447" s="88" t="s">
        <v>141</v>
      </c>
      <c r="F447" s="88" t="s">
        <v>4493</v>
      </c>
      <c r="G447" s="88" t="s">
        <v>4963</v>
      </c>
      <c r="H447" s="254" t="s">
        <v>5558</v>
      </c>
      <c r="I447" s="252" t="s">
        <v>94</v>
      </c>
      <c r="J447" s="252" t="s">
        <v>4501</v>
      </c>
      <c r="K447" s="252"/>
      <c r="L447" s="252" t="s">
        <v>4444</v>
      </c>
      <c r="M447" s="284" t="s">
        <v>5544</v>
      </c>
      <c r="N447" s="252" t="s">
        <v>4467</v>
      </c>
      <c r="O447" s="252" t="s">
        <v>94</v>
      </c>
      <c r="P447" s="252"/>
      <c r="Q447" s="252"/>
      <c r="R447" s="252"/>
      <c r="S447" s="252"/>
      <c r="T447" s="252"/>
      <c r="U447" s="252"/>
      <c r="V447" s="252"/>
      <c r="W447" s="254" t="s">
        <v>5559</v>
      </c>
      <c r="X447" s="88"/>
      <c r="AA447" s="149"/>
    </row>
    <row r="448" spans="1:27" s="18" customFormat="1" ht="33.75">
      <c r="A448" s="538"/>
      <c r="B448" s="262"/>
      <c r="C448" s="149"/>
      <c r="D448" s="88"/>
      <c r="E448" s="88" t="s">
        <v>4501</v>
      </c>
      <c r="F448" s="88" t="s">
        <v>4497</v>
      </c>
      <c r="G448" s="88" t="s">
        <v>4498</v>
      </c>
      <c r="H448" s="254" t="s">
        <v>5560</v>
      </c>
      <c r="I448" s="252" t="s">
        <v>94</v>
      </c>
      <c r="J448" s="252" t="s">
        <v>76</v>
      </c>
      <c r="K448" s="252"/>
      <c r="L448" s="252" t="s">
        <v>4444</v>
      </c>
      <c r="M448" s="284" t="s">
        <v>5561</v>
      </c>
      <c r="N448" s="252" t="s">
        <v>4467</v>
      </c>
      <c r="O448" s="252" t="s">
        <v>94</v>
      </c>
      <c r="P448" s="252"/>
      <c r="Q448" s="252"/>
      <c r="R448" s="252"/>
      <c r="S448" s="252"/>
      <c r="T448" s="252"/>
      <c r="U448" s="252"/>
      <c r="V448" s="252"/>
      <c r="W448" s="254" t="s">
        <v>5562</v>
      </c>
      <c r="X448" s="88"/>
      <c r="AA448" s="149"/>
    </row>
    <row r="449" spans="1:27" s="18" customFormat="1" ht="33.75">
      <c r="A449" s="538"/>
      <c r="B449" s="262"/>
      <c r="C449" s="149"/>
      <c r="D449" s="88"/>
      <c r="E449" s="88" t="s">
        <v>4484</v>
      </c>
      <c r="F449" s="88" t="s">
        <v>4992</v>
      </c>
      <c r="G449" s="88" t="s">
        <v>4928</v>
      </c>
      <c r="H449" s="254" t="s">
        <v>5563</v>
      </c>
      <c r="I449" s="252" t="s">
        <v>94</v>
      </c>
      <c r="J449" s="252" t="s">
        <v>76</v>
      </c>
      <c r="K449" s="252"/>
      <c r="L449" s="252" t="s">
        <v>4444</v>
      </c>
      <c r="M449" s="284" t="s">
        <v>5561</v>
      </c>
      <c r="N449" s="252" t="s">
        <v>4467</v>
      </c>
      <c r="O449" s="252" t="s">
        <v>94</v>
      </c>
      <c r="P449" s="252"/>
      <c r="Q449" s="252"/>
      <c r="R449" s="252"/>
      <c r="S449" s="252"/>
      <c r="T449" s="252"/>
      <c r="U449" s="252"/>
      <c r="V449" s="252"/>
      <c r="W449" s="254" t="s">
        <v>5564</v>
      </c>
      <c r="X449" s="88"/>
      <c r="AA449" s="149"/>
    </row>
    <row r="450" spans="1:27" s="18" customFormat="1" ht="33.75">
      <c r="A450" s="538"/>
      <c r="B450" s="262"/>
      <c r="C450" s="149"/>
      <c r="D450" s="88"/>
      <c r="E450" s="88" t="s">
        <v>4517</v>
      </c>
      <c r="F450" s="88" t="s">
        <v>5565</v>
      </c>
      <c r="G450" s="88" t="s">
        <v>5343</v>
      </c>
      <c r="H450" s="254" t="s">
        <v>5566</v>
      </c>
      <c r="I450" s="252" t="s">
        <v>94</v>
      </c>
      <c r="J450" s="252" t="s">
        <v>76</v>
      </c>
      <c r="K450" s="252"/>
      <c r="L450" s="252" t="s">
        <v>4444</v>
      </c>
      <c r="M450" s="284" t="s">
        <v>5561</v>
      </c>
      <c r="N450" s="252" t="s">
        <v>4467</v>
      </c>
      <c r="O450" s="252" t="s">
        <v>94</v>
      </c>
      <c r="P450" s="252"/>
      <c r="Q450" s="252"/>
      <c r="R450" s="252"/>
      <c r="S450" s="252"/>
      <c r="T450" s="252"/>
      <c r="U450" s="252"/>
      <c r="V450" s="252"/>
      <c r="W450" s="254" t="s">
        <v>5567</v>
      </c>
      <c r="X450" s="88"/>
      <c r="AA450" s="149"/>
    </row>
    <row r="451" spans="1:27" s="18" customFormat="1" ht="33.75">
      <c r="A451" s="538"/>
      <c r="B451" s="262"/>
      <c r="C451" s="149"/>
      <c r="D451" s="88"/>
      <c r="E451" s="88" t="s">
        <v>4477</v>
      </c>
      <c r="F451" s="88" t="s">
        <v>4993</v>
      </c>
      <c r="G451" s="88" t="s">
        <v>4951</v>
      </c>
      <c r="H451" s="254" t="s">
        <v>5568</v>
      </c>
      <c r="I451" s="252" t="s">
        <v>94</v>
      </c>
      <c r="J451" s="252" t="s">
        <v>76</v>
      </c>
      <c r="K451" s="252"/>
      <c r="L451" s="252" t="s">
        <v>4444</v>
      </c>
      <c r="M451" s="284" t="s">
        <v>5561</v>
      </c>
      <c r="N451" s="252" t="s">
        <v>4467</v>
      </c>
      <c r="O451" s="252" t="s">
        <v>94</v>
      </c>
      <c r="P451" s="252"/>
      <c r="Q451" s="252"/>
      <c r="R451" s="252"/>
      <c r="S451" s="252"/>
      <c r="T451" s="252"/>
      <c r="U451" s="252"/>
      <c r="V451" s="252"/>
      <c r="W451" s="254" t="s">
        <v>5569</v>
      </c>
      <c r="X451" s="88"/>
      <c r="AA451" s="149"/>
    </row>
    <row r="452" spans="1:27" s="18" customFormat="1" ht="33.75">
      <c r="A452" s="538"/>
      <c r="B452" s="262"/>
      <c r="C452" s="149"/>
      <c r="D452" s="88"/>
      <c r="E452" s="88" t="s">
        <v>4478</v>
      </c>
      <c r="F452" s="88" t="s">
        <v>5570</v>
      </c>
      <c r="G452" s="88" t="s">
        <v>5571</v>
      </c>
      <c r="H452" s="254" t="s">
        <v>5572</v>
      </c>
      <c r="I452" s="252" t="s">
        <v>94</v>
      </c>
      <c r="J452" s="252" t="s">
        <v>76</v>
      </c>
      <c r="K452" s="252"/>
      <c r="L452" s="252" t="s">
        <v>4444</v>
      </c>
      <c r="M452" s="284" t="s">
        <v>5561</v>
      </c>
      <c r="N452" s="252" t="s">
        <v>4467</v>
      </c>
      <c r="O452" s="252" t="s">
        <v>94</v>
      </c>
      <c r="P452" s="252"/>
      <c r="Q452" s="252"/>
      <c r="R452" s="252"/>
      <c r="S452" s="252"/>
      <c r="T452" s="252"/>
      <c r="U452" s="252"/>
      <c r="V452" s="252"/>
      <c r="W452" s="254" t="s">
        <v>5573</v>
      </c>
      <c r="X452" s="88"/>
      <c r="AA452" s="149"/>
    </row>
    <row r="453" spans="1:27" s="18" customFormat="1" ht="33.75">
      <c r="A453" s="538"/>
      <c r="B453" s="262"/>
      <c r="C453" s="149"/>
      <c r="D453" s="88"/>
      <c r="E453" s="88" t="s">
        <v>4994</v>
      </c>
      <c r="F453" s="88" t="s">
        <v>4995</v>
      </c>
      <c r="G453" s="88" t="s">
        <v>4926</v>
      </c>
      <c r="H453" s="254" t="s">
        <v>5574</v>
      </c>
      <c r="I453" s="252" t="s">
        <v>94</v>
      </c>
      <c r="J453" s="252" t="s">
        <v>76</v>
      </c>
      <c r="K453" s="252"/>
      <c r="L453" s="252" t="s">
        <v>4444</v>
      </c>
      <c r="M453" s="284" t="s">
        <v>5561</v>
      </c>
      <c r="N453" s="252" t="s">
        <v>4467</v>
      </c>
      <c r="O453" s="252" t="s">
        <v>94</v>
      </c>
      <c r="P453" s="252"/>
      <c r="Q453" s="252"/>
      <c r="R453" s="252"/>
      <c r="S453" s="252"/>
      <c r="T453" s="252"/>
      <c r="U453" s="252"/>
      <c r="V453" s="252"/>
      <c r="W453" s="254" t="s">
        <v>5575</v>
      </c>
      <c r="X453" s="88"/>
      <c r="AA453" s="149"/>
    </row>
    <row r="454" spans="1:27" s="18" customFormat="1" ht="33.75">
      <c r="A454" s="538"/>
      <c r="B454" s="262"/>
      <c r="C454" s="149"/>
      <c r="D454" s="88"/>
      <c r="E454" s="88" t="s">
        <v>4937</v>
      </c>
      <c r="F454" s="88" t="s">
        <v>5107</v>
      </c>
      <c r="G454" s="88" t="s">
        <v>5105</v>
      </c>
      <c r="H454" s="254" t="s">
        <v>5576</v>
      </c>
      <c r="I454" s="252" t="s">
        <v>94</v>
      </c>
      <c r="J454" s="252" t="s">
        <v>76</v>
      </c>
      <c r="K454" s="252"/>
      <c r="L454" s="252" t="s">
        <v>4444</v>
      </c>
      <c r="M454" s="284" t="s">
        <v>5561</v>
      </c>
      <c r="N454" s="252" t="s">
        <v>4467</v>
      </c>
      <c r="O454" s="252" t="s">
        <v>94</v>
      </c>
      <c r="P454" s="252"/>
      <c r="Q454" s="252"/>
      <c r="R454" s="252"/>
      <c r="S454" s="252"/>
      <c r="T454" s="252"/>
      <c r="U454" s="252"/>
      <c r="V454" s="252"/>
      <c r="W454" s="254" t="s">
        <v>5577</v>
      </c>
      <c r="X454" s="88"/>
      <c r="AA454" s="149"/>
    </row>
    <row r="455" spans="1:27" s="18" customFormat="1" ht="33.75">
      <c r="A455" s="538"/>
      <c r="B455" s="262"/>
      <c r="C455" s="149"/>
      <c r="D455" s="88"/>
      <c r="E455" s="88" t="s">
        <v>4961</v>
      </c>
      <c r="F455" s="88" t="s">
        <v>4996</v>
      </c>
      <c r="G455" s="88" t="s">
        <v>4997</v>
      </c>
      <c r="H455" s="254" t="s">
        <v>5578</v>
      </c>
      <c r="I455" s="252" t="s">
        <v>94</v>
      </c>
      <c r="J455" s="252" t="s">
        <v>76</v>
      </c>
      <c r="K455" s="252"/>
      <c r="L455" s="252" t="s">
        <v>4444</v>
      </c>
      <c r="M455" s="284" t="s">
        <v>5561</v>
      </c>
      <c r="N455" s="252" t="s">
        <v>4467</v>
      </c>
      <c r="O455" s="252" t="s">
        <v>94</v>
      </c>
      <c r="P455" s="252"/>
      <c r="Q455" s="252"/>
      <c r="R455" s="252"/>
      <c r="S455" s="252"/>
      <c r="T455" s="252"/>
      <c r="U455" s="252"/>
      <c r="V455" s="252"/>
      <c r="W455" s="254" t="s">
        <v>5579</v>
      </c>
      <c r="X455" s="88"/>
      <c r="AA455" s="149"/>
    </row>
    <row r="456" spans="1:27" s="18" customFormat="1" ht="33.75">
      <c r="A456" s="538"/>
      <c r="B456" s="262"/>
      <c r="C456" s="149"/>
      <c r="D456" s="88"/>
      <c r="E456" s="88" t="s">
        <v>5417</v>
      </c>
      <c r="F456" s="88" t="s">
        <v>5418</v>
      </c>
      <c r="G456" s="88" t="s">
        <v>5419</v>
      </c>
      <c r="H456" s="254" t="s">
        <v>5580</v>
      </c>
      <c r="I456" s="252" t="s">
        <v>94</v>
      </c>
      <c r="J456" s="252" t="s">
        <v>76</v>
      </c>
      <c r="K456" s="252"/>
      <c r="L456" s="252" t="s">
        <v>4444</v>
      </c>
      <c r="M456" s="284" t="s">
        <v>5561</v>
      </c>
      <c r="N456" s="252" t="s">
        <v>4467</v>
      </c>
      <c r="O456" s="252" t="s">
        <v>94</v>
      </c>
      <c r="P456" s="252"/>
      <c r="Q456" s="252"/>
      <c r="R456" s="252"/>
      <c r="S456" s="252"/>
      <c r="T456" s="252"/>
      <c r="U456" s="252"/>
      <c r="V456" s="252"/>
      <c r="W456" s="254" t="s">
        <v>5581</v>
      </c>
      <c r="X456" s="88"/>
      <c r="AA456" s="149"/>
    </row>
    <row r="457" spans="1:27" s="18" customFormat="1" ht="33.75">
      <c r="A457" s="538"/>
      <c r="B457" s="262"/>
      <c r="C457" s="149"/>
      <c r="D457" s="88"/>
      <c r="E457" s="88" t="s">
        <v>5424</v>
      </c>
      <c r="F457" s="88" t="s">
        <v>5582</v>
      </c>
      <c r="G457" s="88" t="s">
        <v>5365</v>
      </c>
      <c r="H457" s="254" t="s">
        <v>5583</v>
      </c>
      <c r="I457" s="252" t="s">
        <v>94</v>
      </c>
      <c r="J457" s="252" t="s">
        <v>76</v>
      </c>
      <c r="K457" s="252"/>
      <c r="L457" s="252" t="s">
        <v>4444</v>
      </c>
      <c r="M457" s="284" t="s">
        <v>5561</v>
      </c>
      <c r="N457" s="252" t="s">
        <v>4467</v>
      </c>
      <c r="O457" s="252" t="s">
        <v>94</v>
      </c>
      <c r="P457" s="252"/>
      <c r="Q457" s="252"/>
      <c r="R457" s="252"/>
      <c r="S457" s="252"/>
      <c r="T457" s="252"/>
      <c r="U457" s="252"/>
      <c r="V457" s="252"/>
      <c r="W457" s="254" t="s">
        <v>5584</v>
      </c>
      <c r="X457" s="88"/>
      <c r="AA457" s="149"/>
    </row>
    <row r="458" spans="1:27" s="18" customFormat="1" ht="33.75">
      <c r="A458" s="538"/>
      <c r="B458" s="262"/>
      <c r="C458" s="149"/>
      <c r="D458" s="88"/>
      <c r="E458" s="88" t="s">
        <v>5372</v>
      </c>
      <c r="F458" s="88" t="s">
        <v>5373</v>
      </c>
      <c r="G458" s="88" t="s">
        <v>5374</v>
      </c>
      <c r="H458" s="254" t="s">
        <v>5585</v>
      </c>
      <c r="I458" s="252" t="s">
        <v>94</v>
      </c>
      <c r="J458" s="252" t="s">
        <v>76</v>
      </c>
      <c r="K458" s="252"/>
      <c r="L458" s="252" t="s">
        <v>4444</v>
      </c>
      <c r="M458" s="284" t="s">
        <v>5561</v>
      </c>
      <c r="N458" s="252" t="s">
        <v>4467</v>
      </c>
      <c r="O458" s="252" t="s">
        <v>94</v>
      </c>
      <c r="P458" s="252"/>
      <c r="Q458" s="252"/>
      <c r="R458" s="252"/>
      <c r="S458" s="252"/>
      <c r="T458" s="252"/>
      <c r="U458" s="252"/>
      <c r="V458" s="252"/>
      <c r="W458" s="254" t="s">
        <v>5586</v>
      </c>
      <c r="X458" s="88"/>
      <c r="AA458" s="149"/>
    </row>
    <row r="459" spans="1:27" s="18" customFormat="1" ht="33.75">
      <c r="A459" s="538"/>
      <c r="B459" s="262"/>
      <c r="C459" s="149"/>
      <c r="D459" s="88"/>
      <c r="E459" s="88" t="s">
        <v>5377</v>
      </c>
      <c r="F459" s="88" t="s">
        <v>5378</v>
      </c>
      <c r="G459" s="88" t="s">
        <v>5379</v>
      </c>
      <c r="H459" s="254" t="s">
        <v>5587</v>
      </c>
      <c r="I459" s="252" t="s">
        <v>94</v>
      </c>
      <c r="J459" s="252" t="s">
        <v>76</v>
      </c>
      <c r="K459" s="252"/>
      <c r="L459" s="252" t="s">
        <v>4444</v>
      </c>
      <c r="M459" s="284" t="s">
        <v>5561</v>
      </c>
      <c r="N459" s="252" t="s">
        <v>4467</v>
      </c>
      <c r="O459" s="252" t="s">
        <v>94</v>
      </c>
      <c r="P459" s="252"/>
      <c r="Q459" s="252"/>
      <c r="R459" s="252"/>
      <c r="S459" s="252"/>
      <c r="T459" s="252"/>
      <c r="U459" s="252"/>
      <c r="V459" s="252"/>
      <c r="W459" s="254" t="s">
        <v>5588</v>
      </c>
      <c r="X459" s="88"/>
      <c r="AA459" s="149"/>
    </row>
    <row r="460" spans="1:27" s="18" customFormat="1" ht="112.5">
      <c r="A460" s="538"/>
      <c r="B460" s="262"/>
      <c r="C460" s="149"/>
      <c r="D460" s="88"/>
      <c r="E460" s="88" t="s">
        <v>566</v>
      </c>
      <c r="F460" s="88" t="s">
        <v>5589</v>
      </c>
      <c r="G460" s="88" t="s">
        <v>4933</v>
      </c>
      <c r="H460" s="254" t="s">
        <v>5590</v>
      </c>
      <c r="I460" s="252" t="s">
        <v>94</v>
      </c>
      <c r="J460" s="252" t="s">
        <v>4994</v>
      </c>
      <c r="K460" s="252"/>
      <c r="L460" s="252" t="s">
        <v>4444</v>
      </c>
      <c r="M460" s="284" t="s">
        <v>5591</v>
      </c>
      <c r="N460" s="252" t="s">
        <v>4467</v>
      </c>
      <c r="O460" s="252" t="s">
        <v>94</v>
      </c>
      <c r="P460" s="252"/>
      <c r="Q460" s="252"/>
      <c r="R460" s="252"/>
      <c r="S460" s="252"/>
      <c r="T460" s="252"/>
      <c r="U460" s="252"/>
      <c r="V460" s="252"/>
      <c r="W460" s="254" t="s">
        <v>5592</v>
      </c>
      <c r="X460" s="88"/>
      <c r="AA460" s="149"/>
    </row>
    <row r="461" spans="1:27" s="18" customFormat="1" ht="90">
      <c r="A461" s="538"/>
      <c r="B461" s="262"/>
      <c r="C461" s="149"/>
      <c r="D461" s="88"/>
      <c r="E461" s="88" t="s">
        <v>5259</v>
      </c>
      <c r="F461" s="88" t="s">
        <v>5593</v>
      </c>
      <c r="G461" s="88" t="s">
        <v>5594</v>
      </c>
      <c r="H461" s="254" t="s">
        <v>5595</v>
      </c>
      <c r="I461" s="252" t="s">
        <v>94</v>
      </c>
      <c r="J461" s="252" t="s">
        <v>4477</v>
      </c>
      <c r="K461" s="252"/>
      <c r="L461" s="252" t="s">
        <v>4444</v>
      </c>
      <c r="M461" s="284" t="s">
        <v>5596</v>
      </c>
      <c r="N461" s="252" t="s">
        <v>4467</v>
      </c>
      <c r="O461" s="252" t="s">
        <v>94</v>
      </c>
      <c r="P461" s="252"/>
      <c r="Q461" s="252"/>
      <c r="R461" s="252"/>
      <c r="S461" s="252"/>
      <c r="T461" s="252"/>
      <c r="U461" s="252"/>
      <c r="V461" s="252"/>
      <c r="W461" s="254" t="s">
        <v>5597</v>
      </c>
      <c r="X461" s="88"/>
      <c r="AA461" s="149"/>
    </row>
    <row r="462" spans="1:27" s="18" customFormat="1" ht="45">
      <c r="A462" s="538"/>
      <c r="B462" s="262"/>
      <c r="C462" s="149"/>
      <c r="D462" s="88"/>
      <c r="E462" s="88" t="s">
        <v>5598</v>
      </c>
      <c r="F462" s="88" t="s">
        <v>5599</v>
      </c>
      <c r="G462" s="88" t="s">
        <v>5600</v>
      </c>
      <c r="H462" s="254" t="s">
        <v>5601</v>
      </c>
      <c r="I462" s="252" t="s">
        <v>94</v>
      </c>
      <c r="J462" s="252" t="s">
        <v>141</v>
      </c>
      <c r="K462" s="252"/>
      <c r="L462" s="252" t="s">
        <v>4444</v>
      </c>
      <c r="M462" s="284" t="s">
        <v>5602</v>
      </c>
      <c r="N462" s="252" t="s">
        <v>4467</v>
      </c>
      <c r="O462" s="252" t="s">
        <v>94</v>
      </c>
      <c r="P462" s="252"/>
      <c r="Q462" s="252"/>
      <c r="R462" s="252"/>
      <c r="S462" s="252"/>
      <c r="T462" s="252"/>
      <c r="U462" s="252"/>
      <c r="V462" s="252"/>
      <c r="W462" s="254" t="s">
        <v>5603</v>
      </c>
      <c r="X462" s="88"/>
      <c r="AA462" s="149"/>
    </row>
    <row r="463" spans="1:27" s="18" customFormat="1" ht="22.5">
      <c r="A463" s="538"/>
      <c r="B463" s="262"/>
      <c r="C463" s="149"/>
      <c r="D463" s="88"/>
      <c r="E463" s="88" t="s">
        <v>5328</v>
      </c>
      <c r="F463" s="88" t="s">
        <v>5108</v>
      </c>
      <c r="G463" s="88" t="s">
        <v>5108</v>
      </c>
      <c r="H463" s="254" t="s">
        <v>5604</v>
      </c>
      <c r="I463" s="252" t="s">
        <v>94</v>
      </c>
      <c r="J463" s="252" t="s">
        <v>4467</v>
      </c>
      <c r="K463" s="252"/>
      <c r="L463" s="252" t="s">
        <v>4444</v>
      </c>
      <c r="M463" s="284" t="s">
        <v>5605</v>
      </c>
      <c r="N463" s="252" t="s">
        <v>4467</v>
      </c>
      <c r="O463" s="252" t="s">
        <v>94</v>
      </c>
      <c r="P463" s="252"/>
      <c r="Q463" s="252"/>
      <c r="R463" s="252"/>
      <c r="S463" s="252"/>
      <c r="T463" s="252"/>
      <c r="U463" s="252"/>
      <c r="V463" s="252"/>
      <c r="W463" s="254" t="s">
        <v>5606</v>
      </c>
      <c r="X463" s="88"/>
      <c r="AA463" s="149"/>
    </row>
    <row r="464" spans="1:27" s="18" customFormat="1" ht="12">
      <c r="A464" s="734">
        <f>A439+1</f>
        <v>105</v>
      </c>
      <c r="B464" s="333" t="s">
        <v>5542</v>
      </c>
      <c r="C464" s="335" t="s">
        <v>4888</v>
      </c>
      <c r="D464" s="337" t="s">
        <v>4474</v>
      </c>
      <c r="E464" s="337"/>
      <c r="F464" s="337"/>
      <c r="G464" s="337"/>
      <c r="H464" s="334"/>
      <c r="I464" s="332"/>
      <c r="J464" s="332"/>
      <c r="K464" s="332"/>
      <c r="L464" s="332"/>
      <c r="M464" s="332"/>
      <c r="N464" s="332"/>
      <c r="O464" s="332"/>
      <c r="P464" s="332" t="s">
        <v>4923</v>
      </c>
      <c r="Q464" s="332" t="s">
        <v>4924</v>
      </c>
      <c r="R464" s="332"/>
      <c r="S464" s="332"/>
      <c r="T464" s="332"/>
      <c r="U464" s="332"/>
      <c r="V464" s="332"/>
      <c r="W464" s="337" t="s">
        <v>6461</v>
      </c>
      <c r="X464" s="332" t="s">
        <v>4873</v>
      </c>
      <c r="AA464" s="337" t="s">
        <v>148</v>
      </c>
    </row>
    <row r="465" spans="1:27" s="18" customFormat="1" ht="22.5">
      <c r="A465" s="538"/>
      <c r="B465" s="262"/>
      <c r="C465" s="149"/>
      <c r="D465" s="88"/>
      <c r="E465" s="88" t="s">
        <v>94</v>
      </c>
      <c r="F465" s="88" t="s">
        <v>94</v>
      </c>
      <c r="G465" s="88" t="s">
        <v>94</v>
      </c>
      <c r="H465" s="254" t="s">
        <v>5608</v>
      </c>
      <c r="I465" s="252" t="s">
        <v>94</v>
      </c>
      <c r="J465" s="252" t="s">
        <v>4467</v>
      </c>
      <c r="K465" s="252"/>
      <c r="L465" s="252" t="s">
        <v>4444</v>
      </c>
      <c r="M465" s="284" t="s">
        <v>5609</v>
      </c>
      <c r="N465" s="252" t="s">
        <v>4467</v>
      </c>
      <c r="O465" s="252" t="s">
        <v>94</v>
      </c>
      <c r="P465" s="252"/>
      <c r="Q465" s="252"/>
      <c r="R465" s="252"/>
      <c r="S465" s="252"/>
      <c r="T465" s="252"/>
      <c r="U465" s="252"/>
      <c r="V465" s="252"/>
      <c r="W465" s="254" t="s">
        <v>5610</v>
      </c>
      <c r="X465" s="88"/>
      <c r="AA465" s="149"/>
    </row>
    <row r="466" spans="1:27" s="18" customFormat="1" ht="22.5">
      <c r="A466" s="538"/>
      <c r="B466" s="262"/>
      <c r="C466" s="149"/>
      <c r="D466" s="88"/>
      <c r="E466" s="88" t="s">
        <v>94</v>
      </c>
      <c r="F466" s="88" t="s">
        <v>4467</v>
      </c>
      <c r="G466" s="88" t="s">
        <v>4467</v>
      </c>
      <c r="H466" s="254" t="s">
        <v>5611</v>
      </c>
      <c r="I466" s="252" t="s">
        <v>94</v>
      </c>
      <c r="J466" s="252" t="s">
        <v>4467</v>
      </c>
      <c r="K466" s="252"/>
      <c r="L466" s="252" t="s">
        <v>4444</v>
      </c>
      <c r="M466" s="284" t="s">
        <v>5609</v>
      </c>
      <c r="N466" s="252" t="s">
        <v>4467</v>
      </c>
      <c r="O466" s="252" t="s">
        <v>94</v>
      </c>
      <c r="P466" s="252"/>
      <c r="Q466" s="252"/>
      <c r="R466" s="252"/>
      <c r="S466" s="252"/>
      <c r="T466" s="252"/>
      <c r="U466" s="252"/>
      <c r="V466" s="252"/>
      <c r="W466" s="254" t="s">
        <v>5612</v>
      </c>
      <c r="X466" s="88"/>
      <c r="AA466" s="149"/>
    </row>
    <row r="467" spans="1:27" s="18" customFormat="1" ht="22.5">
      <c r="A467" s="538"/>
      <c r="B467" s="262"/>
      <c r="C467" s="149"/>
      <c r="D467" s="88"/>
      <c r="E467" s="88" t="s">
        <v>94</v>
      </c>
      <c r="F467" s="88" t="s">
        <v>4474</v>
      </c>
      <c r="G467" s="88" t="s">
        <v>4474</v>
      </c>
      <c r="H467" s="254" t="s">
        <v>5613</v>
      </c>
      <c r="I467" s="252" t="s">
        <v>94</v>
      </c>
      <c r="J467" s="252" t="s">
        <v>4467</v>
      </c>
      <c r="K467" s="252"/>
      <c r="L467" s="252" t="s">
        <v>4444</v>
      </c>
      <c r="M467" s="284" t="s">
        <v>5609</v>
      </c>
      <c r="N467" s="252" t="s">
        <v>4467</v>
      </c>
      <c r="O467" s="252" t="s">
        <v>94</v>
      </c>
      <c r="P467" s="252"/>
      <c r="Q467" s="252"/>
      <c r="R467" s="252"/>
      <c r="S467" s="252"/>
      <c r="T467" s="252"/>
      <c r="U467" s="252"/>
      <c r="V467" s="252"/>
      <c r="W467" s="254" t="s">
        <v>5614</v>
      </c>
      <c r="X467" s="88"/>
      <c r="AA467" s="149"/>
    </row>
    <row r="468" spans="1:27" s="18" customFormat="1" ht="22.5">
      <c r="A468" s="538"/>
      <c r="B468" s="262"/>
      <c r="C468" s="149"/>
      <c r="D468" s="88"/>
      <c r="E468" s="88" t="s">
        <v>94</v>
      </c>
      <c r="F468" s="88" t="s">
        <v>141</v>
      </c>
      <c r="G468" s="88" t="s">
        <v>141</v>
      </c>
      <c r="H468" s="254" t="s">
        <v>5615</v>
      </c>
      <c r="I468" s="252" t="s">
        <v>94</v>
      </c>
      <c r="J468" s="252" t="s">
        <v>4467</v>
      </c>
      <c r="K468" s="252"/>
      <c r="L468" s="252" t="s">
        <v>4444</v>
      </c>
      <c r="M468" s="284" t="s">
        <v>5609</v>
      </c>
      <c r="N468" s="252" t="s">
        <v>4467</v>
      </c>
      <c r="O468" s="252" t="s">
        <v>94</v>
      </c>
      <c r="P468" s="252"/>
      <c r="Q468" s="252"/>
      <c r="R468" s="252"/>
      <c r="S468" s="252"/>
      <c r="T468" s="252"/>
      <c r="U468" s="252"/>
      <c r="V468" s="252"/>
      <c r="W468" s="254" t="s">
        <v>5616</v>
      </c>
      <c r="X468" s="88"/>
      <c r="AA468" s="149"/>
    </row>
    <row r="469" spans="1:27" s="18" customFormat="1" ht="22.5">
      <c r="A469" s="538"/>
      <c r="B469" s="262"/>
      <c r="C469" s="149"/>
      <c r="D469" s="88"/>
      <c r="E469" s="88" t="s">
        <v>94</v>
      </c>
      <c r="F469" s="88" t="s">
        <v>4501</v>
      </c>
      <c r="G469" s="88" t="s">
        <v>4501</v>
      </c>
      <c r="H469" s="254" t="s">
        <v>5617</v>
      </c>
      <c r="I469" s="252" t="s">
        <v>94</v>
      </c>
      <c r="J469" s="252" t="s">
        <v>4467</v>
      </c>
      <c r="K469" s="252"/>
      <c r="L469" s="252" t="s">
        <v>4444</v>
      </c>
      <c r="M469" s="284" t="s">
        <v>5609</v>
      </c>
      <c r="N469" s="252" t="s">
        <v>4467</v>
      </c>
      <c r="O469" s="252" t="s">
        <v>94</v>
      </c>
      <c r="P469" s="252"/>
      <c r="Q469" s="252"/>
      <c r="R469" s="252"/>
      <c r="S469" s="252"/>
      <c r="T469" s="252"/>
      <c r="U469" s="252"/>
      <c r="V469" s="252"/>
      <c r="W469" s="254" t="s">
        <v>5618</v>
      </c>
      <c r="X469" s="88"/>
      <c r="AA469" s="149"/>
    </row>
    <row r="470" spans="1:27" s="18" customFormat="1" ht="22.5">
      <c r="A470" s="538"/>
      <c r="B470" s="262"/>
      <c r="C470" s="149"/>
      <c r="D470" s="88"/>
      <c r="E470" s="88" t="s">
        <v>94</v>
      </c>
      <c r="F470" s="88" t="s">
        <v>4484</v>
      </c>
      <c r="G470" s="88" t="s">
        <v>4484</v>
      </c>
      <c r="H470" s="254" t="s">
        <v>5619</v>
      </c>
      <c r="I470" s="252" t="s">
        <v>94</v>
      </c>
      <c r="J470" s="252" t="s">
        <v>4467</v>
      </c>
      <c r="K470" s="252"/>
      <c r="L470" s="252" t="s">
        <v>4444</v>
      </c>
      <c r="M470" s="284" t="s">
        <v>5609</v>
      </c>
      <c r="N470" s="252" t="s">
        <v>4467</v>
      </c>
      <c r="O470" s="252" t="s">
        <v>94</v>
      </c>
      <c r="P470" s="252"/>
      <c r="Q470" s="252"/>
      <c r="R470" s="252"/>
      <c r="S470" s="252"/>
      <c r="T470" s="252"/>
      <c r="U470" s="252"/>
      <c r="V470" s="252"/>
      <c r="W470" s="254" t="s">
        <v>5620</v>
      </c>
      <c r="X470" s="88"/>
      <c r="AA470" s="149"/>
    </row>
    <row r="471" spans="1:27" s="18" customFormat="1" ht="22.5">
      <c r="A471" s="538"/>
      <c r="B471" s="262"/>
      <c r="C471" s="149"/>
      <c r="D471" s="88"/>
      <c r="E471" s="88" t="s">
        <v>94</v>
      </c>
      <c r="F471" s="88" t="s">
        <v>4517</v>
      </c>
      <c r="G471" s="88" t="s">
        <v>4517</v>
      </c>
      <c r="H471" s="254" t="s">
        <v>5621</v>
      </c>
      <c r="I471" s="252" t="s">
        <v>94</v>
      </c>
      <c r="J471" s="252" t="s">
        <v>4467</v>
      </c>
      <c r="K471" s="252"/>
      <c r="L471" s="252" t="s">
        <v>4444</v>
      </c>
      <c r="M471" s="284" t="s">
        <v>5609</v>
      </c>
      <c r="N471" s="252" t="s">
        <v>4467</v>
      </c>
      <c r="O471" s="252" t="s">
        <v>94</v>
      </c>
      <c r="P471" s="252"/>
      <c r="Q471" s="252"/>
      <c r="R471" s="252"/>
      <c r="S471" s="252"/>
      <c r="T471" s="252"/>
      <c r="U471" s="252"/>
      <c r="V471" s="252"/>
      <c r="W471" s="254" t="s">
        <v>5622</v>
      </c>
      <c r="X471" s="88"/>
      <c r="AA471" s="149"/>
    </row>
    <row r="472" spans="1:27" s="18" customFormat="1" ht="22.5">
      <c r="A472" s="538"/>
      <c r="B472" s="262"/>
      <c r="C472" s="149"/>
      <c r="D472" s="88"/>
      <c r="E472" s="88" t="s">
        <v>94</v>
      </c>
      <c r="F472" s="88" t="s">
        <v>4477</v>
      </c>
      <c r="G472" s="88" t="s">
        <v>4477</v>
      </c>
      <c r="H472" s="254" t="s">
        <v>5623</v>
      </c>
      <c r="I472" s="252" t="s">
        <v>94</v>
      </c>
      <c r="J472" s="252" t="s">
        <v>4467</v>
      </c>
      <c r="K472" s="252"/>
      <c r="L472" s="252" t="s">
        <v>4444</v>
      </c>
      <c r="M472" s="284" t="s">
        <v>5609</v>
      </c>
      <c r="N472" s="252" t="s">
        <v>4467</v>
      </c>
      <c r="O472" s="252" t="s">
        <v>94</v>
      </c>
      <c r="P472" s="252"/>
      <c r="Q472" s="252"/>
      <c r="R472" s="252"/>
      <c r="S472" s="252"/>
      <c r="T472" s="252"/>
      <c r="U472" s="252"/>
      <c r="V472" s="252"/>
      <c r="W472" s="254" t="s">
        <v>5624</v>
      </c>
      <c r="X472" s="88"/>
      <c r="AA472" s="149"/>
    </row>
    <row r="473" spans="1:27" s="18" customFormat="1" ht="22.5">
      <c r="A473" s="538"/>
      <c r="B473" s="262"/>
      <c r="C473" s="149"/>
      <c r="D473" s="88"/>
      <c r="E473" s="88" t="s">
        <v>4467</v>
      </c>
      <c r="F473" s="88" t="s">
        <v>4478</v>
      </c>
      <c r="G473" s="88" t="s">
        <v>4478</v>
      </c>
      <c r="H473" s="254" t="s">
        <v>5625</v>
      </c>
      <c r="I473" s="252" t="s">
        <v>94</v>
      </c>
      <c r="J473" s="252" t="s">
        <v>4467</v>
      </c>
      <c r="K473" s="252"/>
      <c r="L473" s="252" t="s">
        <v>4444</v>
      </c>
      <c r="M473" s="284" t="s">
        <v>5609</v>
      </c>
      <c r="N473" s="252" t="s">
        <v>4467</v>
      </c>
      <c r="O473" s="252" t="s">
        <v>94</v>
      </c>
      <c r="P473" s="252"/>
      <c r="Q473" s="252"/>
      <c r="R473" s="252"/>
      <c r="S473" s="252"/>
      <c r="T473" s="252"/>
      <c r="U473" s="252"/>
      <c r="V473" s="252"/>
      <c r="W473" s="254" t="s">
        <v>5626</v>
      </c>
      <c r="X473" s="88"/>
      <c r="AA473" s="149"/>
    </row>
    <row r="474" spans="1:27" s="18" customFormat="1" ht="22.5">
      <c r="A474" s="538"/>
      <c r="B474" s="262"/>
      <c r="C474" s="149"/>
      <c r="D474" s="88"/>
      <c r="E474" s="88" t="s">
        <v>4467</v>
      </c>
      <c r="F474" s="88" t="s">
        <v>1850</v>
      </c>
      <c r="G474" s="88" t="s">
        <v>1850</v>
      </c>
      <c r="H474" s="254" t="s">
        <v>5627</v>
      </c>
      <c r="I474" s="252" t="s">
        <v>94</v>
      </c>
      <c r="J474" s="252" t="s">
        <v>4467</v>
      </c>
      <c r="K474" s="252"/>
      <c r="L474" s="252" t="s">
        <v>4444</v>
      </c>
      <c r="M474" s="284" t="s">
        <v>5609</v>
      </c>
      <c r="N474" s="252" t="s">
        <v>4467</v>
      </c>
      <c r="O474" s="252" t="s">
        <v>94</v>
      </c>
      <c r="P474" s="252"/>
      <c r="Q474" s="252"/>
      <c r="R474" s="252"/>
      <c r="S474" s="252"/>
      <c r="T474" s="252"/>
      <c r="U474" s="252"/>
      <c r="V474" s="252"/>
      <c r="W474" s="254" t="s">
        <v>5628</v>
      </c>
      <c r="X474" s="88"/>
      <c r="AA474" s="149"/>
    </row>
    <row r="475" spans="1:27" s="18" customFormat="1" ht="22.5">
      <c r="A475" s="538"/>
      <c r="B475" s="262"/>
      <c r="C475" s="149"/>
      <c r="D475" s="88"/>
      <c r="E475" s="88" t="s">
        <v>4467</v>
      </c>
      <c r="F475" s="88" t="s">
        <v>1861</v>
      </c>
      <c r="G475" s="88" t="s">
        <v>1861</v>
      </c>
      <c r="H475" s="254" t="s">
        <v>5629</v>
      </c>
      <c r="I475" s="252" t="s">
        <v>94</v>
      </c>
      <c r="J475" s="252" t="s">
        <v>4467</v>
      </c>
      <c r="K475" s="252"/>
      <c r="L475" s="252" t="s">
        <v>4444</v>
      </c>
      <c r="M475" s="284" t="s">
        <v>5609</v>
      </c>
      <c r="N475" s="252" t="s">
        <v>4467</v>
      </c>
      <c r="O475" s="252" t="s">
        <v>94</v>
      </c>
      <c r="P475" s="252"/>
      <c r="Q475" s="252"/>
      <c r="R475" s="252"/>
      <c r="S475" s="252"/>
      <c r="T475" s="252"/>
      <c r="U475" s="252"/>
      <c r="V475" s="252"/>
      <c r="W475" s="254" t="s">
        <v>5630</v>
      </c>
      <c r="X475" s="88"/>
      <c r="AA475" s="149"/>
    </row>
    <row r="476" spans="1:27" s="18" customFormat="1" ht="22.5">
      <c r="A476" s="538"/>
      <c r="B476" s="262"/>
      <c r="C476" s="149"/>
      <c r="D476" s="88"/>
      <c r="E476" s="88" t="s">
        <v>4467</v>
      </c>
      <c r="F476" s="88" t="s">
        <v>1871</v>
      </c>
      <c r="G476" s="88" t="s">
        <v>1871</v>
      </c>
      <c r="H476" s="254" t="s">
        <v>5631</v>
      </c>
      <c r="I476" s="252" t="s">
        <v>94</v>
      </c>
      <c r="J476" s="252" t="s">
        <v>4467</v>
      </c>
      <c r="K476" s="252"/>
      <c r="L476" s="252" t="s">
        <v>4444</v>
      </c>
      <c r="M476" s="284" t="s">
        <v>5609</v>
      </c>
      <c r="N476" s="252" t="s">
        <v>4467</v>
      </c>
      <c r="O476" s="252" t="s">
        <v>94</v>
      </c>
      <c r="P476" s="252"/>
      <c r="Q476" s="252"/>
      <c r="R476" s="252"/>
      <c r="S476" s="252"/>
      <c r="T476" s="252"/>
      <c r="U476" s="252"/>
      <c r="V476" s="252"/>
      <c r="W476" s="254" t="s">
        <v>5632</v>
      </c>
      <c r="X476" s="88"/>
      <c r="AA476" s="149"/>
    </row>
    <row r="477" spans="1:27" s="18" customFormat="1" ht="12">
      <c r="A477" s="734">
        <f>A464+1</f>
        <v>106</v>
      </c>
      <c r="B477" s="333" t="s">
        <v>5607</v>
      </c>
      <c r="C477" s="335" t="s">
        <v>4890</v>
      </c>
      <c r="D477" s="337" t="s">
        <v>4467</v>
      </c>
      <c r="E477" s="337"/>
      <c r="F477" s="337"/>
      <c r="G477" s="337"/>
      <c r="H477" s="334"/>
      <c r="I477" s="332"/>
      <c r="J477" s="332"/>
      <c r="K477" s="332"/>
      <c r="L477" s="332"/>
      <c r="M477" s="332"/>
      <c r="N477" s="332"/>
      <c r="O477" s="332"/>
      <c r="P477" s="332" t="s">
        <v>4923</v>
      </c>
      <c r="Q477" s="332" t="s">
        <v>4924</v>
      </c>
      <c r="R477" s="332"/>
      <c r="S477" s="332"/>
      <c r="T477" s="332"/>
      <c r="U477" s="332"/>
      <c r="V477" s="332"/>
      <c r="W477" s="337" t="s">
        <v>6461</v>
      </c>
      <c r="X477" s="332" t="s">
        <v>4873</v>
      </c>
      <c r="AA477" s="337" t="s">
        <v>148</v>
      </c>
    </row>
    <row r="478" spans="1:27" s="18" customFormat="1" ht="22.5">
      <c r="A478" s="538"/>
      <c r="B478" s="262"/>
      <c r="C478" s="149"/>
      <c r="D478" s="88"/>
      <c r="E478" s="88" t="s">
        <v>94</v>
      </c>
      <c r="F478" s="88" t="s">
        <v>94</v>
      </c>
      <c r="G478" s="88" t="s">
        <v>94</v>
      </c>
      <c r="H478" s="254" t="s">
        <v>5634</v>
      </c>
      <c r="I478" s="252" t="s">
        <v>94</v>
      </c>
      <c r="J478" s="252" t="s">
        <v>4467</v>
      </c>
      <c r="K478" s="252"/>
      <c r="L478" s="252" t="s">
        <v>4444</v>
      </c>
      <c r="M478" s="284" t="s">
        <v>5635</v>
      </c>
      <c r="N478" s="252" t="s">
        <v>4467</v>
      </c>
      <c r="O478" s="252" t="s">
        <v>94</v>
      </c>
      <c r="P478" s="252"/>
      <c r="Q478" s="252"/>
      <c r="R478" s="252"/>
      <c r="S478" s="252"/>
      <c r="T478" s="252"/>
      <c r="U478" s="252"/>
      <c r="V478" s="252"/>
      <c r="W478" s="254" t="s">
        <v>5636</v>
      </c>
      <c r="X478" s="88"/>
      <c r="AA478" s="149"/>
    </row>
    <row r="479" spans="1:27" s="18" customFormat="1" ht="12">
      <c r="A479" s="734">
        <f>A477+1</f>
        <v>107</v>
      </c>
      <c r="B479" s="692" t="s">
        <v>5633</v>
      </c>
      <c r="C479" s="693" t="s">
        <v>5652</v>
      </c>
      <c r="D479" s="694" t="s">
        <v>5430</v>
      </c>
      <c r="E479" s="694"/>
      <c r="F479" s="694"/>
      <c r="G479" s="694"/>
      <c r="H479" s="693"/>
      <c r="I479" s="695"/>
      <c r="J479" s="695"/>
      <c r="K479" s="695"/>
      <c r="L479" s="695"/>
      <c r="M479" s="695"/>
      <c r="N479" s="695"/>
      <c r="O479" s="695"/>
      <c r="P479" s="695" t="s">
        <v>4923</v>
      </c>
      <c r="Q479" s="696" t="s">
        <v>4924</v>
      </c>
      <c r="R479" s="696"/>
      <c r="S479" s="696"/>
      <c r="T479" s="696"/>
      <c r="U479" s="696"/>
      <c r="V479" s="696"/>
      <c r="W479" s="337" t="s">
        <v>6461</v>
      </c>
      <c r="X479" s="332" t="s">
        <v>4873</v>
      </c>
      <c r="AA479" s="337" t="s">
        <v>148</v>
      </c>
    </row>
    <row r="480" spans="1:27" s="18" customFormat="1" ht="24">
      <c r="A480" s="538"/>
      <c r="B480" s="651"/>
      <c r="C480" s="647"/>
      <c r="D480" s="648"/>
      <c r="E480" s="648" t="s">
        <v>30</v>
      </c>
      <c r="F480" s="648" t="s">
        <v>30</v>
      </c>
      <c r="G480" s="648" t="s">
        <v>30</v>
      </c>
      <c r="H480" s="647" t="s">
        <v>5653</v>
      </c>
      <c r="I480" s="649" t="s">
        <v>30</v>
      </c>
      <c r="J480" s="649" t="s">
        <v>33</v>
      </c>
      <c r="K480" s="649" t="s">
        <v>5654</v>
      </c>
      <c r="L480" s="649" t="s">
        <v>4444</v>
      </c>
      <c r="M480" s="652" t="s">
        <v>5655</v>
      </c>
      <c r="N480" s="649" t="s">
        <v>33</v>
      </c>
      <c r="O480" s="649" t="s">
        <v>30</v>
      </c>
      <c r="P480" s="649"/>
      <c r="Q480" s="649"/>
      <c r="R480" s="649"/>
      <c r="S480" s="649"/>
      <c r="T480" s="649"/>
      <c r="U480" s="649"/>
      <c r="V480" s="649"/>
      <c r="W480" s="647" t="s">
        <v>5656</v>
      </c>
      <c r="X480" s="648"/>
      <c r="AA480" s="149"/>
    </row>
    <row r="481" spans="1:27" s="18" customFormat="1" ht="24">
      <c r="A481" s="538"/>
      <c r="B481" s="651"/>
      <c r="C481" s="647"/>
      <c r="D481" s="648"/>
      <c r="E481" s="648" t="s">
        <v>30</v>
      </c>
      <c r="F481" s="648" t="s">
        <v>33</v>
      </c>
      <c r="G481" s="648" t="s">
        <v>33</v>
      </c>
      <c r="H481" s="647" t="s">
        <v>5657</v>
      </c>
      <c r="I481" s="649" t="s">
        <v>30</v>
      </c>
      <c r="J481" s="649" t="s">
        <v>33</v>
      </c>
      <c r="K481" s="649" t="s">
        <v>5654</v>
      </c>
      <c r="L481" s="649" t="s">
        <v>4444</v>
      </c>
      <c r="M481" s="652" t="s">
        <v>5658</v>
      </c>
      <c r="N481" s="649" t="s">
        <v>33</v>
      </c>
      <c r="O481" s="649" t="s">
        <v>30</v>
      </c>
      <c r="P481" s="649"/>
      <c r="Q481" s="649"/>
      <c r="R481" s="649"/>
      <c r="S481" s="649"/>
      <c r="T481" s="649"/>
      <c r="U481" s="649"/>
      <c r="V481" s="649"/>
      <c r="W481" s="647" t="s">
        <v>5659</v>
      </c>
      <c r="X481" s="648"/>
      <c r="AA481" s="149"/>
    </row>
    <row r="482" spans="1:27" s="18" customFormat="1" ht="24">
      <c r="A482" s="538"/>
      <c r="B482" s="651"/>
      <c r="C482" s="647"/>
      <c r="D482" s="648"/>
      <c r="E482" s="648" t="s">
        <v>30</v>
      </c>
      <c r="F482" s="648" t="s">
        <v>36</v>
      </c>
      <c r="G482" s="648" t="s">
        <v>36</v>
      </c>
      <c r="H482" s="647" t="s">
        <v>5660</v>
      </c>
      <c r="I482" s="649" t="s">
        <v>30</v>
      </c>
      <c r="J482" s="649" t="s">
        <v>33</v>
      </c>
      <c r="K482" s="649" t="s">
        <v>5654</v>
      </c>
      <c r="L482" s="649" t="s">
        <v>4444</v>
      </c>
      <c r="M482" s="652" t="s">
        <v>5661</v>
      </c>
      <c r="N482" s="649" t="s">
        <v>33</v>
      </c>
      <c r="O482" s="649" t="s">
        <v>30</v>
      </c>
      <c r="P482" s="649"/>
      <c r="Q482" s="649"/>
      <c r="R482" s="649"/>
      <c r="S482" s="649"/>
      <c r="T482" s="649"/>
      <c r="U482" s="649"/>
      <c r="V482" s="649"/>
      <c r="W482" s="647" t="s">
        <v>5662</v>
      </c>
      <c r="X482" s="648"/>
      <c r="AA482" s="149"/>
    </row>
    <row r="483" spans="1:27" s="18" customFormat="1" ht="24">
      <c r="A483" s="538"/>
      <c r="B483" s="646"/>
      <c r="C483" s="647"/>
      <c r="D483" s="648"/>
      <c r="E483" s="648" t="s">
        <v>30</v>
      </c>
      <c r="F483" s="648" t="s">
        <v>38</v>
      </c>
      <c r="G483" s="648" t="s">
        <v>38</v>
      </c>
      <c r="H483" s="647" t="s">
        <v>5663</v>
      </c>
      <c r="I483" s="649" t="s">
        <v>30</v>
      </c>
      <c r="J483" s="649" t="s">
        <v>33</v>
      </c>
      <c r="K483" s="649" t="s">
        <v>5654</v>
      </c>
      <c r="L483" s="649" t="s">
        <v>4444</v>
      </c>
      <c r="M483" s="652" t="s">
        <v>5664</v>
      </c>
      <c r="N483" s="649" t="s">
        <v>33</v>
      </c>
      <c r="O483" s="649" t="s">
        <v>30</v>
      </c>
      <c r="P483" s="649"/>
      <c r="Q483" s="649"/>
      <c r="R483" s="649"/>
      <c r="S483" s="649"/>
      <c r="T483" s="649"/>
      <c r="U483" s="649"/>
      <c r="V483" s="649"/>
      <c r="W483" s="647" t="s">
        <v>5665</v>
      </c>
      <c r="X483" s="648"/>
      <c r="AA483" s="149"/>
    </row>
    <row r="484" spans="1:27" s="18" customFormat="1" ht="24">
      <c r="A484" s="538"/>
      <c r="B484" s="646"/>
      <c r="C484" s="647"/>
      <c r="D484" s="648"/>
      <c r="E484" s="648" t="s">
        <v>30</v>
      </c>
      <c r="F484" s="648" t="s">
        <v>40</v>
      </c>
      <c r="G484" s="648" t="s">
        <v>40</v>
      </c>
      <c r="H484" s="647" t="s">
        <v>5666</v>
      </c>
      <c r="I484" s="649" t="s">
        <v>30</v>
      </c>
      <c r="J484" s="649" t="s">
        <v>33</v>
      </c>
      <c r="K484" s="649" t="s">
        <v>5654</v>
      </c>
      <c r="L484" s="649" t="s">
        <v>4444</v>
      </c>
      <c r="M484" s="652" t="s">
        <v>5664</v>
      </c>
      <c r="N484" s="649" t="s">
        <v>33</v>
      </c>
      <c r="O484" s="649" t="s">
        <v>30</v>
      </c>
      <c r="P484" s="649"/>
      <c r="Q484" s="649"/>
      <c r="R484" s="649"/>
      <c r="S484" s="649"/>
      <c r="T484" s="649"/>
      <c r="U484" s="649"/>
      <c r="V484" s="649"/>
      <c r="W484" s="647" t="s">
        <v>5667</v>
      </c>
      <c r="X484" s="648"/>
      <c r="AA484" s="149"/>
    </row>
    <row r="485" spans="1:27" s="18" customFormat="1" ht="24">
      <c r="A485" s="538"/>
      <c r="B485" s="646"/>
      <c r="C485" s="647"/>
      <c r="D485" s="648"/>
      <c r="E485" s="648" t="s">
        <v>30</v>
      </c>
      <c r="F485" s="648" t="s">
        <v>42</v>
      </c>
      <c r="G485" s="648" t="s">
        <v>42</v>
      </c>
      <c r="H485" s="647" t="s">
        <v>5668</v>
      </c>
      <c r="I485" s="649" t="s">
        <v>30</v>
      </c>
      <c r="J485" s="649" t="s">
        <v>33</v>
      </c>
      <c r="K485" s="649" t="s">
        <v>5654</v>
      </c>
      <c r="L485" s="649" t="s">
        <v>4444</v>
      </c>
      <c r="M485" s="652" t="s">
        <v>5664</v>
      </c>
      <c r="N485" s="649" t="s">
        <v>33</v>
      </c>
      <c r="O485" s="649" t="s">
        <v>30</v>
      </c>
      <c r="P485" s="649"/>
      <c r="Q485" s="649"/>
      <c r="R485" s="649"/>
      <c r="S485" s="649"/>
      <c r="T485" s="649"/>
      <c r="U485" s="649"/>
      <c r="V485" s="649"/>
      <c r="W485" s="647" t="s">
        <v>5669</v>
      </c>
      <c r="X485" s="648"/>
      <c r="AA485" s="149"/>
    </row>
    <row r="486" spans="1:27" s="18" customFormat="1" ht="24">
      <c r="A486" s="538"/>
      <c r="B486" s="646"/>
      <c r="C486" s="647"/>
      <c r="D486" s="648"/>
      <c r="E486" s="648" t="s">
        <v>30</v>
      </c>
      <c r="F486" s="648" t="s">
        <v>44</v>
      </c>
      <c r="G486" s="648" t="s">
        <v>44</v>
      </c>
      <c r="H486" s="647" t="s">
        <v>5670</v>
      </c>
      <c r="I486" s="649" t="s">
        <v>30</v>
      </c>
      <c r="J486" s="649" t="s">
        <v>33</v>
      </c>
      <c r="K486" s="649" t="s">
        <v>5654</v>
      </c>
      <c r="L486" s="649" t="s">
        <v>4444</v>
      </c>
      <c r="M486" s="652" t="s">
        <v>5664</v>
      </c>
      <c r="N486" s="649" t="s">
        <v>33</v>
      </c>
      <c r="O486" s="649" t="s">
        <v>30</v>
      </c>
      <c r="P486" s="649"/>
      <c r="Q486" s="649"/>
      <c r="R486" s="649"/>
      <c r="S486" s="649"/>
      <c r="T486" s="649"/>
      <c r="U486" s="649"/>
      <c r="V486" s="649"/>
      <c r="W486" s="647" t="s">
        <v>5671</v>
      </c>
      <c r="X486" s="648"/>
      <c r="AA486" s="149"/>
    </row>
    <row r="487" spans="1:27" s="18" customFormat="1" ht="24">
      <c r="A487" s="538"/>
      <c r="B487" s="646"/>
      <c r="C487" s="647"/>
      <c r="D487" s="648"/>
      <c r="E487" s="648" t="s">
        <v>30</v>
      </c>
      <c r="F487" s="648" t="s">
        <v>46</v>
      </c>
      <c r="G487" s="648" t="s">
        <v>46</v>
      </c>
      <c r="H487" s="647" t="s">
        <v>5672</v>
      </c>
      <c r="I487" s="649" t="s">
        <v>30</v>
      </c>
      <c r="J487" s="649" t="s">
        <v>33</v>
      </c>
      <c r="K487" s="649" t="s">
        <v>5654</v>
      </c>
      <c r="L487" s="649" t="s">
        <v>4444</v>
      </c>
      <c r="M487" s="652" t="s">
        <v>5664</v>
      </c>
      <c r="N487" s="649" t="s">
        <v>33</v>
      </c>
      <c r="O487" s="649" t="s">
        <v>30</v>
      </c>
      <c r="P487" s="649"/>
      <c r="Q487" s="649"/>
      <c r="R487" s="649"/>
      <c r="S487" s="649"/>
      <c r="T487" s="649"/>
      <c r="U487" s="649"/>
      <c r="V487" s="649"/>
      <c r="W487" s="647" t="s">
        <v>5673</v>
      </c>
      <c r="X487" s="648"/>
      <c r="AA487" s="149"/>
    </row>
    <row r="488" spans="1:27" s="18" customFormat="1" ht="24">
      <c r="A488" s="538"/>
      <c r="B488" s="646"/>
      <c r="C488" s="647"/>
      <c r="D488" s="648"/>
      <c r="E488" s="648" t="s">
        <v>33</v>
      </c>
      <c r="F488" s="648" t="s">
        <v>1847</v>
      </c>
      <c r="G488" s="648" t="s">
        <v>1847</v>
      </c>
      <c r="H488" s="647" t="s">
        <v>5674</v>
      </c>
      <c r="I488" s="649" t="s">
        <v>30</v>
      </c>
      <c r="J488" s="649" t="s">
        <v>33</v>
      </c>
      <c r="K488" s="649" t="s">
        <v>5654</v>
      </c>
      <c r="L488" s="649" t="s">
        <v>4444</v>
      </c>
      <c r="M488" s="652" t="s">
        <v>5664</v>
      </c>
      <c r="N488" s="649" t="s">
        <v>33</v>
      </c>
      <c r="O488" s="649" t="s">
        <v>30</v>
      </c>
      <c r="P488" s="649"/>
      <c r="Q488" s="649"/>
      <c r="R488" s="649"/>
      <c r="S488" s="649"/>
      <c r="T488" s="649"/>
      <c r="U488" s="649"/>
      <c r="V488" s="649"/>
      <c r="W488" s="647" t="s">
        <v>5675</v>
      </c>
      <c r="X488" s="648"/>
      <c r="AA488" s="149"/>
    </row>
    <row r="489" spans="1:27" s="18" customFormat="1" ht="12">
      <c r="A489" s="734">
        <f>A479+1</f>
        <v>108</v>
      </c>
      <c r="B489" s="692" t="s">
        <v>5637</v>
      </c>
      <c r="C489" s="693" t="s">
        <v>5677</v>
      </c>
      <c r="D489" s="694" t="s">
        <v>5430</v>
      </c>
      <c r="E489" s="694"/>
      <c r="F489" s="694"/>
      <c r="G489" s="694"/>
      <c r="H489" s="693"/>
      <c r="I489" s="695"/>
      <c r="J489" s="695"/>
      <c r="K489" s="695"/>
      <c r="L489" s="695"/>
      <c r="M489" s="695"/>
      <c r="N489" s="695"/>
      <c r="O489" s="695"/>
      <c r="P489" s="695" t="s">
        <v>4923</v>
      </c>
      <c r="Q489" s="696" t="s">
        <v>4924</v>
      </c>
      <c r="R489" s="696"/>
      <c r="S489" s="696"/>
      <c r="T489" s="696"/>
      <c r="U489" s="696"/>
      <c r="V489" s="696"/>
      <c r="W489" s="337" t="s">
        <v>6461</v>
      </c>
      <c r="X489" s="332" t="s">
        <v>4873</v>
      </c>
      <c r="AA489" s="337" t="s">
        <v>148</v>
      </c>
    </row>
    <row r="490" spans="1:27" s="18" customFormat="1" ht="48">
      <c r="A490" s="538"/>
      <c r="B490" s="646"/>
      <c r="C490" s="647"/>
      <c r="D490" s="648"/>
      <c r="E490" s="648" t="s">
        <v>5339</v>
      </c>
      <c r="F490" s="648" t="s">
        <v>5340</v>
      </c>
      <c r="G490" s="648" t="s">
        <v>5339</v>
      </c>
      <c r="H490" s="647" t="s">
        <v>5678</v>
      </c>
      <c r="I490" s="649" t="s">
        <v>30</v>
      </c>
      <c r="J490" s="649" t="s">
        <v>38</v>
      </c>
      <c r="K490" s="649" t="s">
        <v>5679</v>
      </c>
      <c r="L490" s="649" t="s">
        <v>4444</v>
      </c>
      <c r="M490" s="652" t="s">
        <v>5680</v>
      </c>
      <c r="N490" s="649" t="s">
        <v>33</v>
      </c>
      <c r="O490" s="649" t="s">
        <v>30</v>
      </c>
      <c r="P490" s="649"/>
      <c r="Q490" s="649"/>
      <c r="R490" s="649"/>
      <c r="S490" s="649"/>
      <c r="T490" s="649"/>
      <c r="U490" s="649"/>
      <c r="V490" s="649"/>
      <c r="W490" s="647" t="s">
        <v>5681</v>
      </c>
      <c r="X490" s="648"/>
      <c r="AA490" s="149"/>
    </row>
    <row r="491" spans="1:27" s="18" customFormat="1" ht="22.5">
      <c r="A491" s="538"/>
      <c r="B491" s="646"/>
      <c r="C491" s="647"/>
      <c r="D491" s="648"/>
      <c r="E491" s="648" t="s">
        <v>5339</v>
      </c>
      <c r="F491" s="648" t="s">
        <v>5430</v>
      </c>
      <c r="G491" s="648" t="s">
        <v>5430</v>
      </c>
      <c r="H491" s="647" t="s">
        <v>5682</v>
      </c>
      <c r="I491" s="649" t="s">
        <v>30</v>
      </c>
      <c r="J491" s="649" t="s">
        <v>33</v>
      </c>
      <c r="K491" s="649" t="s">
        <v>5654</v>
      </c>
      <c r="L491" s="649" t="s">
        <v>4444</v>
      </c>
      <c r="M491" s="652" t="s">
        <v>5683</v>
      </c>
      <c r="N491" s="649" t="s">
        <v>33</v>
      </c>
      <c r="O491" s="649" t="s">
        <v>30</v>
      </c>
      <c r="P491" s="649"/>
      <c r="Q491" s="649"/>
      <c r="R491" s="649"/>
      <c r="S491" s="649"/>
      <c r="T491" s="649"/>
      <c r="U491" s="649"/>
      <c r="V491" s="649"/>
      <c r="W491" s="647" t="s">
        <v>5684</v>
      </c>
      <c r="X491" s="648"/>
      <c r="AA491" s="149"/>
    </row>
    <row r="492" spans="1:27" s="18" customFormat="1" ht="22.5">
      <c r="A492" s="538"/>
      <c r="B492" s="646"/>
      <c r="C492" s="647"/>
      <c r="D492" s="648"/>
      <c r="E492" s="648" t="s">
        <v>5339</v>
      </c>
      <c r="F492" s="648" t="s">
        <v>5335</v>
      </c>
      <c r="G492" s="648" t="s">
        <v>5335</v>
      </c>
      <c r="H492" s="647" t="s">
        <v>5685</v>
      </c>
      <c r="I492" s="649" t="s">
        <v>30</v>
      </c>
      <c r="J492" s="649" t="s">
        <v>33</v>
      </c>
      <c r="K492" s="649" t="s">
        <v>5654</v>
      </c>
      <c r="L492" s="649" t="s">
        <v>4444</v>
      </c>
      <c r="M492" s="652" t="s">
        <v>5683</v>
      </c>
      <c r="N492" s="649" t="s">
        <v>33</v>
      </c>
      <c r="O492" s="649" t="s">
        <v>30</v>
      </c>
      <c r="P492" s="649"/>
      <c r="Q492" s="649"/>
      <c r="R492" s="649"/>
      <c r="S492" s="649"/>
      <c r="T492" s="649"/>
      <c r="U492" s="649"/>
      <c r="V492" s="649"/>
      <c r="W492" s="647" t="s">
        <v>5686</v>
      </c>
      <c r="X492" s="648"/>
      <c r="AA492" s="149"/>
    </row>
    <row r="493" spans="1:27" s="18" customFormat="1" ht="22.5">
      <c r="A493" s="538"/>
      <c r="B493" s="646"/>
      <c r="C493" s="647"/>
      <c r="D493" s="648"/>
      <c r="E493" s="648" t="s">
        <v>5339</v>
      </c>
      <c r="F493" s="648" t="s">
        <v>5469</v>
      </c>
      <c r="G493" s="648" t="s">
        <v>5469</v>
      </c>
      <c r="H493" s="647" t="s">
        <v>5687</v>
      </c>
      <c r="I493" s="649" t="s">
        <v>30</v>
      </c>
      <c r="J493" s="649" t="s">
        <v>33</v>
      </c>
      <c r="K493" s="649" t="s">
        <v>5654</v>
      </c>
      <c r="L493" s="649" t="s">
        <v>4444</v>
      </c>
      <c r="M493" s="599" t="s">
        <v>5688</v>
      </c>
      <c r="N493" s="649" t="s">
        <v>33</v>
      </c>
      <c r="O493" s="649" t="s">
        <v>30</v>
      </c>
      <c r="P493" s="649"/>
      <c r="Q493" s="649"/>
      <c r="R493" s="649"/>
      <c r="S493" s="649"/>
      <c r="T493" s="649"/>
      <c r="U493" s="649"/>
      <c r="V493" s="649"/>
      <c r="W493" s="647" t="s">
        <v>5689</v>
      </c>
      <c r="X493" s="648"/>
      <c r="AA493" s="149"/>
    </row>
    <row r="494" spans="1:27" s="18" customFormat="1" ht="22.5">
      <c r="A494" s="538"/>
      <c r="B494" s="646"/>
      <c r="C494" s="647"/>
      <c r="D494" s="648"/>
      <c r="E494" s="648" t="s">
        <v>5339</v>
      </c>
      <c r="F494" s="648" t="s">
        <v>5400</v>
      </c>
      <c r="G494" s="648" t="s">
        <v>5400</v>
      </c>
      <c r="H494" s="647" t="s">
        <v>5690</v>
      </c>
      <c r="I494" s="649" t="s">
        <v>30</v>
      </c>
      <c r="J494" s="649" t="s">
        <v>33</v>
      </c>
      <c r="K494" s="649" t="s">
        <v>5654</v>
      </c>
      <c r="L494" s="649" t="s">
        <v>4444</v>
      </c>
      <c r="M494" s="599" t="s">
        <v>5688</v>
      </c>
      <c r="N494" s="649" t="s">
        <v>33</v>
      </c>
      <c r="O494" s="649" t="s">
        <v>30</v>
      </c>
      <c r="P494" s="649"/>
      <c r="Q494" s="649"/>
      <c r="R494" s="649"/>
      <c r="S494" s="649"/>
      <c r="T494" s="649"/>
      <c r="U494" s="649"/>
      <c r="V494" s="649"/>
      <c r="W494" s="647" t="s">
        <v>5691</v>
      </c>
      <c r="X494" s="648"/>
      <c r="AA494" s="149"/>
    </row>
    <row r="495" spans="1:27" s="18" customFormat="1" ht="22.5">
      <c r="A495" s="538"/>
      <c r="B495" s="646"/>
      <c r="C495" s="647"/>
      <c r="D495" s="648"/>
      <c r="E495" s="648" t="s">
        <v>5339</v>
      </c>
      <c r="F495" s="648" t="s">
        <v>5405</v>
      </c>
      <c r="G495" s="648" t="s">
        <v>5405</v>
      </c>
      <c r="H495" s="647" t="s">
        <v>5692</v>
      </c>
      <c r="I495" s="649" t="s">
        <v>30</v>
      </c>
      <c r="J495" s="649" t="s">
        <v>33</v>
      </c>
      <c r="K495" s="649" t="s">
        <v>5654</v>
      </c>
      <c r="L495" s="649" t="s">
        <v>4444</v>
      </c>
      <c r="M495" s="599" t="s">
        <v>5688</v>
      </c>
      <c r="N495" s="649" t="s">
        <v>33</v>
      </c>
      <c r="O495" s="649" t="s">
        <v>30</v>
      </c>
      <c r="P495" s="649"/>
      <c r="Q495" s="649"/>
      <c r="R495" s="649"/>
      <c r="S495" s="649"/>
      <c r="T495" s="649"/>
      <c r="U495" s="649"/>
      <c r="V495" s="649"/>
      <c r="W495" s="647" t="s">
        <v>5693</v>
      </c>
      <c r="X495" s="648"/>
      <c r="AA495" s="149"/>
    </row>
    <row r="496" spans="1:27" s="18" customFormat="1" ht="22.5">
      <c r="A496" s="538"/>
      <c r="B496" s="646"/>
      <c r="C496" s="647"/>
      <c r="D496" s="648"/>
      <c r="E496" s="648" t="s">
        <v>5339</v>
      </c>
      <c r="F496" s="648" t="s">
        <v>5346</v>
      </c>
      <c r="G496" s="648" t="s">
        <v>5346</v>
      </c>
      <c r="H496" s="647" t="s">
        <v>5694</v>
      </c>
      <c r="I496" s="649" t="s">
        <v>30</v>
      </c>
      <c r="J496" s="649" t="s">
        <v>33</v>
      </c>
      <c r="K496" s="649" t="s">
        <v>5654</v>
      </c>
      <c r="L496" s="649" t="s">
        <v>4444</v>
      </c>
      <c r="M496" s="599" t="s">
        <v>5695</v>
      </c>
      <c r="N496" s="649" t="s">
        <v>33</v>
      </c>
      <c r="O496" s="649" t="s">
        <v>30</v>
      </c>
      <c r="P496" s="649"/>
      <c r="Q496" s="649"/>
      <c r="R496" s="649"/>
      <c r="S496" s="649"/>
      <c r="T496" s="649"/>
      <c r="U496" s="649"/>
      <c r="V496" s="649"/>
      <c r="W496" s="647" t="s">
        <v>5696</v>
      </c>
      <c r="X496" s="648"/>
      <c r="AA496" s="149"/>
    </row>
    <row r="497" spans="1:27" s="18" customFormat="1" ht="22.5">
      <c r="A497" s="538"/>
      <c r="B497" s="646"/>
      <c r="C497" s="647"/>
      <c r="D497" s="648"/>
      <c r="E497" s="648" t="s">
        <v>5340</v>
      </c>
      <c r="F497" s="648" t="s">
        <v>5351</v>
      </c>
      <c r="G497" s="648" t="s">
        <v>5351</v>
      </c>
      <c r="H497" s="647" t="s">
        <v>5697</v>
      </c>
      <c r="I497" s="649" t="s">
        <v>30</v>
      </c>
      <c r="J497" s="649" t="s">
        <v>33</v>
      </c>
      <c r="K497" s="649" t="s">
        <v>5654</v>
      </c>
      <c r="L497" s="649" t="s">
        <v>4444</v>
      </c>
      <c r="M497" s="599" t="s">
        <v>5695</v>
      </c>
      <c r="N497" s="649" t="s">
        <v>33</v>
      </c>
      <c r="O497" s="649" t="s">
        <v>30</v>
      </c>
      <c r="P497" s="649"/>
      <c r="Q497" s="649"/>
      <c r="R497" s="649"/>
      <c r="S497" s="649"/>
      <c r="T497" s="649"/>
      <c r="U497" s="649"/>
      <c r="V497" s="649"/>
      <c r="W497" s="647" t="s">
        <v>5698</v>
      </c>
      <c r="X497" s="648"/>
      <c r="AA497" s="149"/>
    </row>
    <row r="498" spans="1:27" s="18" customFormat="1" ht="22.5">
      <c r="A498" s="538"/>
      <c r="B498" s="646"/>
      <c r="C498" s="647"/>
      <c r="D498" s="648"/>
      <c r="E498" s="648" t="s">
        <v>5340</v>
      </c>
      <c r="F498" s="648" t="s">
        <v>5357</v>
      </c>
      <c r="G498" s="648" t="s">
        <v>5357</v>
      </c>
      <c r="H498" s="647" t="s">
        <v>5699</v>
      </c>
      <c r="I498" s="649" t="s">
        <v>30</v>
      </c>
      <c r="J498" s="649" t="s">
        <v>33</v>
      </c>
      <c r="K498" s="649" t="s">
        <v>5654</v>
      </c>
      <c r="L498" s="649" t="s">
        <v>4444</v>
      </c>
      <c r="M498" s="599" t="s">
        <v>5695</v>
      </c>
      <c r="N498" s="649" t="s">
        <v>33</v>
      </c>
      <c r="O498" s="649" t="s">
        <v>30</v>
      </c>
      <c r="P498" s="649"/>
      <c r="Q498" s="649"/>
      <c r="R498" s="649"/>
      <c r="S498" s="649"/>
      <c r="T498" s="649"/>
      <c r="U498" s="649"/>
      <c r="V498" s="649"/>
      <c r="W498" s="647" t="s">
        <v>5700</v>
      </c>
      <c r="X498" s="648"/>
      <c r="AA498" s="149"/>
    </row>
    <row r="499" spans="1:27" s="18" customFormat="1" ht="22.5">
      <c r="A499" s="538"/>
      <c r="B499" s="646"/>
      <c r="C499" s="647"/>
      <c r="D499" s="648"/>
      <c r="E499" s="648" t="s">
        <v>5340</v>
      </c>
      <c r="F499" s="648" t="s">
        <v>5363</v>
      </c>
      <c r="G499" s="648" t="s">
        <v>5363</v>
      </c>
      <c r="H499" s="647" t="s">
        <v>5701</v>
      </c>
      <c r="I499" s="649" t="s">
        <v>30</v>
      </c>
      <c r="J499" s="649" t="s">
        <v>33</v>
      </c>
      <c r="K499" s="649" t="s">
        <v>5654</v>
      </c>
      <c r="L499" s="649" t="s">
        <v>4444</v>
      </c>
      <c r="M499" s="599" t="s">
        <v>5695</v>
      </c>
      <c r="N499" s="649" t="s">
        <v>33</v>
      </c>
      <c r="O499" s="649" t="s">
        <v>30</v>
      </c>
      <c r="P499" s="649"/>
      <c r="Q499" s="649"/>
      <c r="R499" s="649"/>
      <c r="S499" s="649"/>
      <c r="T499" s="649"/>
      <c r="U499" s="649"/>
      <c r="V499" s="649"/>
      <c r="W499" s="647" t="s">
        <v>5702</v>
      </c>
      <c r="X499" s="648"/>
      <c r="AA499" s="149"/>
    </row>
    <row r="500" spans="1:27" s="18" customFormat="1" ht="22.5">
      <c r="A500" s="538"/>
      <c r="B500" s="646"/>
      <c r="C500" s="647"/>
      <c r="D500" s="648"/>
      <c r="E500" s="648" t="s">
        <v>5340</v>
      </c>
      <c r="F500" s="648" t="s">
        <v>5452</v>
      </c>
      <c r="G500" s="648" t="s">
        <v>5452</v>
      </c>
      <c r="H500" s="647" t="s">
        <v>5703</v>
      </c>
      <c r="I500" s="649" t="s">
        <v>30</v>
      </c>
      <c r="J500" s="649" t="s">
        <v>33</v>
      </c>
      <c r="K500" s="649" t="s">
        <v>5654</v>
      </c>
      <c r="L500" s="649" t="s">
        <v>4444</v>
      </c>
      <c r="M500" s="599" t="s">
        <v>5695</v>
      </c>
      <c r="N500" s="649" t="s">
        <v>33</v>
      </c>
      <c r="O500" s="649" t="s">
        <v>30</v>
      </c>
      <c r="P500" s="649"/>
      <c r="Q500" s="649"/>
      <c r="R500" s="649"/>
      <c r="S500" s="649"/>
      <c r="T500" s="649"/>
      <c r="U500" s="649"/>
      <c r="V500" s="649"/>
      <c r="W500" s="647" t="s">
        <v>5704</v>
      </c>
      <c r="X500" s="648"/>
      <c r="AA500" s="149"/>
    </row>
    <row r="501" spans="1:27" s="18" customFormat="1" ht="22.5">
      <c r="A501" s="538"/>
      <c r="B501" s="646"/>
      <c r="C501" s="647"/>
      <c r="D501" s="648"/>
      <c r="E501" s="648" t="s">
        <v>5340</v>
      </c>
      <c r="F501" s="648" t="s">
        <v>5417</v>
      </c>
      <c r="G501" s="648" t="s">
        <v>5417</v>
      </c>
      <c r="H501" s="647" t="s">
        <v>5705</v>
      </c>
      <c r="I501" s="649" t="s">
        <v>30</v>
      </c>
      <c r="J501" s="649" t="s">
        <v>33</v>
      </c>
      <c r="K501" s="649" t="s">
        <v>5654</v>
      </c>
      <c r="L501" s="649" t="s">
        <v>4444</v>
      </c>
      <c r="M501" s="599" t="s">
        <v>5695</v>
      </c>
      <c r="N501" s="649" t="s">
        <v>33</v>
      </c>
      <c r="O501" s="649" t="s">
        <v>30</v>
      </c>
      <c r="P501" s="649"/>
      <c r="Q501" s="649"/>
      <c r="R501" s="649"/>
      <c r="S501" s="649"/>
      <c r="T501" s="649"/>
      <c r="U501" s="649"/>
      <c r="V501" s="649"/>
      <c r="W501" s="647" t="s">
        <v>5706</v>
      </c>
      <c r="X501" s="648"/>
      <c r="AA501" s="149"/>
    </row>
    <row r="502" spans="1:27" s="18" customFormat="1" ht="22.5">
      <c r="A502" s="538"/>
      <c r="B502" s="646"/>
      <c r="C502" s="647"/>
      <c r="D502" s="648"/>
      <c r="E502" s="648" t="s">
        <v>5340</v>
      </c>
      <c r="F502" s="648" t="s">
        <v>5424</v>
      </c>
      <c r="G502" s="648" t="s">
        <v>5424</v>
      </c>
      <c r="H502" s="647" t="s">
        <v>5707</v>
      </c>
      <c r="I502" s="649" t="s">
        <v>30</v>
      </c>
      <c r="J502" s="649" t="s">
        <v>33</v>
      </c>
      <c r="K502" s="649" t="s">
        <v>5654</v>
      </c>
      <c r="L502" s="649" t="s">
        <v>4444</v>
      </c>
      <c r="M502" s="599" t="s">
        <v>5695</v>
      </c>
      <c r="N502" s="649" t="s">
        <v>33</v>
      </c>
      <c r="O502" s="649" t="s">
        <v>30</v>
      </c>
      <c r="P502" s="649"/>
      <c r="Q502" s="649"/>
      <c r="R502" s="649"/>
      <c r="S502" s="649"/>
      <c r="T502" s="649"/>
      <c r="U502" s="649"/>
      <c r="V502" s="649"/>
      <c r="W502" s="647" t="s">
        <v>5708</v>
      </c>
      <c r="X502" s="648"/>
      <c r="AA502" s="149"/>
    </row>
    <row r="503" spans="1:27" s="18" customFormat="1" ht="12">
      <c r="A503" s="734">
        <f>A489+1</f>
        <v>109</v>
      </c>
      <c r="B503" s="692" t="s">
        <v>5651</v>
      </c>
      <c r="C503" s="693" t="s">
        <v>5710</v>
      </c>
      <c r="D503" s="694" t="s">
        <v>44</v>
      </c>
      <c r="E503" s="694"/>
      <c r="F503" s="694"/>
      <c r="G503" s="694"/>
      <c r="H503" s="693"/>
      <c r="I503" s="695"/>
      <c r="J503" s="695"/>
      <c r="K503" s="695"/>
      <c r="L503" s="695"/>
      <c r="M503" s="695"/>
      <c r="N503" s="695"/>
      <c r="O503" s="695"/>
      <c r="P503" s="695" t="s">
        <v>4932</v>
      </c>
      <c r="Q503" s="696" t="s">
        <v>4924</v>
      </c>
      <c r="R503" s="696"/>
      <c r="S503" s="696"/>
      <c r="T503" s="696" t="s">
        <v>489</v>
      </c>
      <c r="U503" s="696"/>
      <c r="V503" s="696" t="s">
        <v>4946</v>
      </c>
      <c r="W503" s="337" t="s">
        <v>6461</v>
      </c>
      <c r="X503" s="332" t="s">
        <v>4873</v>
      </c>
      <c r="AA503" s="337" t="s">
        <v>148</v>
      </c>
    </row>
    <row r="504" spans="1:27" s="18" customFormat="1" ht="22.5">
      <c r="A504" s="538"/>
      <c r="B504" s="653"/>
      <c r="C504" s="552"/>
      <c r="D504" s="600"/>
      <c r="E504" s="600" t="s">
        <v>30</v>
      </c>
      <c r="F504" s="600" t="s">
        <v>30</v>
      </c>
      <c r="G504" s="600" t="s">
        <v>30</v>
      </c>
      <c r="H504" s="654" t="s">
        <v>5711</v>
      </c>
      <c r="I504" s="600" t="s">
        <v>30</v>
      </c>
      <c r="J504" s="600" t="s">
        <v>33</v>
      </c>
      <c r="K504" s="600" t="s">
        <v>5654</v>
      </c>
      <c r="L504" s="600" t="s">
        <v>4444</v>
      </c>
      <c r="M504" s="599" t="s">
        <v>6462</v>
      </c>
      <c r="N504" s="600" t="s">
        <v>33</v>
      </c>
      <c r="O504" s="600" t="s">
        <v>30</v>
      </c>
      <c r="P504" s="551"/>
      <c r="Q504" s="599"/>
      <c r="R504" s="599"/>
      <c r="S504" s="599"/>
      <c r="T504" s="599"/>
      <c r="U504" s="599"/>
      <c r="V504" s="599"/>
      <c r="W504" s="654" t="s">
        <v>5712</v>
      </c>
      <c r="X504" s="551"/>
      <c r="AA504" s="149"/>
    </row>
    <row r="505" spans="1:27" s="18" customFormat="1" ht="22.5">
      <c r="A505" s="538"/>
      <c r="B505" s="653"/>
      <c r="C505" s="552"/>
      <c r="D505" s="600"/>
      <c r="E505" s="600" t="s">
        <v>30</v>
      </c>
      <c r="F505" s="600" t="s">
        <v>33</v>
      </c>
      <c r="G505" s="600" t="s">
        <v>33</v>
      </c>
      <c r="H505" s="654" t="s">
        <v>5713</v>
      </c>
      <c r="I505" s="600" t="s">
        <v>30</v>
      </c>
      <c r="J505" s="600" t="s">
        <v>33</v>
      </c>
      <c r="K505" s="600" t="s">
        <v>5654</v>
      </c>
      <c r="L505" s="600" t="s">
        <v>4444</v>
      </c>
      <c r="M505" s="599" t="s">
        <v>5688</v>
      </c>
      <c r="N505" s="600" t="s">
        <v>33</v>
      </c>
      <c r="O505" s="600" t="s">
        <v>30</v>
      </c>
      <c r="P505" s="551"/>
      <c r="Q505" s="551"/>
      <c r="R505" s="551"/>
      <c r="S505" s="551"/>
      <c r="T505" s="551"/>
      <c r="U505" s="551"/>
      <c r="V505" s="551"/>
      <c r="W505" s="654" t="s">
        <v>5714</v>
      </c>
      <c r="X505" s="551"/>
      <c r="AA505" s="149"/>
    </row>
    <row r="506" spans="1:27" s="18" customFormat="1" ht="22.5">
      <c r="A506" s="538"/>
      <c r="B506" s="653"/>
      <c r="C506" s="552"/>
      <c r="D506" s="600"/>
      <c r="E506" s="600" t="s">
        <v>30</v>
      </c>
      <c r="F506" s="600" t="s">
        <v>36</v>
      </c>
      <c r="G506" s="600" t="s">
        <v>36</v>
      </c>
      <c r="H506" s="654" t="s">
        <v>5715</v>
      </c>
      <c r="I506" s="600" t="s">
        <v>30</v>
      </c>
      <c r="J506" s="600" t="s">
        <v>33</v>
      </c>
      <c r="K506" s="600" t="s">
        <v>5654</v>
      </c>
      <c r="L506" s="600" t="s">
        <v>4444</v>
      </c>
      <c r="M506" s="599" t="s">
        <v>6462</v>
      </c>
      <c r="N506" s="600" t="s">
        <v>33</v>
      </c>
      <c r="O506" s="600" t="s">
        <v>30</v>
      </c>
      <c r="P506" s="551"/>
      <c r="Q506" s="551"/>
      <c r="R506" s="551"/>
      <c r="S506" s="551"/>
      <c r="T506" s="551"/>
      <c r="U506" s="551"/>
      <c r="V506" s="551"/>
      <c r="W506" s="654" t="s">
        <v>5716</v>
      </c>
      <c r="X506" s="551"/>
      <c r="AA506" s="149"/>
    </row>
    <row r="507" spans="1:27" s="18" customFormat="1" ht="22.5">
      <c r="A507" s="538"/>
      <c r="B507" s="653"/>
      <c r="C507" s="552"/>
      <c r="D507" s="600"/>
      <c r="E507" s="600" t="s">
        <v>30</v>
      </c>
      <c r="F507" s="600" t="s">
        <v>38</v>
      </c>
      <c r="G507" s="600" t="s">
        <v>38</v>
      </c>
      <c r="H507" s="654" t="s">
        <v>5717</v>
      </c>
      <c r="I507" s="600" t="s">
        <v>30</v>
      </c>
      <c r="J507" s="600" t="s">
        <v>33</v>
      </c>
      <c r="K507" s="600" t="s">
        <v>5654</v>
      </c>
      <c r="L507" s="600" t="s">
        <v>4444</v>
      </c>
      <c r="M507" s="599" t="s">
        <v>5688</v>
      </c>
      <c r="N507" s="600" t="s">
        <v>33</v>
      </c>
      <c r="O507" s="600" t="s">
        <v>30</v>
      </c>
      <c r="P507" s="551"/>
      <c r="Q507" s="551"/>
      <c r="R507" s="551"/>
      <c r="S507" s="551"/>
      <c r="T507" s="551"/>
      <c r="U507" s="551"/>
      <c r="V507" s="551"/>
      <c r="W507" s="654" t="s">
        <v>5718</v>
      </c>
      <c r="X507" s="551"/>
      <c r="AA507" s="149"/>
    </row>
    <row r="508" spans="1:27" s="18" customFormat="1" ht="22.5">
      <c r="A508" s="538"/>
      <c r="B508" s="653"/>
      <c r="C508" s="552"/>
      <c r="D508" s="600"/>
      <c r="E508" s="600" t="s">
        <v>30</v>
      </c>
      <c r="F508" s="600" t="s">
        <v>40</v>
      </c>
      <c r="G508" s="600" t="s">
        <v>40</v>
      </c>
      <c r="H508" s="654" t="s">
        <v>5719</v>
      </c>
      <c r="I508" s="600" t="s">
        <v>30</v>
      </c>
      <c r="J508" s="600" t="s">
        <v>33</v>
      </c>
      <c r="K508" s="600" t="s">
        <v>5654</v>
      </c>
      <c r="L508" s="600" t="s">
        <v>4444</v>
      </c>
      <c r="M508" s="599" t="s">
        <v>6462</v>
      </c>
      <c r="N508" s="600" t="s">
        <v>33</v>
      </c>
      <c r="O508" s="600" t="s">
        <v>30</v>
      </c>
      <c r="P508" s="551"/>
      <c r="Q508" s="551"/>
      <c r="R508" s="551"/>
      <c r="S508" s="551"/>
      <c r="T508" s="551"/>
      <c r="U508" s="551"/>
      <c r="V508" s="551"/>
      <c r="W508" s="654" t="s">
        <v>5720</v>
      </c>
      <c r="X508" s="551"/>
      <c r="AA508" s="149"/>
    </row>
    <row r="509" spans="1:27" s="18" customFormat="1" ht="22.5">
      <c r="A509" s="538"/>
      <c r="B509" s="653"/>
      <c r="C509" s="552"/>
      <c r="D509" s="600"/>
      <c r="E509" s="600" t="s">
        <v>30</v>
      </c>
      <c r="F509" s="600" t="s">
        <v>42</v>
      </c>
      <c r="G509" s="600" t="s">
        <v>42</v>
      </c>
      <c r="H509" s="654" t="s">
        <v>5721</v>
      </c>
      <c r="I509" s="600" t="s">
        <v>30</v>
      </c>
      <c r="J509" s="600" t="s">
        <v>33</v>
      </c>
      <c r="K509" s="600" t="s">
        <v>5654</v>
      </c>
      <c r="L509" s="600" t="s">
        <v>4444</v>
      </c>
      <c r="M509" s="599" t="s">
        <v>5695</v>
      </c>
      <c r="N509" s="600" t="s">
        <v>33</v>
      </c>
      <c r="O509" s="600" t="s">
        <v>30</v>
      </c>
      <c r="P509" s="551"/>
      <c r="Q509" s="551"/>
      <c r="R509" s="551"/>
      <c r="S509" s="551"/>
      <c r="T509" s="551"/>
      <c r="U509" s="551"/>
      <c r="V509" s="551"/>
      <c r="W509" s="654" t="s">
        <v>5722</v>
      </c>
      <c r="X509" s="551"/>
      <c r="AA509" s="149"/>
    </row>
    <row r="510" spans="1:27" s="18" customFormat="1" ht="22.5">
      <c r="A510" s="538"/>
      <c r="B510" s="653"/>
      <c r="C510" s="552"/>
      <c r="D510" s="600"/>
      <c r="E510" s="600" t="s">
        <v>30</v>
      </c>
      <c r="F510" s="600" t="s">
        <v>44</v>
      </c>
      <c r="G510" s="600" t="s">
        <v>44</v>
      </c>
      <c r="H510" s="654" t="s">
        <v>5723</v>
      </c>
      <c r="I510" s="600" t="s">
        <v>30</v>
      </c>
      <c r="J510" s="600" t="s">
        <v>33</v>
      </c>
      <c r="K510" s="600" t="s">
        <v>5654</v>
      </c>
      <c r="L510" s="600" t="s">
        <v>4444</v>
      </c>
      <c r="M510" s="599" t="s">
        <v>6462</v>
      </c>
      <c r="N510" s="600" t="s">
        <v>33</v>
      </c>
      <c r="O510" s="600" t="s">
        <v>30</v>
      </c>
      <c r="P510" s="551"/>
      <c r="Q510" s="551"/>
      <c r="R510" s="551"/>
      <c r="S510" s="551"/>
      <c r="T510" s="551"/>
      <c r="U510" s="551"/>
      <c r="V510" s="551"/>
      <c r="W510" s="654" t="s">
        <v>5724</v>
      </c>
      <c r="X510" s="551"/>
      <c r="AA510" s="149"/>
    </row>
    <row r="511" spans="1:27" s="18" customFormat="1" ht="22.5">
      <c r="A511" s="538"/>
      <c r="B511" s="653"/>
      <c r="C511" s="552"/>
      <c r="D511" s="600"/>
      <c r="E511" s="600" t="s">
        <v>30</v>
      </c>
      <c r="F511" s="600" t="s">
        <v>46</v>
      </c>
      <c r="G511" s="600" t="s">
        <v>46</v>
      </c>
      <c r="H511" s="654" t="s">
        <v>5725</v>
      </c>
      <c r="I511" s="600" t="s">
        <v>30</v>
      </c>
      <c r="J511" s="600" t="s">
        <v>33</v>
      </c>
      <c r="K511" s="600" t="s">
        <v>5654</v>
      </c>
      <c r="L511" s="600" t="s">
        <v>4444</v>
      </c>
      <c r="M511" s="599" t="s">
        <v>5695</v>
      </c>
      <c r="N511" s="600" t="s">
        <v>33</v>
      </c>
      <c r="O511" s="600" t="s">
        <v>30</v>
      </c>
      <c r="P511" s="551"/>
      <c r="Q511" s="551"/>
      <c r="R511" s="551"/>
      <c r="S511" s="551"/>
      <c r="T511" s="551"/>
      <c r="U511" s="551"/>
      <c r="V511" s="551"/>
      <c r="W511" s="654" t="s">
        <v>5726</v>
      </c>
      <c r="X511" s="551"/>
      <c r="AA511" s="149"/>
    </row>
    <row r="512" spans="1:27" s="18" customFormat="1" ht="22.5">
      <c r="A512" s="538"/>
      <c r="B512" s="653"/>
      <c r="C512" s="552"/>
      <c r="D512" s="600"/>
      <c r="E512" s="600" t="s">
        <v>33</v>
      </c>
      <c r="F512" s="600" t="s">
        <v>1847</v>
      </c>
      <c r="G512" s="600" t="s">
        <v>1847</v>
      </c>
      <c r="H512" s="654" t="s">
        <v>5727</v>
      </c>
      <c r="I512" s="600" t="s">
        <v>30</v>
      </c>
      <c r="J512" s="600" t="s">
        <v>33</v>
      </c>
      <c r="K512" s="600" t="s">
        <v>5654</v>
      </c>
      <c r="L512" s="600" t="s">
        <v>4444</v>
      </c>
      <c r="M512" s="599" t="s">
        <v>6462</v>
      </c>
      <c r="N512" s="600" t="s">
        <v>33</v>
      </c>
      <c r="O512" s="600" t="s">
        <v>30</v>
      </c>
      <c r="P512" s="551"/>
      <c r="Q512" s="551"/>
      <c r="R512" s="551"/>
      <c r="S512" s="551"/>
      <c r="T512" s="551"/>
      <c r="U512" s="551"/>
      <c r="V512" s="551"/>
      <c r="W512" s="654" t="s">
        <v>5728</v>
      </c>
      <c r="X512" s="551"/>
      <c r="AA512" s="149"/>
    </row>
    <row r="513" spans="1:27" s="18" customFormat="1" ht="22.5">
      <c r="A513" s="538"/>
      <c r="B513" s="653"/>
      <c r="C513" s="552"/>
      <c r="D513" s="600"/>
      <c r="E513" s="600" t="s">
        <v>33</v>
      </c>
      <c r="F513" s="600" t="s">
        <v>1850</v>
      </c>
      <c r="G513" s="600" t="s">
        <v>1850</v>
      </c>
      <c r="H513" s="654" t="s">
        <v>5729</v>
      </c>
      <c r="I513" s="600" t="s">
        <v>30</v>
      </c>
      <c r="J513" s="600" t="s">
        <v>33</v>
      </c>
      <c r="K513" s="600" t="s">
        <v>5654</v>
      </c>
      <c r="L513" s="600" t="s">
        <v>4444</v>
      </c>
      <c r="M513" s="599" t="s">
        <v>5695</v>
      </c>
      <c r="N513" s="600" t="s">
        <v>33</v>
      </c>
      <c r="O513" s="600" t="s">
        <v>30</v>
      </c>
      <c r="P513" s="551"/>
      <c r="Q513" s="551"/>
      <c r="R513" s="551"/>
      <c r="S513" s="551"/>
      <c r="T513" s="551"/>
      <c r="U513" s="551"/>
      <c r="V513" s="551"/>
      <c r="W513" s="654" t="s">
        <v>5730</v>
      </c>
      <c r="X513" s="551"/>
      <c r="AA513" s="149"/>
    </row>
    <row r="514" spans="1:27" s="18" customFormat="1" ht="22.5">
      <c r="A514" s="538"/>
      <c r="B514" s="653"/>
      <c r="C514" s="552"/>
      <c r="D514" s="600"/>
      <c r="E514" s="600" t="s">
        <v>33</v>
      </c>
      <c r="F514" s="600" t="s">
        <v>1861</v>
      </c>
      <c r="G514" s="600" t="s">
        <v>1861</v>
      </c>
      <c r="H514" s="654" t="s">
        <v>5731</v>
      </c>
      <c r="I514" s="600" t="s">
        <v>30</v>
      </c>
      <c r="J514" s="600" t="s">
        <v>33</v>
      </c>
      <c r="K514" s="600" t="s">
        <v>5654</v>
      </c>
      <c r="L514" s="600" t="s">
        <v>4444</v>
      </c>
      <c r="M514" s="599" t="s">
        <v>6462</v>
      </c>
      <c r="N514" s="600" t="s">
        <v>33</v>
      </c>
      <c r="O514" s="600" t="s">
        <v>30</v>
      </c>
      <c r="P514" s="551"/>
      <c r="Q514" s="599"/>
      <c r="R514" s="599"/>
      <c r="S514" s="599"/>
      <c r="T514" s="599"/>
      <c r="U514" s="599"/>
      <c r="V514" s="599"/>
      <c r="W514" s="654" t="s">
        <v>5732</v>
      </c>
      <c r="X514" s="551"/>
      <c r="AA514" s="149"/>
    </row>
    <row r="515" spans="1:27" s="18" customFormat="1" ht="22.5">
      <c r="A515" s="538"/>
      <c r="B515" s="653"/>
      <c r="C515" s="552"/>
      <c r="D515" s="600"/>
      <c r="E515" s="600" t="s">
        <v>33</v>
      </c>
      <c r="F515" s="600" t="s">
        <v>1871</v>
      </c>
      <c r="G515" s="600" t="s">
        <v>1871</v>
      </c>
      <c r="H515" s="654" t="s">
        <v>5733</v>
      </c>
      <c r="I515" s="600" t="s">
        <v>30</v>
      </c>
      <c r="J515" s="600" t="s">
        <v>33</v>
      </c>
      <c r="K515" s="600" t="s">
        <v>5654</v>
      </c>
      <c r="L515" s="600" t="s">
        <v>4444</v>
      </c>
      <c r="M515" s="599" t="s">
        <v>5695</v>
      </c>
      <c r="N515" s="600" t="s">
        <v>33</v>
      </c>
      <c r="O515" s="600" t="s">
        <v>30</v>
      </c>
      <c r="P515" s="551"/>
      <c r="Q515" s="551"/>
      <c r="R515" s="551"/>
      <c r="S515" s="551"/>
      <c r="T515" s="551"/>
      <c r="U515" s="551"/>
      <c r="V515" s="551"/>
      <c r="W515" s="654" t="s">
        <v>5734</v>
      </c>
      <c r="X515" s="551"/>
      <c r="AA515" s="149"/>
    </row>
    <row r="516" spans="1:27" s="18" customFormat="1" ht="22.5">
      <c r="A516" s="538"/>
      <c r="B516" s="653"/>
      <c r="C516" s="655"/>
      <c r="D516" s="600"/>
      <c r="E516" s="600" t="s">
        <v>33</v>
      </c>
      <c r="F516" s="600" t="s">
        <v>1881</v>
      </c>
      <c r="G516" s="600" t="s">
        <v>1881</v>
      </c>
      <c r="H516" s="654" t="s">
        <v>5735</v>
      </c>
      <c r="I516" s="600" t="s">
        <v>30</v>
      </c>
      <c r="J516" s="600" t="s">
        <v>33</v>
      </c>
      <c r="K516" s="600" t="s">
        <v>5654</v>
      </c>
      <c r="L516" s="600" t="s">
        <v>4444</v>
      </c>
      <c r="M516" s="599" t="s">
        <v>6462</v>
      </c>
      <c r="N516" s="600" t="s">
        <v>33</v>
      </c>
      <c r="O516" s="600" t="s">
        <v>30</v>
      </c>
      <c r="P516" s="551"/>
      <c r="Q516" s="551"/>
      <c r="R516" s="551"/>
      <c r="S516" s="551"/>
      <c r="T516" s="551"/>
      <c r="U516" s="551"/>
      <c r="V516" s="551"/>
      <c r="W516" s="654" t="s">
        <v>5736</v>
      </c>
      <c r="X516" s="551"/>
      <c r="AA516" s="149"/>
    </row>
    <row r="517" spans="1:27" s="18" customFormat="1" ht="22.5">
      <c r="A517" s="538"/>
      <c r="B517" s="653"/>
      <c r="C517" s="552"/>
      <c r="D517" s="600"/>
      <c r="E517" s="600" t="s">
        <v>33</v>
      </c>
      <c r="F517" s="600" t="s">
        <v>1891</v>
      </c>
      <c r="G517" s="600" t="s">
        <v>1891</v>
      </c>
      <c r="H517" s="654" t="s">
        <v>5737</v>
      </c>
      <c r="I517" s="600" t="s">
        <v>30</v>
      </c>
      <c r="J517" s="600" t="s">
        <v>33</v>
      </c>
      <c r="K517" s="600" t="s">
        <v>5654</v>
      </c>
      <c r="L517" s="600" t="s">
        <v>4444</v>
      </c>
      <c r="M517" s="599" t="s">
        <v>5695</v>
      </c>
      <c r="N517" s="600" t="s">
        <v>33</v>
      </c>
      <c r="O517" s="600" t="s">
        <v>30</v>
      </c>
      <c r="P517" s="551"/>
      <c r="Q517" s="551"/>
      <c r="R517" s="551"/>
      <c r="S517" s="551"/>
      <c r="T517" s="551"/>
      <c r="U517" s="551"/>
      <c r="V517" s="551"/>
      <c r="W517" s="654" t="s">
        <v>5738</v>
      </c>
      <c r="X517" s="551"/>
      <c r="AA517" s="149"/>
    </row>
    <row r="518" spans="1:27" s="18" customFormat="1" ht="22.5">
      <c r="A518" s="538"/>
      <c r="B518" s="656"/>
      <c r="C518" s="649"/>
      <c r="D518" s="648"/>
      <c r="E518" s="648" t="s">
        <v>33</v>
      </c>
      <c r="F518" s="648" t="s">
        <v>1902</v>
      </c>
      <c r="G518" s="648" t="s">
        <v>1902</v>
      </c>
      <c r="H518" s="657" t="s">
        <v>5739</v>
      </c>
      <c r="I518" s="648" t="s">
        <v>30</v>
      </c>
      <c r="J518" s="648" t="s">
        <v>33</v>
      </c>
      <c r="K518" s="648" t="s">
        <v>5654</v>
      </c>
      <c r="L518" s="648" t="s">
        <v>4444</v>
      </c>
      <c r="M518" s="650" t="s">
        <v>6462</v>
      </c>
      <c r="N518" s="648" t="s">
        <v>33</v>
      </c>
      <c r="O518" s="648" t="s">
        <v>30</v>
      </c>
      <c r="P518" s="649"/>
      <c r="Q518" s="649"/>
      <c r="R518" s="649"/>
      <c r="S518" s="649"/>
      <c r="T518" s="649"/>
      <c r="U518" s="649"/>
      <c r="V518" s="649"/>
      <c r="W518" s="657" t="s">
        <v>5740</v>
      </c>
      <c r="X518" s="649"/>
      <c r="AA518" s="149"/>
    </row>
    <row r="519" spans="1:27" s="18" customFormat="1" ht="22.5">
      <c r="A519" s="538"/>
      <c r="B519" s="656"/>
      <c r="C519" s="649"/>
      <c r="D519" s="648"/>
      <c r="E519" s="648" t="s">
        <v>33</v>
      </c>
      <c r="F519" s="648" t="s">
        <v>103</v>
      </c>
      <c r="G519" s="648" t="s">
        <v>103</v>
      </c>
      <c r="H519" s="657" t="s">
        <v>5741</v>
      </c>
      <c r="I519" s="648" t="s">
        <v>30</v>
      </c>
      <c r="J519" s="648" t="s">
        <v>33</v>
      </c>
      <c r="K519" s="648" t="s">
        <v>5654</v>
      </c>
      <c r="L519" s="648" t="s">
        <v>4444</v>
      </c>
      <c r="M519" s="650" t="s">
        <v>6463</v>
      </c>
      <c r="N519" s="648" t="s">
        <v>33</v>
      </c>
      <c r="O519" s="648" t="s">
        <v>30</v>
      </c>
      <c r="P519" s="649"/>
      <c r="Q519" s="649"/>
      <c r="R519" s="649"/>
      <c r="S519" s="649"/>
      <c r="T519" s="649"/>
      <c r="U519" s="649"/>
      <c r="V519" s="649"/>
      <c r="W519" s="657" t="s">
        <v>5742</v>
      </c>
      <c r="X519" s="649"/>
      <c r="AA519" s="149"/>
    </row>
    <row r="520" spans="1:27" s="18" customFormat="1" ht="22.5">
      <c r="A520" s="538"/>
      <c r="B520" s="656"/>
      <c r="C520" s="649"/>
      <c r="D520" s="648"/>
      <c r="E520" s="648" t="s">
        <v>36</v>
      </c>
      <c r="F520" s="648" t="s">
        <v>1923</v>
      </c>
      <c r="G520" s="648" t="s">
        <v>1923</v>
      </c>
      <c r="H520" s="657" t="s">
        <v>5743</v>
      </c>
      <c r="I520" s="648" t="s">
        <v>30</v>
      </c>
      <c r="J520" s="648" t="s">
        <v>33</v>
      </c>
      <c r="K520" s="648" t="s">
        <v>5654</v>
      </c>
      <c r="L520" s="648" t="s">
        <v>4444</v>
      </c>
      <c r="M520" s="650" t="s">
        <v>6462</v>
      </c>
      <c r="N520" s="648" t="s">
        <v>33</v>
      </c>
      <c r="O520" s="648" t="s">
        <v>30</v>
      </c>
      <c r="P520" s="649"/>
      <c r="Q520" s="649"/>
      <c r="R520" s="649"/>
      <c r="S520" s="649"/>
      <c r="T520" s="649"/>
      <c r="U520" s="649"/>
      <c r="V520" s="649"/>
      <c r="W520" s="657" t="s">
        <v>5744</v>
      </c>
      <c r="X520" s="649"/>
      <c r="AA520" s="149"/>
    </row>
    <row r="521" spans="1:27" s="18" customFormat="1" ht="22.5">
      <c r="A521" s="538"/>
      <c r="B521" s="656"/>
      <c r="C521" s="649"/>
      <c r="D521" s="648"/>
      <c r="E521" s="648" t="s">
        <v>36</v>
      </c>
      <c r="F521" s="648" t="s">
        <v>1934</v>
      </c>
      <c r="G521" s="648" t="s">
        <v>1934</v>
      </c>
      <c r="H521" s="657" t="s">
        <v>5745</v>
      </c>
      <c r="I521" s="648" t="s">
        <v>30</v>
      </c>
      <c r="J521" s="648" t="s">
        <v>33</v>
      </c>
      <c r="K521" s="648" t="s">
        <v>5654</v>
      </c>
      <c r="L521" s="648" t="s">
        <v>4444</v>
      </c>
      <c r="M521" s="650" t="s">
        <v>6463</v>
      </c>
      <c r="N521" s="648" t="s">
        <v>33</v>
      </c>
      <c r="O521" s="648" t="s">
        <v>30</v>
      </c>
      <c r="P521" s="649"/>
      <c r="Q521" s="649"/>
      <c r="R521" s="649"/>
      <c r="S521" s="649"/>
      <c r="T521" s="649"/>
      <c r="U521" s="649"/>
      <c r="V521" s="649"/>
      <c r="W521" s="657" t="s">
        <v>5746</v>
      </c>
      <c r="X521" s="649"/>
      <c r="AA521" s="149"/>
    </row>
    <row r="522" spans="1:27" s="18" customFormat="1" ht="22.5">
      <c r="A522" s="538"/>
      <c r="B522" s="656"/>
      <c r="C522" s="649"/>
      <c r="D522" s="648"/>
      <c r="E522" s="648" t="s">
        <v>36</v>
      </c>
      <c r="F522" s="648" t="s">
        <v>1945</v>
      </c>
      <c r="G522" s="648" t="s">
        <v>1945</v>
      </c>
      <c r="H522" s="657" t="s">
        <v>5747</v>
      </c>
      <c r="I522" s="648" t="s">
        <v>30</v>
      </c>
      <c r="J522" s="648" t="s">
        <v>33</v>
      </c>
      <c r="K522" s="648" t="s">
        <v>5654</v>
      </c>
      <c r="L522" s="648" t="s">
        <v>4444</v>
      </c>
      <c r="M522" s="650" t="s">
        <v>6462</v>
      </c>
      <c r="N522" s="648" t="s">
        <v>33</v>
      </c>
      <c r="O522" s="648" t="s">
        <v>30</v>
      </c>
      <c r="P522" s="649"/>
      <c r="Q522" s="649"/>
      <c r="R522" s="649"/>
      <c r="S522" s="649"/>
      <c r="T522" s="649"/>
      <c r="U522" s="649"/>
      <c r="V522" s="649"/>
      <c r="W522" s="657" t="s">
        <v>5748</v>
      </c>
      <c r="X522" s="649"/>
      <c r="AA522" s="149"/>
    </row>
    <row r="523" spans="1:27" s="18" customFormat="1" ht="22.5">
      <c r="A523" s="538"/>
      <c r="B523" s="656"/>
      <c r="C523" s="649"/>
      <c r="D523" s="648"/>
      <c r="E523" s="648" t="s">
        <v>36</v>
      </c>
      <c r="F523" s="648" t="s">
        <v>1956</v>
      </c>
      <c r="G523" s="648" t="s">
        <v>1956</v>
      </c>
      <c r="H523" s="657" t="s">
        <v>5749</v>
      </c>
      <c r="I523" s="648" t="s">
        <v>30</v>
      </c>
      <c r="J523" s="648" t="s">
        <v>33</v>
      </c>
      <c r="K523" s="648" t="s">
        <v>5654</v>
      </c>
      <c r="L523" s="648" t="s">
        <v>4444</v>
      </c>
      <c r="M523" s="650" t="s">
        <v>6463</v>
      </c>
      <c r="N523" s="648" t="s">
        <v>33</v>
      </c>
      <c r="O523" s="648" t="s">
        <v>30</v>
      </c>
      <c r="P523" s="649"/>
      <c r="Q523" s="649"/>
      <c r="R523" s="649"/>
      <c r="S523" s="649"/>
      <c r="T523" s="649"/>
      <c r="U523" s="649"/>
      <c r="V523" s="649"/>
      <c r="W523" s="657" t="s">
        <v>5750</v>
      </c>
      <c r="X523" s="649"/>
      <c r="AA523" s="149"/>
    </row>
    <row r="524" spans="1:27" s="18" customFormat="1" ht="22.5">
      <c r="A524" s="538"/>
      <c r="B524" s="653"/>
      <c r="C524" s="552"/>
      <c r="D524" s="600"/>
      <c r="E524" s="600" t="s">
        <v>36</v>
      </c>
      <c r="F524" s="600" t="s">
        <v>1967</v>
      </c>
      <c r="G524" s="600" t="s">
        <v>1967</v>
      </c>
      <c r="H524" s="654" t="s">
        <v>5751</v>
      </c>
      <c r="I524" s="600" t="s">
        <v>30</v>
      </c>
      <c r="J524" s="600" t="s">
        <v>33</v>
      </c>
      <c r="K524" s="600" t="s">
        <v>5654</v>
      </c>
      <c r="L524" s="600" t="s">
        <v>4444</v>
      </c>
      <c r="M524" s="650" t="s">
        <v>6462</v>
      </c>
      <c r="N524" s="600" t="s">
        <v>33</v>
      </c>
      <c r="O524" s="600" t="s">
        <v>30</v>
      </c>
      <c r="P524" s="551"/>
      <c r="Q524" s="551"/>
      <c r="R524" s="551"/>
      <c r="S524" s="551"/>
      <c r="T524" s="551"/>
      <c r="U524" s="551"/>
      <c r="V524" s="551"/>
      <c r="W524" s="654" t="s">
        <v>5752</v>
      </c>
      <c r="X524" s="551"/>
      <c r="AA524" s="149"/>
    </row>
    <row r="525" spans="1:27" s="18" customFormat="1" ht="90">
      <c r="A525" s="538"/>
      <c r="B525" s="653"/>
      <c r="C525" s="552"/>
      <c r="D525" s="600"/>
      <c r="E525" s="658">
        <v>2</v>
      </c>
      <c r="F525" s="658">
        <v>23</v>
      </c>
      <c r="G525" s="658">
        <v>21</v>
      </c>
      <c r="H525" s="659" t="s">
        <v>5753</v>
      </c>
      <c r="I525" s="658" t="s">
        <v>30</v>
      </c>
      <c r="J525" s="658" t="s">
        <v>46</v>
      </c>
      <c r="K525" s="658" t="s">
        <v>5679</v>
      </c>
      <c r="L525" s="658" t="s">
        <v>4444</v>
      </c>
      <c r="M525" s="660" t="s">
        <v>5754</v>
      </c>
      <c r="N525" s="658" t="s">
        <v>33</v>
      </c>
      <c r="O525" s="658" t="s">
        <v>30</v>
      </c>
      <c r="P525" s="658"/>
      <c r="Q525" s="658"/>
      <c r="R525" s="658"/>
      <c r="S525" s="650"/>
      <c r="T525" s="551"/>
      <c r="U525" s="551"/>
      <c r="V525" s="551"/>
      <c r="W525" s="659" t="s">
        <v>5755</v>
      </c>
      <c r="X525" s="551"/>
      <c r="AA525" s="149"/>
    </row>
    <row r="526" spans="1:27" s="18" customFormat="1" ht="409.5">
      <c r="A526" s="538"/>
      <c r="B526" s="653"/>
      <c r="C526" s="552"/>
      <c r="D526" s="600"/>
      <c r="E526" s="658">
        <v>3</v>
      </c>
      <c r="F526" s="658">
        <v>31</v>
      </c>
      <c r="G526" s="658">
        <v>24</v>
      </c>
      <c r="H526" s="659" t="s">
        <v>5756</v>
      </c>
      <c r="I526" s="658" t="s">
        <v>30</v>
      </c>
      <c r="J526" s="658" t="s">
        <v>2262</v>
      </c>
      <c r="K526" s="658"/>
      <c r="L526" s="658" t="s">
        <v>4444</v>
      </c>
      <c r="M526" s="661" t="s">
        <v>5757</v>
      </c>
      <c r="N526" s="658" t="s">
        <v>33</v>
      </c>
      <c r="O526" s="658" t="s">
        <v>30</v>
      </c>
      <c r="P526" s="658"/>
      <c r="Q526" s="658"/>
      <c r="R526" s="658"/>
      <c r="S526" s="650"/>
      <c r="T526" s="551"/>
      <c r="U526" s="551"/>
      <c r="V526" s="551"/>
      <c r="W526" s="659" t="s">
        <v>5758</v>
      </c>
      <c r="X526" s="551"/>
      <c r="AA526" s="149"/>
    </row>
    <row r="527" spans="1:27" s="18" customFormat="1" ht="11.25">
      <c r="A527" s="538"/>
      <c r="B527" s="653"/>
      <c r="C527" s="552"/>
      <c r="D527" s="600"/>
      <c r="E527" s="658">
        <v>4</v>
      </c>
      <c r="F527" s="658">
        <v>39</v>
      </c>
      <c r="G527" s="658">
        <v>32</v>
      </c>
      <c r="H527" s="659" t="s">
        <v>5759</v>
      </c>
      <c r="I527" s="658" t="s">
        <v>30</v>
      </c>
      <c r="J527" s="658" t="s">
        <v>2394</v>
      </c>
      <c r="K527" s="658" t="s">
        <v>4514</v>
      </c>
      <c r="L527" s="658" t="s">
        <v>4444</v>
      </c>
      <c r="M527" s="658"/>
      <c r="N527" s="658" t="s">
        <v>33</v>
      </c>
      <c r="O527" s="658" t="s">
        <v>30</v>
      </c>
      <c r="P527" s="658"/>
      <c r="Q527" s="658"/>
      <c r="R527" s="658"/>
      <c r="S527" s="650"/>
      <c r="T527" s="551"/>
      <c r="U527" s="551"/>
      <c r="V527" s="551"/>
      <c r="W527" s="659" t="s">
        <v>5760</v>
      </c>
      <c r="X527" s="551"/>
      <c r="AA527" s="149"/>
    </row>
    <row r="528" spans="1:27" s="18" customFormat="1" ht="90">
      <c r="A528" s="538"/>
      <c r="B528" s="653"/>
      <c r="C528" s="552"/>
      <c r="D528" s="600"/>
      <c r="E528" s="658">
        <v>5</v>
      </c>
      <c r="F528" s="658">
        <v>42</v>
      </c>
      <c r="G528" s="658">
        <v>40</v>
      </c>
      <c r="H528" s="659" t="s">
        <v>5761</v>
      </c>
      <c r="I528" s="658" t="s">
        <v>30</v>
      </c>
      <c r="J528" s="658" t="s">
        <v>46</v>
      </c>
      <c r="K528" s="658"/>
      <c r="L528" s="658" t="s">
        <v>4444</v>
      </c>
      <c r="M528" s="662" t="s">
        <v>5762</v>
      </c>
      <c r="N528" s="658" t="s">
        <v>33</v>
      </c>
      <c r="O528" s="658" t="s">
        <v>30</v>
      </c>
      <c r="P528" s="658"/>
      <c r="Q528" s="658"/>
      <c r="R528" s="658"/>
      <c r="S528" s="650"/>
      <c r="T528" s="551"/>
      <c r="U528" s="551"/>
      <c r="V528" s="551"/>
      <c r="W528" s="659" t="s">
        <v>5763</v>
      </c>
      <c r="X528" s="551"/>
      <c r="AA528" s="149"/>
    </row>
    <row r="529" spans="1:27" s="18" customFormat="1" ht="12">
      <c r="A529" s="734">
        <f>A503+1</f>
        <v>110</v>
      </c>
      <c r="B529" s="333" t="s">
        <v>5676</v>
      </c>
      <c r="C529" s="697" t="s">
        <v>5765</v>
      </c>
      <c r="D529" s="698" t="s">
        <v>5469</v>
      </c>
      <c r="E529" s="698"/>
      <c r="F529" s="698"/>
      <c r="G529" s="698"/>
      <c r="H529" s="699"/>
      <c r="I529" s="700"/>
      <c r="J529" s="700"/>
      <c r="K529" s="700"/>
      <c r="L529" s="700"/>
      <c r="M529" s="700"/>
      <c r="N529" s="700"/>
      <c r="O529" s="700"/>
      <c r="P529" s="700" t="s">
        <v>4923</v>
      </c>
      <c r="Q529" s="700" t="s">
        <v>4924</v>
      </c>
      <c r="R529" s="700"/>
      <c r="S529" s="700"/>
      <c r="T529" s="700"/>
      <c r="U529" s="700"/>
      <c r="V529" s="700"/>
      <c r="W529" s="337" t="s">
        <v>6461</v>
      </c>
      <c r="X529" s="332" t="s">
        <v>4873</v>
      </c>
      <c r="AA529" s="337" t="s">
        <v>148</v>
      </c>
    </row>
    <row r="530" spans="1:27" s="18" customFormat="1" ht="11.25">
      <c r="A530" s="538"/>
      <c r="B530" s="262"/>
      <c r="C530" s="663"/>
      <c r="D530" s="664"/>
      <c r="E530" s="88" t="s">
        <v>5339</v>
      </c>
      <c r="F530" s="88" t="s">
        <v>5346</v>
      </c>
      <c r="G530" s="88" t="s">
        <v>5339</v>
      </c>
      <c r="H530" s="665" t="s">
        <v>5766</v>
      </c>
      <c r="I530" s="666" t="s">
        <v>30</v>
      </c>
      <c r="J530" s="666" t="s">
        <v>5767</v>
      </c>
      <c r="K530" s="666" t="s">
        <v>4511</v>
      </c>
      <c r="L530" s="666" t="s">
        <v>4444</v>
      </c>
      <c r="M530" s="666"/>
      <c r="N530" s="666" t="s">
        <v>4512</v>
      </c>
      <c r="O530" s="666" t="s">
        <v>30</v>
      </c>
      <c r="P530" s="666"/>
      <c r="Q530" s="666"/>
      <c r="R530" s="666"/>
      <c r="S530" s="666"/>
      <c r="T530" s="666"/>
      <c r="U530" s="666"/>
      <c r="V530" s="666"/>
      <c r="W530" s="665" t="s">
        <v>5768</v>
      </c>
      <c r="X530" s="665"/>
      <c r="AA530" s="149"/>
    </row>
    <row r="531" spans="1:27" s="18" customFormat="1" ht="11.25">
      <c r="A531" s="538"/>
      <c r="B531" s="262"/>
      <c r="C531" s="663"/>
      <c r="D531" s="664"/>
      <c r="E531" s="88" t="s">
        <v>5340</v>
      </c>
      <c r="F531" s="88" t="s">
        <v>5377</v>
      </c>
      <c r="G531" s="88" t="s">
        <v>5351</v>
      </c>
      <c r="H531" s="665" t="s">
        <v>5769</v>
      </c>
      <c r="I531" s="666" t="s">
        <v>30</v>
      </c>
      <c r="J531" s="666" t="s">
        <v>2394</v>
      </c>
      <c r="K531" s="666" t="s">
        <v>4514</v>
      </c>
      <c r="L531" s="666" t="s">
        <v>4444</v>
      </c>
      <c r="M531" s="667" t="s">
        <v>5770</v>
      </c>
      <c r="N531" s="666" t="s">
        <v>5771</v>
      </c>
      <c r="O531" s="666" t="s">
        <v>30</v>
      </c>
      <c r="P531" s="666"/>
      <c r="Q531" s="666"/>
      <c r="R531" s="666"/>
      <c r="S531" s="666"/>
      <c r="T531" s="666"/>
      <c r="U531" s="666"/>
      <c r="V531" s="666"/>
      <c r="W531" s="665" t="s">
        <v>5772</v>
      </c>
      <c r="X531" s="665"/>
      <c r="AA531" s="149"/>
    </row>
    <row r="532" spans="1:27" s="18" customFormat="1" ht="11.25">
      <c r="A532" s="538"/>
      <c r="B532" s="262"/>
      <c r="C532" s="663"/>
      <c r="D532" s="664"/>
      <c r="E532" s="664" t="s">
        <v>5430</v>
      </c>
      <c r="F532" s="664" t="s">
        <v>5431</v>
      </c>
      <c r="G532" s="664" t="s">
        <v>5382</v>
      </c>
      <c r="H532" s="665" t="s">
        <v>5773</v>
      </c>
      <c r="I532" s="666" t="s">
        <v>5075</v>
      </c>
      <c r="J532" s="666" t="s">
        <v>3312</v>
      </c>
      <c r="K532" s="666" t="s">
        <v>5076</v>
      </c>
      <c r="L532" s="666" t="s">
        <v>4444</v>
      </c>
      <c r="M532" s="666"/>
      <c r="N532" s="666" t="s">
        <v>33</v>
      </c>
      <c r="O532" s="666" t="s">
        <v>5075</v>
      </c>
      <c r="P532" s="666"/>
      <c r="Q532" s="666"/>
      <c r="R532" s="666"/>
      <c r="S532" s="666"/>
      <c r="T532" s="666"/>
      <c r="U532" s="666"/>
      <c r="V532" s="666"/>
      <c r="W532" s="665" t="s">
        <v>5774</v>
      </c>
      <c r="X532" s="665"/>
      <c r="AA532" s="149"/>
    </row>
    <row r="533" spans="1:27" s="18" customFormat="1" ht="22.5">
      <c r="A533" s="538"/>
      <c r="B533" s="262"/>
      <c r="C533" s="663"/>
      <c r="D533" s="664"/>
      <c r="E533" s="664" t="s">
        <v>5335</v>
      </c>
      <c r="F533" s="664" t="s">
        <v>5775</v>
      </c>
      <c r="G533" s="664" t="s">
        <v>5775</v>
      </c>
      <c r="H533" s="665" t="s">
        <v>5776</v>
      </c>
      <c r="I533" s="666" t="s">
        <v>30</v>
      </c>
      <c r="J533" s="666" t="s">
        <v>33</v>
      </c>
      <c r="K533" s="666"/>
      <c r="L533" s="666" t="s">
        <v>4444</v>
      </c>
      <c r="M533" s="667" t="s">
        <v>5777</v>
      </c>
      <c r="N533" s="666" t="s">
        <v>33</v>
      </c>
      <c r="O533" s="666" t="s">
        <v>30</v>
      </c>
      <c r="P533" s="666"/>
      <c r="Q533" s="666"/>
      <c r="R533" s="666"/>
      <c r="S533" s="666"/>
      <c r="T533" s="666"/>
      <c r="U533" s="666"/>
      <c r="V533" s="666"/>
      <c r="W533" s="665" t="s">
        <v>5778</v>
      </c>
      <c r="X533" s="665"/>
      <c r="AA533" s="149"/>
    </row>
    <row r="534" spans="1:27" s="18" customFormat="1" ht="22.5">
      <c r="A534" s="538"/>
      <c r="B534" s="262"/>
      <c r="C534" s="663"/>
      <c r="D534" s="664"/>
      <c r="E534" s="664" t="s">
        <v>5335</v>
      </c>
      <c r="F534" s="664" t="s">
        <v>5336</v>
      </c>
      <c r="G534" s="664" t="s">
        <v>5336</v>
      </c>
      <c r="H534" s="665" t="s">
        <v>5779</v>
      </c>
      <c r="I534" s="666" t="s">
        <v>30</v>
      </c>
      <c r="J534" s="666" t="s">
        <v>33</v>
      </c>
      <c r="K534" s="666"/>
      <c r="L534" s="666" t="s">
        <v>4444</v>
      </c>
      <c r="M534" s="667" t="s">
        <v>5780</v>
      </c>
      <c r="N534" s="666" t="s">
        <v>33</v>
      </c>
      <c r="O534" s="666" t="s">
        <v>30</v>
      </c>
      <c r="P534" s="666"/>
      <c r="Q534" s="666"/>
      <c r="R534" s="666"/>
      <c r="S534" s="666"/>
      <c r="T534" s="666"/>
      <c r="U534" s="666"/>
      <c r="V534" s="666"/>
      <c r="W534" s="665" t="s">
        <v>5781</v>
      </c>
      <c r="X534" s="665"/>
      <c r="AA534" s="149"/>
    </row>
    <row r="535" spans="1:27" s="18" customFormat="1" ht="12">
      <c r="A535" s="734">
        <f>A529+1</f>
        <v>111</v>
      </c>
      <c r="B535" s="333" t="s">
        <v>5709</v>
      </c>
      <c r="C535" s="335" t="s">
        <v>5783</v>
      </c>
      <c r="D535" s="337" t="s">
        <v>5424</v>
      </c>
      <c r="E535" s="337"/>
      <c r="F535" s="337"/>
      <c r="G535" s="337"/>
      <c r="H535" s="334"/>
      <c r="I535" s="332"/>
      <c r="J535" s="332"/>
      <c r="K535" s="332"/>
      <c r="L535" s="332"/>
      <c r="M535" s="701"/>
      <c r="N535" s="332"/>
      <c r="O535" s="332"/>
      <c r="P535" s="332" t="s">
        <v>4923</v>
      </c>
      <c r="Q535" s="332" t="s">
        <v>4924</v>
      </c>
      <c r="R535" s="332"/>
      <c r="S535" s="332"/>
      <c r="T535" s="332"/>
      <c r="U535" s="332"/>
      <c r="V535" s="332"/>
      <c r="W535" s="688" t="s">
        <v>6464</v>
      </c>
      <c r="X535" s="332" t="s">
        <v>4873</v>
      </c>
      <c r="AA535" s="337" t="s">
        <v>148</v>
      </c>
    </row>
    <row r="536" spans="1:27" s="18" customFormat="1" ht="11.25">
      <c r="A536" s="538"/>
      <c r="B536" s="262"/>
      <c r="C536" s="149"/>
      <c r="D536" s="88"/>
      <c r="E536" s="88" t="s">
        <v>30</v>
      </c>
      <c r="F536" s="88" t="s">
        <v>46</v>
      </c>
      <c r="G536" s="88" t="s">
        <v>30</v>
      </c>
      <c r="H536" s="254" t="s">
        <v>5784</v>
      </c>
      <c r="I536" s="252" t="s">
        <v>30</v>
      </c>
      <c r="J536" s="252" t="s">
        <v>5063</v>
      </c>
      <c r="K536" s="252" t="s">
        <v>5064</v>
      </c>
      <c r="L536" s="252" t="s">
        <v>4444</v>
      </c>
      <c r="M536" s="284"/>
      <c r="N536" s="252" t="s">
        <v>5069</v>
      </c>
      <c r="O536" s="252" t="s">
        <v>5070</v>
      </c>
      <c r="P536" s="252"/>
      <c r="Q536" s="252"/>
      <c r="R536" s="252"/>
      <c r="S536" s="252"/>
      <c r="T536" s="252"/>
      <c r="U536" s="252"/>
      <c r="V536" s="252"/>
      <c r="W536" s="254" t="s">
        <v>5785</v>
      </c>
      <c r="X536" s="88"/>
      <c r="AA536" s="149"/>
    </row>
    <row r="537" spans="1:27" s="18" customFormat="1" ht="11.25">
      <c r="A537" s="538"/>
      <c r="B537" s="262"/>
      <c r="C537" s="149"/>
      <c r="D537" s="88"/>
      <c r="E537" s="88" t="s">
        <v>33</v>
      </c>
      <c r="F537" s="88" t="s">
        <v>103</v>
      </c>
      <c r="G537" s="88" t="s">
        <v>1847</v>
      </c>
      <c r="H537" s="254" t="s">
        <v>5068</v>
      </c>
      <c r="I537" s="252" t="s">
        <v>30</v>
      </c>
      <c r="J537" s="252" t="s">
        <v>5063</v>
      </c>
      <c r="K537" s="252" t="s">
        <v>5064</v>
      </c>
      <c r="L537" s="252" t="s">
        <v>4444</v>
      </c>
      <c r="M537" s="284"/>
      <c r="N537" s="252" t="s">
        <v>5069</v>
      </c>
      <c r="O537" s="252" t="s">
        <v>5070</v>
      </c>
      <c r="P537" s="252"/>
      <c r="Q537" s="252"/>
      <c r="R537" s="252"/>
      <c r="S537" s="252"/>
      <c r="T537" s="252"/>
      <c r="U537" s="252"/>
      <c r="V537" s="252"/>
      <c r="W537" s="254" t="s">
        <v>5786</v>
      </c>
      <c r="X537" s="88"/>
      <c r="AA537" s="149"/>
    </row>
    <row r="538" spans="1:27" s="18" customFormat="1" ht="11.25">
      <c r="A538" s="538"/>
      <c r="B538" s="262"/>
      <c r="C538" s="149"/>
      <c r="D538" s="88"/>
      <c r="E538" s="88" t="s">
        <v>36</v>
      </c>
      <c r="F538" s="88" t="s">
        <v>1989</v>
      </c>
      <c r="G538" s="88" t="s">
        <v>1923</v>
      </c>
      <c r="H538" s="254" t="s">
        <v>5072</v>
      </c>
      <c r="I538" s="252" t="s">
        <v>30</v>
      </c>
      <c r="J538" s="252" t="s">
        <v>5063</v>
      </c>
      <c r="K538" s="252" t="s">
        <v>5064</v>
      </c>
      <c r="L538" s="252" t="s">
        <v>4444</v>
      </c>
      <c r="M538" s="284"/>
      <c r="N538" s="252" t="s">
        <v>5069</v>
      </c>
      <c r="O538" s="252" t="s">
        <v>5070</v>
      </c>
      <c r="P538" s="252"/>
      <c r="Q538" s="252"/>
      <c r="R538" s="252"/>
      <c r="S538" s="252"/>
      <c r="T538" s="252"/>
      <c r="U538" s="252"/>
      <c r="V538" s="252"/>
      <c r="W538" s="254" t="s">
        <v>5787</v>
      </c>
      <c r="X538" s="88"/>
      <c r="AA538" s="149"/>
    </row>
    <row r="539" spans="1:27" s="18" customFormat="1" ht="11.25">
      <c r="A539" s="538"/>
      <c r="B539" s="262"/>
      <c r="C539" s="149"/>
      <c r="D539" s="88"/>
      <c r="E539" s="88" t="s">
        <v>38</v>
      </c>
      <c r="F539" s="88" t="s">
        <v>2021</v>
      </c>
      <c r="G539" s="88" t="s">
        <v>1993</v>
      </c>
      <c r="H539" s="254" t="s">
        <v>5073</v>
      </c>
      <c r="I539" s="252" t="s">
        <v>30</v>
      </c>
      <c r="J539" s="252" t="s">
        <v>5063</v>
      </c>
      <c r="K539" s="252" t="s">
        <v>5064</v>
      </c>
      <c r="L539" s="252" t="s">
        <v>4444</v>
      </c>
      <c r="M539" s="284"/>
      <c r="N539" s="252" t="s">
        <v>5069</v>
      </c>
      <c r="O539" s="252" t="s">
        <v>5070</v>
      </c>
      <c r="P539" s="252"/>
      <c r="Q539" s="252"/>
      <c r="R539" s="252"/>
      <c r="S539" s="252"/>
      <c r="T539" s="252"/>
      <c r="U539" s="252"/>
      <c r="V539" s="252"/>
      <c r="W539" s="254" t="s">
        <v>5788</v>
      </c>
      <c r="X539" s="88"/>
      <c r="AA539" s="149"/>
    </row>
    <row r="540" spans="1:27" s="18" customFormat="1" ht="11.25">
      <c r="A540" s="538"/>
      <c r="B540" s="262"/>
      <c r="C540" s="149"/>
      <c r="D540" s="88"/>
      <c r="E540" s="88" t="s">
        <v>5469</v>
      </c>
      <c r="F540" s="88" t="s">
        <v>5470</v>
      </c>
      <c r="G540" s="88" t="s">
        <v>5394</v>
      </c>
      <c r="H540" s="254" t="s">
        <v>5074</v>
      </c>
      <c r="I540" s="252" t="s">
        <v>5075</v>
      </c>
      <c r="J540" s="252" t="s">
        <v>3329</v>
      </c>
      <c r="K540" s="252" t="s">
        <v>5076</v>
      </c>
      <c r="L540" s="252" t="s">
        <v>5020</v>
      </c>
      <c r="M540" s="149"/>
      <c r="N540" s="88" t="s">
        <v>33</v>
      </c>
      <c r="O540" s="88" t="s">
        <v>5075</v>
      </c>
      <c r="P540" s="149"/>
      <c r="Q540" s="252"/>
      <c r="R540" s="149"/>
      <c r="S540" s="149"/>
      <c r="T540" s="149"/>
      <c r="U540" s="149"/>
      <c r="V540" s="149"/>
      <c r="W540" s="254" t="s">
        <v>5789</v>
      </c>
      <c r="X540" s="88"/>
      <c r="AA540" s="149"/>
    </row>
    <row r="541" spans="1:27" s="18" customFormat="1" ht="11.25">
      <c r="A541" s="538"/>
      <c r="B541" s="262"/>
      <c r="C541" s="149"/>
      <c r="D541" s="88"/>
      <c r="E541" s="88" t="s">
        <v>5400</v>
      </c>
      <c r="F541" s="88" t="s">
        <v>5401</v>
      </c>
      <c r="G541" s="88" t="s">
        <v>5402</v>
      </c>
      <c r="H541" s="254" t="s">
        <v>5078</v>
      </c>
      <c r="I541" s="252" t="s">
        <v>5075</v>
      </c>
      <c r="J541" s="252" t="s">
        <v>3329</v>
      </c>
      <c r="K541" s="252" t="s">
        <v>5076</v>
      </c>
      <c r="L541" s="252" t="s">
        <v>5020</v>
      </c>
      <c r="M541" s="149"/>
      <c r="N541" s="88" t="s">
        <v>33</v>
      </c>
      <c r="O541" s="88" t="s">
        <v>5075</v>
      </c>
      <c r="P541" s="149"/>
      <c r="Q541" s="252"/>
      <c r="R541" s="149"/>
      <c r="S541" s="149"/>
      <c r="T541" s="149"/>
      <c r="U541" s="149"/>
      <c r="V541" s="149"/>
      <c r="W541" s="254" t="s">
        <v>5790</v>
      </c>
      <c r="X541" s="88"/>
      <c r="AA541" s="149"/>
    </row>
    <row r="542" spans="1:27" s="18" customFormat="1" ht="11.25">
      <c r="A542" s="538"/>
      <c r="B542" s="262"/>
      <c r="C542" s="149"/>
      <c r="D542" s="88"/>
      <c r="E542" s="88" t="s">
        <v>5405</v>
      </c>
      <c r="F542" s="88" t="s">
        <v>5406</v>
      </c>
      <c r="G542" s="88" t="s">
        <v>5439</v>
      </c>
      <c r="H542" s="254" t="s">
        <v>5082</v>
      </c>
      <c r="I542" s="252" t="s">
        <v>5075</v>
      </c>
      <c r="J542" s="252" t="s">
        <v>3329</v>
      </c>
      <c r="K542" s="252" t="s">
        <v>5076</v>
      </c>
      <c r="L542" s="252" t="s">
        <v>5020</v>
      </c>
      <c r="M542" s="149"/>
      <c r="N542" s="88" t="s">
        <v>33</v>
      </c>
      <c r="O542" s="88" t="s">
        <v>5075</v>
      </c>
      <c r="P542" s="149"/>
      <c r="Q542" s="252"/>
      <c r="R542" s="149"/>
      <c r="S542" s="149"/>
      <c r="T542" s="149"/>
      <c r="U542" s="149"/>
      <c r="V542" s="149"/>
      <c r="W542" s="254" t="s">
        <v>5791</v>
      </c>
      <c r="X542" s="88"/>
      <c r="AA542" s="149"/>
    </row>
    <row r="543" spans="1:27" s="18" customFormat="1" ht="11.25">
      <c r="A543" s="538"/>
      <c r="B543" s="262"/>
      <c r="C543" s="149"/>
      <c r="D543" s="88"/>
      <c r="E543" s="88" t="s">
        <v>5346</v>
      </c>
      <c r="F543" s="88" t="s">
        <v>5347</v>
      </c>
      <c r="G543" s="88" t="s">
        <v>5348</v>
      </c>
      <c r="H543" s="254" t="s">
        <v>5083</v>
      </c>
      <c r="I543" s="252" t="s">
        <v>5075</v>
      </c>
      <c r="J543" s="252" t="s">
        <v>3329</v>
      </c>
      <c r="K543" s="252" t="s">
        <v>5076</v>
      </c>
      <c r="L543" s="252" t="s">
        <v>5020</v>
      </c>
      <c r="M543" s="149"/>
      <c r="N543" s="88" t="s">
        <v>33</v>
      </c>
      <c r="O543" s="88" t="s">
        <v>5075</v>
      </c>
      <c r="P543" s="149"/>
      <c r="Q543" s="252"/>
      <c r="R543" s="149"/>
      <c r="S543" s="149"/>
      <c r="T543" s="149"/>
      <c r="U543" s="149"/>
      <c r="V543" s="149"/>
      <c r="W543" s="254" t="s">
        <v>5792</v>
      </c>
      <c r="X543" s="88"/>
      <c r="AA543" s="149"/>
    </row>
    <row r="544" spans="1:27" s="18" customFormat="1" ht="11.25">
      <c r="A544" s="538"/>
      <c r="B544" s="262"/>
      <c r="C544" s="149"/>
      <c r="D544" s="88"/>
      <c r="E544" s="88" t="s">
        <v>5351</v>
      </c>
      <c r="F544" s="88" t="s">
        <v>5352</v>
      </c>
      <c r="G544" s="88" t="s">
        <v>5353</v>
      </c>
      <c r="H544" s="254" t="s">
        <v>5089</v>
      </c>
      <c r="I544" s="252" t="s">
        <v>30</v>
      </c>
      <c r="J544" s="252" t="s">
        <v>5090</v>
      </c>
      <c r="K544" s="252" t="s">
        <v>5064</v>
      </c>
      <c r="L544" s="252" t="s">
        <v>4444</v>
      </c>
      <c r="M544" s="149"/>
      <c r="N544" s="88" t="s">
        <v>5069</v>
      </c>
      <c r="O544" s="88" t="s">
        <v>5070</v>
      </c>
      <c r="P544" s="149"/>
      <c r="Q544" s="252"/>
      <c r="R544" s="149"/>
      <c r="S544" s="149"/>
      <c r="T544" s="149"/>
      <c r="U544" s="149"/>
      <c r="V544" s="149"/>
      <c r="W544" s="254" t="s">
        <v>5793</v>
      </c>
      <c r="X544" s="88"/>
      <c r="AA544" s="149"/>
    </row>
    <row r="545" spans="1:27" s="18" customFormat="1" ht="11.25">
      <c r="A545" s="538"/>
      <c r="B545" s="262"/>
      <c r="C545" s="149"/>
      <c r="D545" s="88"/>
      <c r="E545" s="88" t="s">
        <v>5357</v>
      </c>
      <c r="F545" s="88" t="s">
        <v>5358</v>
      </c>
      <c r="G545" s="88" t="s">
        <v>5359</v>
      </c>
      <c r="H545" s="254" t="s">
        <v>5092</v>
      </c>
      <c r="I545" s="252" t="s">
        <v>30</v>
      </c>
      <c r="J545" s="252" t="s">
        <v>5090</v>
      </c>
      <c r="K545" s="252" t="s">
        <v>5064</v>
      </c>
      <c r="L545" s="252" t="s">
        <v>4444</v>
      </c>
      <c r="M545" s="149"/>
      <c r="N545" s="88" t="s">
        <v>5069</v>
      </c>
      <c r="O545" s="88" t="s">
        <v>5070</v>
      </c>
      <c r="P545" s="149"/>
      <c r="Q545" s="252"/>
      <c r="R545" s="149"/>
      <c r="S545" s="149"/>
      <c r="T545" s="149"/>
      <c r="U545" s="149"/>
      <c r="V545" s="149"/>
      <c r="W545" s="254" t="s">
        <v>5794</v>
      </c>
      <c r="X545" s="88"/>
      <c r="AA545" s="149"/>
    </row>
    <row r="546" spans="1:27" s="18" customFormat="1" ht="11.25">
      <c r="A546" s="538"/>
      <c r="B546" s="262"/>
      <c r="C546" s="149"/>
      <c r="D546" s="88"/>
      <c r="E546" s="88" t="s">
        <v>5363</v>
      </c>
      <c r="F546" s="88" t="s">
        <v>5364</v>
      </c>
      <c r="G546" s="88" t="s">
        <v>5449</v>
      </c>
      <c r="H546" s="254" t="s">
        <v>5093</v>
      </c>
      <c r="I546" s="252" t="s">
        <v>30</v>
      </c>
      <c r="J546" s="252" t="s">
        <v>5090</v>
      </c>
      <c r="K546" s="252" t="s">
        <v>5064</v>
      </c>
      <c r="L546" s="252" t="s">
        <v>4444</v>
      </c>
      <c r="M546" s="149"/>
      <c r="N546" s="88" t="s">
        <v>5069</v>
      </c>
      <c r="O546" s="88" t="s">
        <v>5070</v>
      </c>
      <c r="P546" s="149"/>
      <c r="Q546" s="252"/>
      <c r="R546" s="149"/>
      <c r="S546" s="149"/>
      <c r="T546" s="149"/>
      <c r="U546" s="149"/>
      <c r="V546" s="149"/>
      <c r="W546" s="254" t="s">
        <v>5795</v>
      </c>
      <c r="X546" s="88"/>
      <c r="AA546" s="149"/>
    </row>
    <row r="547" spans="1:27" s="18" customFormat="1" ht="11.25">
      <c r="A547" s="538"/>
      <c r="B547" s="262"/>
      <c r="C547" s="149"/>
      <c r="D547" s="88"/>
      <c r="E547" s="88" t="s">
        <v>5452</v>
      </c>
      <c r="F547" s="88" t="s">
        <v>5453</v>
      </c>
      <c r="G547" s="88" t="s">
        <v>5411</v>
      </c>
      <c r="H547" s="254" t="s">
        <v>5094</v>
      </c>
      <c r="I547" s="252" t="s">
        <v>30</v>
      </c>
      <c r="J547" s="252" t="s">
        <v>5090</v>
      </c>
      <c r="K547" s="252" t="s">
        <v>5064</v>
      </c>
      <c r="L547" s="252" t="s">
        <v>4444</v>
      </c>
      <c r="M547" s="149"/>
      <c r="N547" s="88" t="s">
        <v>5069</v>
      </c>
      <c r="O547" s="88" t="s">
        <v>5070</v>
      </c>
      <c r="P547" s="149"/>
      <c r="Q547" s="252"/>
      <c r="R547" s="149"/>
      <c r="S547" s="149"/>
      <c r="T547" s="149"/>
      <c r="U547" s="149"/>
      <c r="V547" s="149"/>
      <c r="W547" s="254" t="s">
        <v>5796</v>
      </c>
      <c r="X547" s="88"/>
      <c r="AA547" s="149"/>
    </row>
    <row r="548" spans="1:27" s="18" customFormat="1" ht="45">
      <c r="A548" s="538"/>
      <c r="B548" s="262"/>
      <c r="C548" s="149"/>
      <c r="D548" s="88"/>
      <c r="E548" s="88" t="s">
        <v>4955</v>
      </c>
      <c r="F548" s="88" t="s">
        <v>5797</v>
      </c>
      <c r="G548" s="88" t="s">
        <v>5275</v>
      </c>
      <c r="H548" s="254" t="s">
        <v>5798</v>
      </c>
      <c r="I548" s="252" t="s">
        <v>94</v>
      </c>
      <c r="J548" s="252" t="s">
        <v>141</v>
      </c>
      <c r="K548" s="252"/>
      <c r="L548" s="252" t="s">
        <v>4444</v>
      </c>
      <c r="M548" s="284" t="s">
        <v>5799</v>
      </c>
      <c r="N548" s="88" t="s">
        <v>4467</v>
      </c>
      <c r="O548" s="88" t="s">
        <v>94</v>
      </c>
      <c r="P548" s="149"/>
      <c r="Q548" s="252"/>
      <c r="R548" s="149"/>
      <c r="S548" s="149"/>
      <c r="T548" s="149"/>
      <c r="U548" s="149"/>
      <c r="V548" s="149"/>
      <c r="W548" s="254" t="s">
        <v>5800</v>
      </c>
      <c r="X548" s="88"/>
      <c r="AA548" s="149"/>
    </row>
    <row r="549" spans="1:27" s="18" customFormat="1" ht="12">
      <c r="A549" s="734">
        <f>A535+1</f>
        <v>112</v>
      </c>
      <c r="B549" s="333" t="s">
        <v>5764</v>
      </c>
      <c r="C549" s="702" t="s">
        <v>5802</v>
      </c>
      <c r="D549" s="688">
        <v>3</v>
      </c>
      <c r="E549" s="688"/>
      <c r="F549" s="688"/>
      <c r="G549" s="688"/>
      <c r="H549" s="703"/>
      <c r="I549" s="688"/>
      <c r="J549" s="688"/>
      <c r="K549" s="688"/>
      <c r="L549" s="688"/>
      <c r="M549" s="688"/>
      <c r="N549" s="688"/>
      <c r="O549" s="688"/>
      <c r="P549" s="688" t="s">
        <v>4923</v>
      </c>
      <c r="Q549" s="332" t="s">
        <v>4924</v>
      </c>
      <c r="R549" s="688"/>
      <c r="S549" s="688"/>
      <c r="T549" s="688"/>
      <c r="U549" s="688"/>
      <c r="V549" s="688"/>
      <c r="W549" s="688" t="s">
        <v>6464</v>
      </c>
      <c r="X549" s="332" t="s">
        <v>4873</v>
      </c>
      <c r="AA549" s="337" t="s">
        <v>148</v>
      </c>
    </row>
    <row r="550" spans="1:27" s="18" customFormat="1" ht="11.25">
      <c r="A550" s="538"/>
      <c r="B550" s="262"/>
      <c r="C550" s="668"/>
      <c r="D550" s="539"/>
      <c r="E550" s="539">
        <v>0</v>
      </c>
      <c r="F550" s="539">
        <v>7</v>
      </c>
      <c r="G550" s="539">
        <v>0</v>
      </c>
      <c r="H550" s="669" t="s">
        <v>5803</v>
      </c>
      <c r="I550" s="539">
        <v>0</v>
      </c>
      <c r="J550" s="539">
        <v>100.07599999999999</v>
      </c>
      <c r="K550" s="539" t="s">
        <v>4514</v>
      </c>
      <c r="L550" s="539" t="s">
        <v>4444</v>
      </c>
      <c r="M550" s="539"/>
      <c r="N550" s="539">
        <v>0.39400000000000002</v>
      </c>
      <c r="O550" s="539">
        <v>0</v>
      </c>
      <c r="P550" s="539"/>
      <c r="Q550" s="539"/>
      <c r="R550" s="539"/>
      <c r="S550" s="539"/>
      <c r="T550" s="539"/>
      <c r="U550" s="539"/>
      <c r="V550" s="539"/>
      <c r="W550" s="669" t="s">
        <v>5804</v>
      </c>
      <c r="X550" s="669"/>
      <c r="AA550" s="149"/>
    </row>
    <row r="551" spans="1:27" s="18" customFormat="1" ht="11.25">
      <c r="A551" s="538"/>
      <c r="B551" s="262"/>
      <c r="C551" s="668"/>
      <c r="D551" s="539"/>
      <c r="E551" s="539">
        <v>1</v>
      </c>
      <c r="F551" s="539">
        <v>15</v>
      </c>
      <c r="G551" s="539">
        <v>16</v>
      </c>
      <c r="H551" s="669" t="s">
        <v>5805</v>
      </c>
      <c r="I551" s="539">
        <v>0</v>
      </c>
      <c r="J551" s="539">
        <v>100</v>
      </c>
      <c r="K551" s="539" t="s">
        <v>4514</v>
      </c>
      <c r="L551" s="539" t="s">
        <v>4444</v>
      </c>
      <c r="M551" s="539"/>
      <c r="N551" s="539">
        <v>0.4</v>
      </c>
      <c r="O551" s="539">
        <v>0</v>
      </c>
      <c r="P551" s="539"/>
      <c r="Q551" s="539"/>
      <c r="R551" s="539"/>
      <c r="S551" s="539"/>
      <c r="T551" s="539"/>
      <c r="U551" s="539"/>
      <c r="V551" s="539"/>
      <c r="W551" s="669" t="s">
        <v>5806</v>
      </c>
      <c r="X551" s="669"/>
      <c r="AA551" s="149"/>
    </row>
    <row r="552" spans="1:27" s="18" customFormat="1" ht="12">
      <c r="A552" s="734">
        <f>A549+1</f>
        <v>113</v>
      </c>
      <c r="B552" s="333" t="s">
        <v>5782</v>
      </c>
      <c r="C552" s="702" t="s">
        <v>5808</v>
      </c>
      <c r="D552" s="688">
        <v>11</v>
      </c>
      <c r="E552" s="688"/>
      <c r="F552" s="688"/>
      <c r="G552" s="688"/>
      <c r="H552" s="703"/>
      <c r="I552" s="688"/>
      <c r="J552" s="688"/>
      <c r="K552" s="688"/>
      <c r="L552" s="688"/>
      <c r="M552" s="688"/>
      <c r="N552" s="688"/>
      <c r="O552" s="688"/>
      <c r="P552" s="688" t="s">
        <v>4923</v>
      </c>
      <c r="Q552" s="332" t="s">
        <v>4924</v>
      </c>
      <c r="R552" s="688"/>
      <c r="S552" s="688"/>
      <c r="T552" s="688"/>
      <c r="U552" s="688"/>
      <c r="V552" s="688"/>
      <c r="W552" s="688" t="s">
        <v>6464</v>
      </c>
      <c r="X552" s="332" t="s">
        <v>4873</v>
      </c>
      <c r="AA552" s="337" t="s">
        <v>148</v>
      </c>
    </row>
    <row r="553" spans="1:27" s="18" customFormat="1" ht="112.5">
      <c r="A553" s="538"/>
      <c r="B553" s="670"/>
      <c r="C553" s="668"/>
      <c r="D553" s="539"/>
      <c r="E553" s="539">
        <v>0</v>
      </c>
      <c r="F553" s="539">
        <v>7</v>
      </c>
      <c r="G553" s="539">
        <v>0</v>
      </c>
      <c r="H553" s="668" t="s">
        <v>5809</v>
      </c>
      <c r="I553" s="668"/>
      <c r="J553" s="668"/>
      <c r="K553" s="668"/>
      <c r="L553" s="668" t="s">
        <v>4444</v>
      </c>
      <c r="M553" s="540" t="s">
        <v>5810</v>
      </c>
      <c r="N553" s="668">
        <v>1</v>
      </c>
      <c r="O553" s="668">
        <v>0</v>
      </c>
      <c r="P553" s="668"/>
      <c r="Q553" s="668"/>
      <c r="R553" s="668"/>
      <c r="S553" s="668"/>
      <c r="T553" s="668"/>
      <c r="U553" s="668"/>
      <c r="V553" s="668"/>
      <c r="W553" s="668" t="s">
        <v>5811</v>
      </c>
      <c r="X553" s="668"/>
      <c r="AA553" s="149"/>
    </row>
    <row r="554" spans="1:27" s="18" customFormat="1" ht="11.25">
      <c r="A554" s="538"/>
      <c r="B554" s="262"/>
      <c r="C554" s="668"/>
      <c r="D554" s="539"/>
      <c r="E554" s="539">
        <v>1</v>
      </c>
      <c r="F554" s="539">
        <v>15</v>
      </c>
      <c r="G554" s="539">
        <v>16</v>
      </c>
      <c r="H554" s="669" t="s">
        <v>5812</v>
      </c>
      <c r="I554" s="539">
        <v>-530</v>
      </c>
      <c r="J554" s="539">
        <v>530</v>
      </c>
      <c r="K554" s="539" t="s">
        <v>5813</v>
      </c>
      <c r="L554" s="539" t="s">
        <v>4444</v>
      </c>
      <c r="M554" s="539"/>
      <c r="N554" s="539">
        <v>1</v>
      </c>
      <c r="O554" s="539">
        <v>-530</v>
      </c>
      <c r="P554" s="539"/>
      <c r="Q554" s="539"/>
      <c r="R554" s="539"/>
      <c r="S554" s="539"/>
      <c r="T554" s="539"/>
      <c r="U554" s="539"/>
      <c r="V554" s="539"/>
      <c r="W554" s="669" t="s">
        <v>5814</v>
      </c>
      <c r="X554" s="669"/>
      <c r="AA554" s="149"/>
    </row>
    <row r="555" spans="1:27" s="18" customFormat="1" ht="11.25">
      <c r="A555" s="538"/>
      <c r="B555" s="262"/>
      <c r="C555" s="250"/>
      <c r="D555" s="539"/>
      <c r="E555" s="539">
        <v>3</v>
      </c>
      <c r="F555" s="539">
        <v>31</v>
      </c>
      <c r="G555" s="539">
        <v>32</v>
      </c>
      <c r="H555" s="671" t="s">
        <v>5815</v>
      </c>
      <c r="I555" s="672">
        <v>-1023</v>
      </c>
      <c r="J555" s="672">
        <v>1024</v>
      </c>
      <c r="K555" s="672" t="s">
        <v>5813</v>
      </c>
      <c r="L555" s="672" t="s">
        <v>4444</v>
      </c>
      <c r="M555" s="672"/>
      <c r="N555" s="672">
        <v>1</v>
      </c>
      <c r="O555" s="672">
        <v>-1023</v>
      </c>
      <c r="P555" s="672"/>
      <c r="Q555" s="673"/>
      <c r="R555" s="672"/>
      <c r="S555" s="672"/>
      <c r="T555" s="540"/>
      <c r="U555" s="540"/>
      <c r="V555" s="540"/>
      <c r="W555" s="671" t="s">
        <v>5816</v>
      </c>
      <c r="X555" s="88"/>
      <c r="AA555" s="149"/>
    </row>
    <row r="556" spans="1:27" s="18" customFormat="1" ht="11.25">
      <c r="A556" s="538"/>
      <c r="B556" s="262"/>
      <c r="C556" s="250"/>
      <c r="D556" s="539"/>
      <c r="E556" s="539">
        <v>5</v>
      </c>
      <c r="F556" s="539">
        <v>47</v>
      </c>
      <c r="G556" s="539">
        <v>48</v>
      </c>
      <c r="H556" s="671" t="s">
        <v>5817</v>
      </c>
      <c r="I556" s="672">
        <v>-1023</v>
      </c>
      <c r="J556" s="672">
        <v>1024</v>
      </c>
      <c r="K556" s="672" t="s">
        <v>5813</v>
      </c>
      <c r="L556" s="672" t="s">
        <v>4444</v>
      </c>
      <c r="M556" s="672"/>
      <c r="N556" s="672">
        <v>1</v>
      </c>
      <c r="O556" s="672">
        <v>-1023</v>
      </c>
      <c r="P556" s="672"/>
      <c r="Q556" s="673"/>
      <c r="R556" s="672"/>
      <c r="S556" s="672"/>
      <c r="T556" s="540"/>
      <c r="U556" s="540"/>
      <c r="V556" s="540"/>
      <c r="W556" s="671" t="s">
        <v>5818</v>
      </c>
      <c r="X556" s="88"/>
      <c r="AA556" s="149"/>
    </row>
    <row r="557" spans="1:27" s="18" customFormat="1" ht="11.25">
      <c r="A557" s="538"/>
      <c r="B557" s="262"/>
      <c r="C557" s="250"/>
      <c r="D557" s="539"/>
      <c r="E557" s="539">
        <v>7</v>
      </c>
      <c r="F557" s="539">
        <v>63</v>
      </c>
      <c r="G557" s="539">
        <v>64</v>
      </c>
      <c r="H557" s="671" t="s">
        <v>5819</v>
      </c>
      <c r="I557" s="672">
        <v>-1023</v>
      </c>
      <c r="J557" s="672">
        <v>1024</v>
      </c>
      <c r="K557" s="672" t="s">
        <v>5813</v>
      </c>
      <c r="L557" s="672" t="s">
        <v>4444</v>
      </c>
      <c r="M557" s="672"/>
      <c r="N557" s="672">
        <v>1</v>
      </c>
      <c r="O557" s="672">
        <v>-1023</v>
      </c>
      <c r="P557" s="672"/>
      <c r="Q557" s="673"/>
      <c r="R557" s="672"/>
      <c r="S557" s="672"/>
      <c r="T557" s="540"/>
      <c r="U557" s="540"/>
      <c r="V557" s="540"/>
      <c r="W557" s="671" t="s">
        <v>5820</v>
      </c>
      <c r="X557" s="88"/>
      <c r="AA557" s="149"/>
    </row>
    <row r="558" spans="1:27" s="18" customFormat="1" ht="11.25">
      <c r="A558" s="538"/>
      <c r="B558" s="262"/>
      <c r="C558" s="250"/>
      <c r="D558" s="539"/>
      <c r="E558" s="539">
        <v>9</v>
      </c>
      <c r="F558" s="539">
        <v>79</v>
      </c>
      <c r="G558" s="539">
        <v>80</v>
      </c>
      <c r="H558" s="671" t="s">
        <v>5821</v>
      </c>
      <c r="I558" s="672">
        <v>-32767</v>
      </c>
      <c r="J558" s="672">
        <v>32766</v>
      </c>
      <c r="K558" s="672" t="s">
        <v>5822</v>
      </c>
      <c r="L558" s="672" t="s">
        <v>4444</v>
      </c>
      <c r="M558" s="672"/>
      <c r="N558" s="672">
        <v>1</v>
      </c>
      <c r="O558" s="672">
        <v>-32767</v>
      </c>
      <c r="P558" s="672"/>
      <c r="Q558" s="673"/>
      <c r="R558" s="672"/>
      <c r="S558" s="672"/>
      <c r="T558" s="540"/>
      <c r="U558" s="540"/>
      <c r="V558" s="540"/>
      <c r="W558" s="671" t="s">
        <v>5823</v>
      </c>
      <c r="X558" s="88"/>
      <c r="AA558" s="149"/>
    </row>
    <row r="559" spans="1:27" s="18" customFormat="1" ht="12">
      <c r="A559" s="734">
        <f>A552+1</f>
        <v>114</v>
      </c>
      <c r="B559" s="333" t="s">
        <v>5801</v>
      </c>
      <c r="C559" s="702" t="s">
        <v>5824</v>
      </c>
      <c r="D559" s="688">
        <v>3</v>
      </c>
      <c r="E559" s="688"/>
      <c r="F559" s="688"/>
      <c r="G559" s="688"/>
      <c r="H559" s="703"/>
      <c r="I559" s="688"/>
      <c r="J559" s="688"/>
      <c r="K559" s="688"/>
      <c r="L559" s="688"/>
      <c r="M559" s="688"/>
      <c r="N559" s="688"/>
      <c r="O559" s="688"/>
      <c r="P559" s="688" t="s">
        <v>4923</v>
      </c>
      <c r="Q559" s="332" t="s">
        <v>4924</v>
      </c>
      <c r="R559" s="688"/>
      <c r="S559" s="688"/>
      <c r="T559" s="688"/>
      <c r="U559" s="688"/>
      <c r="V559" s="688"/>
      <c r="W559" s="688" t="s">
        <v>6464</v>
      </c>
      <c r="X559" s="332" t="s">
        <v>4873</v>
      </c>
      <c r="AA559" s="337" t="s">
        <v>148</v>
      </c>
    </row>
    <row r="560" spans="1:27" s="18" customFormat="1" ht="22.5">
      <c r="A560" s="538"/>
      <c r="B560" s="668"/>
      <c r="C560" s="668"/>
      <c r="D560" s="539"/>
      <c r="E560" s="539">
        <v>0</v>
      </c>
      <c r="F560" s="539">
        <v>7</v>
      </c>
      <c r="G560" s="539">
        <v>0</v>
      </c>
      <c r="H560" s="668" t="s">
        <v>5825</v>
      </c>
      <c r="I560" s="668"/>
      <c r="J560" s="668"/>
      <c r="K560" s="668"/>
      <c r="L560" s="668" t="s">
        <v>4444</v>
      </c>
      <c r="M560" s="540" t="s">
        <v>5826</v>
      </c>
      <c r="N560" s="539">
        <v>1</v>
      </c>
      <c r="O560" s="539">
        <v>0</v>
      </c>
      <c r="P560" s="668"/>
      <c r="Q560" s="668"/>
      <c r="R560" s="668"/>
      <c r="S560" s="668"/>
      <c r="T560" s="668"/>
      <c r="U560" s="668"/>
      <c r="V560" s="668"/>
      <c r="W560" s="668" t="s">
        <v>5827</v>
      </c>
      <c r="X560" s="668"/>
      <c r="AA560" s="149"/>
    </row>
    <row r="561" spans="1:27" s="18" customFormat="1" ht="22.5">
      <c r="A561" s="538"/>
      <c r="B561" s="668"/>
      <c r="C561" s="668"/>
      <c r="D561" s="539"/>
      <c r="E561" s="539">
        <v>1</v>
      </c>
      <c r="F561" s="539">
        <v>15</v>
      </c>
      <c r="G561" s="539">
        <v>8</v>
      </c>
      <c r="H561" s="668" t="s">
        <v>5828</v>
      </c>
      <c r="I561" s="668"/>
      <c r="J561" s="668"/>
      <c r="K561" s="668"/>
      <c r="L561" s="668" t="s">
        <v>4444</v>
      </c>
      <c r="M561" s="540" t="s">
        <v>5826</v>
      </c>
      <c r="N561" s="539">
        <v>1</v>
      </c>
      <c r="O561" s="539">
        <v>0</v>
      </c>
      <c r="P561" s="668"/>
      <c r="Q561" s="668"/>
      <c r="R561" s="668"/>
      <c r="S561" s="668"/>
      <c r="T561" s="668"/>
      <c r="U561" s="668"/>
      <c r="V561" s="668"/>
      <c r="W561" s="668" t="s">
        <v>5829</v>
      </c>
      <c r="X561" s="668"/>
      <c r="AA561" s="149"/>
    </row>
    <row r="562" spans="1:27" s="18" customFormat="1" ht="22.5">
      <c r="A562" s="538"/>
      <c r="B562" s="668"/>
      <c r="C562" s="668"/>
      <c r="D562" s="539"/>
      <c r="E562" s="539">
        <v>2</v>
      </c>
      <c r="F562" s="539">
        <v>23</v>
      </c>
      <c r="G562" s="539">
        <v>16</v>
      </c>
      <c r="H562" s="668" t="s">
        <v>5830</v>
      </c>
      <c r="I562" s="668"/>
      <c r="J562" s="668"/>
      <c r="K562" s="668"/>
      <c r="L562" s="668" t="s">
        <v>4444</v>
      </c>
      <c r="M562" s="540" t="s">
        <v>5826</v>
      </c>
      <c r="N562" s="539">
        <v>1</v>
      </c>
      <c r="O562" s="539">
        <v>0</v>
      </c>
      <c r="P562" s="668"/>
      <c r="Q562" s="668"/>
      <c r="R562" s="668"/>
      <c r="S562" s="668"/>
      <c r="T562" s="668"/>
      <c r="U562" s="668"/>
      <c r="V562" s="668"/>
      <c r="W562" s="668" t="s">
        <v>5831</v>
      </c>
      <c r="X562" s="668"/>
      <c r="AA562" s="149"/>
    </row>
    <row r="563" spans="1:27" s="777" customFormat="1" ht="12">
      <c r="A563" s="786">
        <f>A552+1</f>
        <v>114</v>
      </c>
      <c r="B563" s="787" t="s">
        <v>5807</v>
      </c>
      <c r="C563" s="779" t="s">
        <v>6478</v>
      </c>
      <c r="D563" s="772" t="s">
        <v>4467</v>
      </c>
      <c r="E563" s="772"/>
      <c r="F563" s="772"/>
      <c r="G563" s="772"/>
      <c r="H563" s="780"/>
      <c r="I563" s="781"/>
      <c r="J563" s="781"/>
      <c r="K563" s="781"/>
      <c r="L563" s="781"/>
      <c r="M563" s="781"/>
      <c r="N563" s="781"/>
      <c r="O563" s="781"/>
      <c r="P563" s="781" t="s">
        <v>4932</v>
      </c>
      <c r="Q563" s="781" t="s">
        <v>4924</v>
      </c>
      <c r="R563" s="781"/>
      <c r="S563" s="781"/>
      <c r="T563" s="781" t="s">
        <v>478</v>
      </c>
      <c r="U563" s="781"/>
      <c r="V563" s="781" t="s">
        <v>479</v>
      </c>
      <c r="W563" s="772" t="s">
        <v>6486</v>
      </c>
      <c r="X563" s="781" t="s">
        <v>4873</v>
      </c>
      <c r="AA563" s="772" t="s">
        <v>148</v>
      </c>
    </row>
    <row r="564" spans="1:27" s="777" customFormat="1" ht="22.5">
      <c r="A564" s="786"/>
      <c r="B564" s="787"/>
      <c r="C564" s="779"/>
      <c r="D564" s="772"/>
      <c r="E564" s="772" t="s">
        <v>94</v>
      </c>
      <c r="F564" s="772" t="s">
        <v>94</v>
      </c>
      <c r="G564" s="772" t="s">
        <v>94</v>
      </c>
      <c r="H564" s="780" t="s">
        <v>6480</v>
      </c>
      <c r="I564" s="781" t="s">
        <v>94</v>
      </c>
      <c r="J564" s="781" t="s">
        <v>4467</v>
      </c>
      <c r="K564" s="781"/>
      <c r="L564" s="781" t="s">
        <v>4444</v>
      </c>
      <c r="M564" s="782" t="s">
        <v>6481</v>
      </c>
      <c r="N564" s="781" t="s">
        <v>4467</v>
      </c>
      <c r="O564" s="781" t="s">
        <v>94</v>
      </c>
      <c r="P564" s="781"/>
      <c r="Q564" s="781"/>
      <c r="R564" s="781"/>
      <c r="S564" s="781"/>
      <c r="T564" s="781"/>
      <c r="U564" s="781"/>
      <c r="V564" s="781"/>
      <c r="W564" s="780"/>
      <c r="X564" s="772"/>
      <c r="AA564" s="779"/>
    </row>
    <row r="565" spans="1:27" s="18" customFormat="1" ht="12">
      <c r="A565" s="734">
        <f>A563+1</f>
        <v>115</v>
      </c>
      <c r="B565" s="333" t="s">
        <v>4805</v>
      </c>
      <c r="C565" s="334" t="s">
        <v>4806</v>
      </c>
      <c r="D565" s="337" t="s">
        <v>2595</v>
      </c>
      <c r="E565" s="337"/>
      <c r="F565" s="337"/>
      <c r="G565" s="337"/>
      <c r="H565" s="335"/>
      <c r="I565" s="332"/>
      <c r="J565" s="332"/>
      <c r="K565" s="332"/>
      <c r="L565" s="332"/>
      <c r="M565" s="332"/>
      <c r="N565" s="332"/>
      <c r="O565" s="332"/>
      <c r="P565" s="332" t="s">
        <v>4923</v>
      </c>
      <c r="Q565" s="332" t="s">
        <v>4924</v>
      </c>
      <c r="R565" s="332"/>
      <c r="S565" s="332"/>
      <c r="T565" s="332"/>
      <c r="U565" s="332"/>
      <c r="V565" s="332"/>
      <c r="W565" s="332" t="s">
        <v>5832</v>
      </c>
      <c r="X565" s="337" t="s">
        <v>4925</v>
      </c>
      <c r="AA565" s="337" t="s">
        <v>148</v>
      </c>
    </row>
    <row r="566" spans="1:27" s="18" customFormat="1" ht="11.25">
      <c r="A566" s="735"/>
      <c r="B566" s="311"/>
      <c r="C566" s="312"/>
      <c r="D566" s="315"/>
      <c r="E566" s="315">
        <v>0</v>
      </c>
      <c r="F566" s="315">
        <v>7</v>
      </c>
      <c r="G566" s="315" t="s">
        <v>5108</v>
      </c>
      <c r="H566" s="314" t="s">
        <v>5833</v>
      </c>
      <c r="I566" s="312"/>
      <c r="J566" s="312"/>
      <c r="K566" s="313"/>
      <c r="L566" s="313" t="s">
        <v>161</v>
      </c>
      <c r="M566" s="313"/>
      <c r="N566" s="313" t="s">
        <v>4467</v>
      </c>
      <c r="O566" s="313" t="s">
        <v>94</v>
      </c>
      <c r="P566" s="313"/>
      <c r="Q566" s="36"/>
      <c r="R566" s="36"/>
      <c r="S566" s="36"/>
      <c r="T566" s="36"/>
      <c r="U566" s="36"/>
      <c r="V566" s="36"/>
      <c r="W566" s="36"/>
      <c r="X566" s="315"/>
      <c r="AA566" s="88"/>
    </row>
    <row r="567" spans="1:27" ht="15">
      <c r="A567" s="734">
        <f>A565+1</f>
        <v>116</v>
      </c>
      <c r="B567" s="333" t="s">
        <v>4809</v>
      </c>
      <c r="C567" s="334" t="s">
        <v>4810</v>
      </c>
      <c r="D567" s="337" t="s">
        <v>4467</v>
      </c>
      <c r="E567" s="537"/>
      <c r="F567" s="537"/>
      <c r="G567" s="537"/>
      <c r="H567" s="417"/>
      <c r="I567" s="418"/>
      <c r="J567" s="418"/>
      <c r="K567" s="416"/>
      <c r="L567" s="416"/>
      <c r="M567" s="416"/>
      <c r="N567" s="416"/>
      <c r="O567" s="416"/>
      <c r="P567" s="332" t="s">
        <v>4923</v>
      </c>
      <c r="Q567" s="332" t="s">
        <v>4924</v>
      </c>
      <c r="R567" s="416"/>
      <c r="S567" s="416"/>
      <c r="T567" s="416"/>
      <c r="U567" s="416"/>
      <c r="V567" s="416"/>
      <c r="W567" s="416"/>
      <c r="X567" s="337" t="s">
        <v>4811</v>
      </c>
      <c r="AA567" s="337" t="s">
        <v>148</v>
      </c>
    </row>
    <row r="568" spans="1:27" ht="15">
      <c r="A568" s="538"/>
      <c r="B568" s="262"/>
      <c r="C568" s="254"/>
      <c r="D568" s="88"/>
      <c r="E568" s="88" t="s">
        <v>30</v>
      </c>
      <c r="F568" s="88" t="s">
        <v>46</v>
      </c>
      <c r="G568" s="88" t="s">
        <v>94</v>
      </c>
      <c r="H568" s="415" t="s">
        <v>5834</v>
      </c>
      <c r="I568" s="252"/>
      <c r="J568" s="252"/>
      <c r="K568" s="252" t="s">
        <v>5835</v>
      </c>
      <c r="L568" s="252" t="s">
        <v>4444</v>
      </c>
      <c r="M568" s="357"/>
      <c r="N568" s="252" t="s">
        <v>33</v>
      </c>
      <c r="O568" s="252" t="s">
        <v>30</v>
      </c>
      <c r="P568" s="252"/>
      <c r="Q568" s="252"/>
      <c r="R568" s="252"/>
      <c r="S568" s="252"/>
      <c r="T568" s="252"/>
      <c r="U568" s="252"/>
      <c r="V568" s="252"/>
      <c r="W568" s="252"/>
      <c r="X568" s="88"/>
      <c r="Y568" s="18"/>
      <c r="Z568" s="18"/>
      <c r="AA568" s="88"/>
    </row>
    <row r="569" spans="1:27" ht="15">
      <c r="A569" s="734">
        <f>A567+1</f>
        <v>117</v>
      </c>
      <c r="B569" s="333" t="s">
        <v>4812</v>
      </c>
      <c r="C569" s="334" t="s">
        <v>4813</v>
      </c>
      <c r="D569" s="337" t="s">
        <v>4467</v>
      </c>
      <c r="E569" s="537"/>
      <c r="F569" s="537"/>
      <c r="G569" s="537"/>
      <c r="H569" s="417"/>
      <c r="I569" s="418"/>
      <c r="J569" s="418"/>
      <c r="K569" s="416"/>
      <c r="L569" s="416"/>
      <c r="M569" s="416"/>
      <c r="N569" s="416"/>
      <c r="O569" s="416"/>
      <c r="P569" s="332" t="s">
        <v>4932</v>
      </c>
      <c r="Q569" s="332" t="s">
        <v>4924</v>
      </c>
      <c r="R569" s="416"/>
      <c r="S569" s="416"/>
      <c r="T569" s="337" t="s">
        <v>478</v>
      </c>
      <c r="U569" s="416"/>
      <c r="V569" s="337" t="s">
        <v>479</v>
      </c>
      <c r="W569" s="416"/>
      <c r="X569" s="337" t="s">
        <v>4811</v>
      </c>
      <c r="AA569" s="337" t="s">
        <v>148</v>
      </c>
    </row>
    <row r="570" spans="1:27" ht="15">
      <c r="A570" s="934"/>
      <c r="B570" s="936"/>
      <c r="C570" s="926"/>
      <c r="D570" s="930"/>
      <c r="E570" s="930" t="s">
        <v>30</v>
      </c>
      <c r="F570" s="930" t="s">
        <v>46</v>
      </c>
      <c r="G570" s="930" t="s">
        <v>94</v>
      </c>
      <c r="H570" s="932" t="s">
        <v>4813</v>
      </c>
      <c r="I570" s="926"/>
      <c r="J570" s="926"/>
      <c r="K570" s="926"/>
      <c r="L570" s="926" t="s">
        <v>152</v>
      </c>
      <c r="M570" s="928" t="s">
        <v>5836</v>
      </c>
      <c r="N570" s="926" t="s">
        <v>33</v>
      </c>
      <c r="O570" s="926" t="s">
        <v>30</v>
      </c>
      <c r="P570" s="926"/>
      <c r="Q570" s="926"/>
      <c r="R570" s="926"/>
      <c r="S570" s="926"/>
      <c r="T570" s="926"/>
      <c r="U570" s="926"/>
      <c r="V570" s="926"/>
      <c r="W570" s="884"/>
      <c r="X570" s="879"/>
      <c r="Y570" s="18"/>
      <c r="Z570" s="18"/>
      <c r="AA570" s="879"/>
    </row>
    <row r="571" spans="1:27" ht="15">
      <c r="A571" s="935"/>
      <c r="B571" s="937"/>
      <c r="C571" s="927"/>
      <c r="D571" s="931"/>
      <c r="E571" s="931"/>
      <c r="F571" s="931"/>
      <c r="G571" s="931"/>
      <c r="H571" s="933"/>
      <c r="I571" s="927"/>
      <c r="J571" s="927"/>
      <c r="K571" s="927"/>
      <c r="L571" s="927"/>
      <c r="M571" s="929"/>
      <c r="N571" s="927"/>
      <c r="O571" s="927"/>
      <c r="P571" s="927"/>
      <c r="Q571" s="927"/>
      <c r="R571" s="927"/>
      <c r="S571" s="927"/>
      <c r="T571" s="927"/>
      <c r="U571" s="927"/>
      <c r="V571" s="927"/>
      <c r="W571" s="884"/>
      <c r="X571" s="879"/>
      <c r="Y571" s="18"/>
      <c r="Z571" s="18"/>
      <c r="AA571" s="879"/>
    </row>
    <row r="572" spans="1:27" ht="15">
      <c r="A572" s="734">
        <f>A569+1</f>
        <v>118</v>
      </c>
      <c r="B572" s="333" t="s">
        <v>4814</v>
      </c>
      <c r="C572" s="334" t="s">
        <v>4815</v>
      </c>
      <c r="D572" s="337" t="s">
        <v>4474</v>
      </c>
      <c r="E572" s="537"/>
      <c r="F572" s="537"/>
      <c r="G572" s="537"/>
      <c r="H572" s="417"/>
      <c r="I572" s="418"/>
      <c r="J572" s="418"/>
      <c r="K572" s="416"/>
      <c r="L572" s="416"/>
      <c r="M572" s="416"/>
      <c r="N572" s="416"/>
      <c r="O572" s="416"/>
      <c r="P572" s="332" t="s">
        <v>4923</v>
      </c>
      <c r="Q572" s="332" t="s">
        <v>4924</v>
      </c>
      <c r="R572" s="416"/>
      <c r="S572" s="416"/>
      <c r="T572" s="416"/>
      <c r="U572" s="416"/>
      <c r="V572" s="416"/>
      <c r="W572" s="416"/>
      <c r="X572" s="337" t="s">
        <v>4811</v>
      </c>
      <c r="AA572" s="337" t="s">
        <v>148</v>
      </c>
    </row>
    <row r="573" spans="1:27" ht="15">
      <c r="A573" s="538"/>
      <c r="B573" s="262"/>
      <c r="C573" s="254"/>
      <c r="D573" s="88"/>
      <c r="E573" s="88" t="s">
        <v>94</v>
      </c>
      <c r="F573" s="88" t="s">
        <v>4477</v>
      </c>
      <c r="G573" s="88" t="s">
        <v>4478</v>
      </c>
      <c r="H573" s="415" t="s">
        <v>4815</v>
      </c>
      <c r="I573" s="252" t="s">
        <v>94</v>
      </c>
      <c r="J573" s="252" t="s">
        <v>5837</v>
      </c>
      <c r="K573" s="252" t="s">
        <v>5838</v>
      </c>
      <c r="L573" s="252" t="s">
        <v>4444</v>
      </c>
      <c r="M573" s="357"/>
      <c r="N573" s="252" t="s">
        <v>33</v>
      </c>
      <c r="O573" s="252" t="s">
        <v>30</v>
      </c>
      <c r="P573" s="252"/>
      <c r="Q573" s="252"/>
      <c r="R573" s="252"/>
      <c r="S573" s="252"/>
      <c r="T573" s="252"/>
      <c r="U573" s="252"/>
      <c r="V573" s="252"/>
      <c r="W573" s="252"/>
      <c r="X573" s="88"/>
      <c r="Y573" s="18"/>
      <c r="Z573" s="18"/>
      <c r="AA573" s="88"/>
    </row>
    <row r="574" spans="1:27" ht="15">
      <c r="A574" s="734">
        <f>A572+1</f>
        <v>119</v>
      </c>
      <c r="B574" s="333" t="s">
        <v>4816</v>
      </c>
      <c r="C574" s="334" t="s">
        <v>4817</v>
      </c>
      <c r="D574" s="337" t="s">
        <v>4474</v>
      </c>
      <c r="E574" s="537"/>
      <c r="F574" s="537"/>
      <c r="G574" s="537"/>
      <c r="H574" s="417"/>
      <c r="I574" s="418"/>
      <c r="J574" s="418"/>
      <c r="K574" s="416"/>
      <c r="L574" s="416"/>
      <c r="M574" s="416"/>
      <c r="N574" s="416"/>
      <c r="O574" s="416"/>
      <c r="P574" s="332" t="s">
        <v>4923</v>
      </c>
      <c r="Q574" s="332" t="s">
        <v>4924</v>
      </c>
      <c r="R574" s="416"/>
      <c r="S574" s="416"/>
      <c r="T574" s="416"/>
      <c r="U574" s="416"/>
      <c r="V574" s="416"/>
      <c r="W574" s="416"/>
      <c r="X574" s="337" t="s">
        <v>4811</v>
      </c>
      <c r="AA574" s="337" t="s">
        <v>148</v>
      </c>
    </row>
    <row r="575" spans="1:27" ht="15">
      <c r="A575" s="538"/>
      <c r="B575" s="262"/>
      <c r="C575" s="254"/>
      <c r="D575" s="88"/>
      <c r="E575" s="88" t="s">
        <v>94</v>
      </c>
      <c r="F575" s="88" t="s">
        <v>4477</v>
      </c>
      <c r="G575" s="88" t="s">
        <v>4478</v>
      </c>
      <c r="H575" s="415" t="s">
        <v>4817</v>
      </c>
      <c r="I575" s="252" t="s">
        <v>94</v>
      </c>
      <c r="J575" s="252" t="s">
        <v>5837</v>
      </c>
      <c r="K575" s="252" t="s">
        <v>5835</v>
      </c>
      <c r="L575" s="252" t="s">
        <v>4444</v>
      </c>
      <c r="M575" s="357"/>
      <c r="N575" s="252" t="s">
        <v>33</v>
      </c>
      <c r="O575" s="252" t="s">
        <v>30</v>
      </c>
      <c r="P575" s="252"/>
      <c r="Q575" s="252"/>
      <c r="R575" s="252"/>
      <c r="S575" s="252"/>
      <c r="T575" s="252"/>
      <c r="U575" s="252"/>
      <c r="V575" s="252"/>
      <c r="W575" s="252"/>
      <c r="X575" s="88"/>
      <c r="Y575" s="18"/>
      <c r="Z575" s="18"/>
      <c r="AA575" s="88"/>
    </row>
    <row r="576" spans="1:27" ht="15">
      <c r="A576" s="734">
        <f>A574+1</f>
        <v>120</v>
      </c>
      <c r="B576" s="333" t="s">
        <v>4818</v>
      </c>
      <c r="C576" s="334" t="s">
        <v>4819</v>
      </c>
      <c r="D576" s="337" t="s">
        <v>4474</v>
      </c>
      <c r="E576" s="537"/>
      <c r="F576" s="537"/>
      <c r="G576" s="537"/>
      <c r="H576" s="417"/>
      <c r="I576" s="418"/>
      <c r="J576" s="418"/>
      <c r="K576" s="416"/>
      <c r="L576" s="416"/>
      <c r="M576" s="416"/>
      <c r="N576" s="416"/>
      <c r="O576" s="416"/>
      <c r="P576" s="332" t="s">
        <v>4923</v>
      </c>
      <c r="Q576" s="332" t="s">
        <v>4924</v>
      </c>
      <c r="R576" s="416"/>
      <c r="S576" s="416"/>
      <c r="T576" s="416"/>
      <c r="U576" s="416"/>
      <c r="V576" s="416"/>
      <c r="W576" s="416"/>
      <c r="X576" s="337" t="s">
        <v>4811</v>
      </c>
      <c r="AA576" s="337" t="s">
        <v>148</v>
      </c>
    </row>
    <row r="577" spans="1:27" ht="15">
      <c r="A577" s="538"/>
      <c r="B577" s="262"/>
      <c r="C577" s="254"/>
      <c r="D577" s="88"/>
      <c r="E577" s="88" t="s">
        <v>94</v>
      </c>
      <c r="F577" s="88" t="s">
        <v>4477</v>
      </c>
      <c r="G577" s="88" t="s">
        <v>4478</v>
      </c>
      <c r="H577" s="415" t="s">
        <v>4819</v>
      </c>
      <c r="I577" s="252" t="s">
        <v>94</v>
      </c>
      <c r="J577" s="252" t="s">
        <v>5837</v>
      </c>
      <c r="K577" s="252" t="s">
        <v>5835</v>
      </c>
      <c r="L577" s="252" t="s">
        <v>4444</v>
      </c>
      <c r="M577" s="357"/>
      <c r="N577" s="252" t="s">
        <v>33</v>
      </c>
      <c r="O577" s="252" t="s">
        <v>30</v>
      </c>
      <c r="P577" s="252"/>
      <c r="Q577" s="252"/>
      <c r="R577" s="252"/>
      <c r="S577" s="252"/>
      <c r="T577" s="252"/>
      <c r="U577" s="252"/>
      <c r="V577" s="252"/>
      <c r="W577" s="252"/>
      <c r="X577" s="88"/>
      <c r="Y577" s="18"/>
      <c r="Z577" s="18"/>
      <c r="AA577" s="88"/>
    </row>
    <row r="578" spans="1:27" ht="15">
      <c r="A578" s="734">
        <f>A576+1</f>
        <v>121</v>
      </c>
      <c r="B578" s="333" t="s">
        <v>4820</v>
      </c>
      <c r="C578" s="334" t="s">
        <v>4821</v>
      </c>
      <c r="D578" s="337" t="s">
        <v>4467</v>
      </c>
      <c r="E578" s="537"/>
      <c r="F578" s="537"/>
      <c r="G578" s="537"/>
      <c r="H578" s="417"/>
      <c r="I578" s="418"/>
      <c r="J578" s="418"/>
      <c r="K578" s="416"/>
      <c r="L578" s="416"/>
      <c r="M578" s="416"/>
      <c r="N578" s="416"/>
      <c r="O578" s="416"/>
      <c r="P578" s="332" t="s">
        <v>4923</v>
      </c>
      <c r="Q578" s="332" t="s">
        <v>4924</v>
      </c>
      <c r="R578" s="416"/>
      <c r="S578" s="416"/>
      <c r="T578" s="416"/>
      <c r="U578" s="416"/>
      <c r="V578" s="416"/>
      <c r="W578" s="416"/>
      <c r="X578" s="337" t="s">
        <v>4811</v>
      </c>
      <c r="AA578" s="337" t="s">
        <v>148</v>
      </c>
    </row>
    <row r="579" spans="1:27" ht="15">
      <c r="A579" s="538"/>
      <c r="B579" s="262"/>
      <c r="C579" s="254"/>
      <c r="D579" s="88"/>
      <c r="E579" s="88" t="s">
        <v>94</v>
      </c>
      <c r="F579" s="88" t="s">
        <v>4477</v>
      </c>
      <c r="G579" s="88" t="s">
        <v>94</v>
      </c>
      <c r="H579" s="415" t="s">
        <v>4821</v>
      </c>
      <c r="I579" s="252" t="s">
        <v>94</v>
      </c>
      <c r="J579" s="252" t="s">
        <v>80</v>
      </c>
      <c r="K579" s="252" t="s">
        <v>5839</v>
      </c>
      <c r="L579" s="252" t="s">
        <v>4444</v>
      </c>
      <c r="M579" s="357"/>
      <c r="N579" s="252" t="s">
        <v>5840</v>
      </c>
      <c r="O579" s="252" t="s">
        <v>30</v>
      </c>
      <c r="P579" s="252"/>
      <c r="Q579" s="252"/>
      <c r="R579" s="252"/>
      <c r="S579" s="252"/>
      <c r="T579" s="252"/>
      <c r="U579" s="252"/>
      <c r="V579" s="252"/>
      <c r="W579" s="252"/>
      <c r="X579" s="88"/>
      <c r="Y579" s="18"/>
      <c r="Z579" s="18"/>
      <c r="AA579" s="88"/>
    </row>
    <row r="580" spans="1:27" ht="15">
      <c r="A580" s="734">
        <f>A578+1</f>
        <v>122</v>
      </c>
      <c r="B580" s="333" t="s">
        <v>4822</v>
      </c>
      <c r="C580" s="334" t="s">
        <v>4823</v>
      </c>
      <c r="D580" s="337" t="s">
        <v>4467</v>
      </c>
      <c r="E580" s="537"/>
      <c r="F580" s="537"/>
      <c r="G580" s="537"/>
      <c r="H580" s="417"/>
      <c r="I580" s="418"/>
      <c r="J580" s="418"/>
      <c r="K580" s="416"/>
      <c r="L580" s="416"/>
      <c r="M580" s="416"/>
      <c r="N580" s="416"/>
      <c r="O580" s="416"/>
      <c r="P580" s="332" t="s">
        <v>4923</v>
      </c>
      <c r="Q580" s="332" t="s">
        <v>4924</v>
      </c>
      <c r="R580" s="416"/>
      <c r="S580" s="416"/>
      <c r="T580" s="416"/>
      <c r="U580" s="416"/>
      <c r="V580" s="416"/>
      <c r="W580" s="416"/>
      <c r="X580" s="337" t="s">
        <v>4811</v>
      </c>
      <c r="AA580" s="337" t="s">
        <v>148</v>
      </c>
    </row>
    <row r="581" spans="1:27" ht="15">
      <c r="A581" s="538"/>
      <c r="B581" s="262"/>
      <c r="C581" s="254"/>
      <c r="D581" s="88"/>
      <c r="E581" s="88" t="s">
        <v>94</v>
      </c>
      <c r="F581" s="88" t="s">
        <v>4477</v>
      </c>
      <c r="G581" s="88" t="s">
        <v>94</v>
      </c>
      <c r="H581" s="415" t="s">
        <v>4823</v>
      </c>
      <c r="I581" s="252" t="s">
        <v>94</v>
      </c>
      <c r="J581" s="252" t="s">
        <v>80</v>
      </c>
      <c r="K581" s="252" t="s">
        <v>5839</v>
      </c>
      <c r="L581" s="252" t="s">
        <v>4444</v>
      </c>
      <c r="M581" s="357"/>
      <c r="N581" s="252" t="s">
        <v>5840</v>
      </c>
      <c r="O581" s="252" t="s">
        <v>30</v>
      </c>
      <c r="P581" s="252"/>
      <c r="Q581" s="252"/>
      <c r="R581" s="252"/>
      <c r="S581" s="252"/>
      <c r="T581" s="252"/>
      <c r="U581" s="252"/>
      <c r="V581" s="252"/>
      <c r="W581" s="252"/>
      <c r="X581" s="88"/>
      <c r="Y581" s="18"/>
      <c r="Z581" s="18"/>
      <c r="AA581" s="88"/>
    </row>
    <row r="582" spans="1:27" ht="15">
      <c r="A582" s="734">
        <f>A580+1</f>
        <v>123</v>
      </c>
      <c r="B582" s="333" t="s">
        <v>4824</v>
      </c>
      <c r="C582" s="334" t="s">
        <v>4825</v>
      </c>
      <c r="D582" s="337" t="s">
        <v>4501</v>
      </c>
      <c r="E582" s="337"/>
      <c r="F582" s="337"/>
      <c r="G582" s="337"/>
      <c r="H582" s="419"/>
      <c r="I582" s="332"/>
      <c r="J582" s="332"/>
      <c r="K582" s="332"/>
      <c r="L582" s="332"/>
      <c r="M582" s="332"/>
      <c r="N582" s="332"/>
      <c r="O582" s="332"/>
      <c r="P582" s="332" t="s">
        <v>4923</v>
      </c>
      <c r="Q582" s="332" t="s">
        <v>4924</v>
      </c>
      <c r="R582" s="332"/>
      <c r="S582" s="332"/>
      <c r="T582" s="332"/>
      <c r="U582" s="332"/>
      <c r="V582" s="332"/>
      <c r="W582" s="332"/>
      <c r="X582" s="337" t="s">
        <v>4811</v>
      </c>
      <c r="Y582" s="18"/>
      <c r="Z582" s="18"/>
      <c r="AA582" s="337" t="s">
        <v>148</v>
      </c>
    </row>
    <row r="583" spans="1:27" ht="15">
      <c r="A583" s="538"/>
      <c r="B583" s="262"/>
      <c r="C583" s="254"/>
      <c r="D583" s="88"/>
      <c r="E583" s="88" t="s">
        <v>30</v>
      </c>
      <c r="F583" s="88" t="s">
        <v>4477</v>
      </c>
      <c r="G583" s="88" t="s">
        <v>4494</v>
      </c>
      <c r="H583" s="247" t="s">
        <v>5842</v>
      </c>
      <c r="I583" s="252" t="s">
        <v>30</v>
      </c>
      <c r="J583" s="252" t="s">
        <v>5843</v>
      </c>
      <c r="K583" s="252" t="s">
        <v>5835</v>
      </c>
      <c r="L583" s="252" t="s">
        <v>4444</v>
      </c>
      <c r="M583" s="252"/>
      <c r="N583" s="252" t="s">
        <v>5841</v>
      </c>
      <c r="O583" s="252" t="s">
        <v>30</v>
      </c>
      <c r="P583" s="252"/>
      <c r="Q583" s="252"/>
      <c r="R583" s="252"/>
      <c r="S583" s="252"/>
      <c r="T583" s="252"/>
      <c r="U583" s="252"/>
      <c r="V583" s="252"/>
      <c r="W583" s="252"/>
      <c r="X583" s="88"/>
      <c r="Y583" s="18"/>
      <c r="Z583" s="18"/>
      <c r="AA583" s="88"/>
    </row>
    <row r="584" spans="1:27" ht="22.5">
      <c r="A584" s="734">
        <f>A582+1</f>
        <v>124</v>
      </c>
      <c r="B584" s="333" t="s">
        <v>4826</v>
      </c>
      <c r="C584" s="419" t="s">
        <v>4827</v>
      </c>
      <c r="D584" s="337" t="s">
        <v>4474</v>
      </c>
      <c r="E584" s="337"/>
      <c r="F584" s="337"/>
      <c r="G584" s="337"/>
      <c r="H584" s="419"/>
      <c r="I584" s="335"/>
      <c r="J584" s="335"/>
      <c r="K584" s="332"/>
      <c r="L584" s="332"/>
      <c r="M584" s="332"/>
      <c r="N584" s="332"/>
      <c r="O584" s="332"/>
      <c r="P584" s="332" t="s">
        <v>4923</v>
      </c>
      <c r="Q584" s="332" t="s">
        <v>4924</v>
      </c>
      <c r="R584" s="332"/>
      <c r="S584" s="332"/>
      <c r="T584" s="332"/>
      <c r="U584" s="332"/>
      <c r="V584" s="332"/>
      <c r="W584" s="332"/>
      <c r="X584" s="337" t="s">
        <v>4811</v>
      </c>
      <c r="Y584" s="18"/>
      <c r="Z584" s="18"/>
      <c r="AA584" s="337" t="s">
        <v>148</v>
      </c>
    </row>
    <row r="585" spans="1:27" ht="22.5">
      <c r="A585" s="538"/>
      <c r="B585" s="262"/>
      <c r="C585" s="149"/>
      <c r="D585" s="88"/>
      <c r="E585" s="88" t="s">
        <v>30</v>
      </c>
      <c r="F585" s="88" t="s">
        <v>4477</v>
      </c>
      <c r="G585" s="88" t="s">
        <v>4478</v>
      </c>
      <c r="H585" s="247" t="s">
        <v>5844</v>
      </c>
      <c r="I585" s="149" t="s">
        <v>94</v>
      </c>
      <c r="J585" s="149" t="s">
        <v>5837</v>
      </c>
      <c r="K585" s="252"/>
      <c r="L585" s="252" t="s">
        <v>152</v>
      </c>
      <c r="M585" s="415"/>
      <c r="N585" s="252" t="s">
        <v>4467</v>
      </c>
      <c r="O585" s="252" t="s">
        <v>94</v>
      </c>
      <c r="P585" s="252"/>
      <c r="Q585" s="252"/>
      <c r="R585" s="252"/>
      <c r="S585" s="252"/>
      <c r="T585" s="252"/>
      <c r="U585" s="252"/>
      <c r="V585" s="252"/>
      <c r="W585" s="252"/>
      <c r="X585" s="88"/>
      <c r="Y585" s="18"/>
      <c r="Z585" s="18"/>
      <c r="AA585" s="88"/>
    </row>
    <row r="586" spans="1:27" ht="15">
      <c r="A586" s="734">
        <f>A584+1</f>
        <v>125</v>
      </c>
      <c r="B586" s="333" t="s">
        <v>4828</v>
      </c>
      <c r="C586" s="334" t="s">
        <v>4829</v>
      </c>
      <c r="D586" s="337" t="s">
        <v>1934</v>
      </c>
      <c r="E586" s="337"/>
      <c r="F586" s="337"/>
      <c r="G586" s="337"/>
      <c r="H586" s="419"/>
      <c r="I586" s="334"/>
      <c r="J586" s="334"/>
      <c r="K586" s="332"/>
      <c r="L586" s="332"/>
      <c r="M586" s="332"/>
      <c r="N586" s="332"/>
      <c r="O586" s="332"/>
      <c r="P586" s="332" t="s">
        <v>4923</v>
      </c>
      <c r="Q586" s="336" t="s">
        <v>4924</v>
      </c>
      <c r="R586" s="336"/>
      <c r="S586" s="336"/>
      <c r="T586" s="336"/>
      <c r="U586" s="336"/>
      <c r="V586" s="336"/>
      <c r="W586" s="336"/>
      <c r="X586" s="337" t="s">
        <v>4811</v>
      </c>
      <c r="Y586" s="18"/>
      <c r="Z586" s="18"/>
      <c r="AA586" s="337" t="s">
        <v>148</v>
      </c>
    </row>
    <row r="587" spans="1:27" ht="15">
      <c r="A587" s="538"/>
      <c r="B587" s="262"/>
      <c r="C587" s="254"/>
      <c r="D587" s="88"/>
      <c r="E587" s="88" t="s">
        <v>94</v>
      </c>
      <c r="F587" s="88" t="s">
        <v>4477</v>
      </c>
      <c r="G587" s="88" t="s">
        <v>4933</v>
      </c>
      <c r="H587" s="247" t="s">
        <v>4829</v>
      </c>
      <c r="I587" s="252"/>
      <c r="J587" s="252"/>
      <c r="K587" s="252"/>
      <c r="L587" s="252" t="s">
        <v>161</v>
      </c>
      <c r="M587" s="252"/>
      <c r="N587" s="252" t="s">
        <v>4467</v>
      </c>
      <c r="O587" s="252" t="s">
        <v>94</v>
      </c>
      <c r="P587" s="252"/>
      <c r="Q587" s="252"/>
      <c r="R587" s="252"/>
      <c r="S587" s="252"/>
      <c r="T587" s="252"/>
      <c r="U587" s="252"/>
      <c r="V587" s="252"/>
      <c r="W587" s="252"/>
      <c r="X587" s="88"/>
      <c r="Y587" s="18"/>
      <c r="Z587" s="18"/>
      <c r="AA587" s="88"/>
    </row>
    <row r="588" spans="1:27" ht="15">
      <c r="A588" s="734">
        <f>A586+1</f>
        <v>126</v>
      </c>
      <c r="B588" s="333" t="s">
        <v>4830</v>
      </c>
      <c r="C588" s="334" t="s">
        <v>4831</v>
      </c>
      <c r="D588" s="337" t="s">
        <v>566</v>
      </c>
      <c r="E588" s="337"/>
      <c r="F588" s="337"/>
      <c r="G588" s="337"/>
      <c r="H588" s="419"/>
      <c r="I588" s="334"/>
      <c r="J588" s="334"/>
      <c r="K588" s="332"/>
      <c r="L588" s="332"/>
      <c r="M588" s="332"/>
      <c r="N588" s="332"/>
      <c r="O588" s="332"/>
      <c r="P588" s="332" t="s">
        <v>4923</v>
      </c>
      <c r="Q588" s="336" t="s">
        <v>4924</v>
      </c>
      <c r="R588" s="336"/>
      <c r="S588" s="336"/>
      <c r="T588" s="336"/>
      <c r="U588" s="336"/>
      <c r="V588" s="336"/>
      <c r="W588" s="336"/>
      <c r="X588" s="337" t="s">
        <v>4811</v>
      </c>
      <c r="Y588" s="18"/>
      <c r="Z588" s="18"/>
      <c r="AA588" s="337" t="s">
        <v>148</v>
      </c>
    </row>
    <row r="589" spans="1:27" ht="15">
      <c r="A589" s="538"/>
      <c r="B589" s="262"/>
      <c r="C589" s="254"/>
      <c r="D589" s="88"/>
      <c r="E589" s="88" t="s">
        <v>94</v>
      </c>
      <c r="F589" s="88" t="s">
        <v>4477</v>
      </c>
      <c r="G589" s="88" t="s">
        <v>4505</v>
      </c>
      <c r="H589" s="247" t="s">
        <v>4831</v>
      </c>
      <c r="I589" s="252"/>
      <c r="J589" s="252"/>
      <c r="K589" s="252"/>
      <c r="L589" s="252" t="s">
        <v>161</v>
      </c>
      <c r="M589" s="252"/>
      <c r="N589" s="252" t="s">
        <v>4467</v>
      </c>
      <c r="O589" s="252" t="s">
        <v>94</v>
      </c>
      <c r="P589" s="252"/>
      <c r="Q589" s="252"/>
      <c r="R589" s="252"/>
      <c r="S589" s="252"/>
      <c r="T589" s="252"/>
      <c r="U589" s="252"/>
      <c r="V589" s="252"/>
      <c r="W589" s="252"/>
      <c r="X589" s="88"/>
      <c r="Y589" s="18"/>
      <c r="Z589" s="18"/>
      <c r="AA589" s="88"/>
    </row>
    <row r="590" spans="1:27" ht="15">
      <c r="A590" s="734">
        <f>A588+1</f>
        <v>127</v>
      </c>
      <c r="B590" s="333" t="s">
        <v>4832</v>
      </c>
      <c r="C590" s="334" t="s">
        <v>4833</v>
      </c>
      <c r="D590" s="337" t="s">
        <v>2595</v>
      </c>
      <c r="E590" s="337"/>
      <c r="F590" s="337"/>
      <c r="G590" s="337"/>
      <c r="H590" s="419"/>
      <c r="I590" s="334"/>
      <c r="J590" s="334"/>
      <c r="K590" s="332"/>
      <c r="L590" s="332"/>
      <c r="M590" s="332"/>
      <c r="N590" s="332"/>
      <c r="O590" s="332"/>
      <c r="P590" s="332" t="s">
        <v>4923</v>
      </c>
      <c r="Q590" s="336" t="s">
        <v>4924</v>
      </c>
      <c r="R590" s="336"/>
      <c r="S590" s="336"/>
      <c r="T590" s="336"/>
      <c r="U590" s="336"/>
      <c r="V590" s="336"/>
      <c r="W590" s="336"/>
      <c r="X590" s="337" t="s">
        <v>4811</v>
      </c>
      <c r="Y590" s="18"/>
      <c r="Z590" s="18"/>
      <c r="AA590" s="337" t="s">
        <v>148</v>
      </c>
    </row>
    <row r="591" spans="1:27" ht="15">
      <c r="A591" s="538"/>
      <c r="B591" s="262"/>
      <c r="C591" s="254"/>
      <c r="D591" s="88"/>
      <c r="E591" s="88" t="s">
        <v>94</v>
      </c>
      <c r="F591" s="88" t="s">
        <v>4477</v>
      </c>
      <c r="G591" s="88" t="s">
        <v>5108</v>
      </c>
      <c r="H591" s="247" t="s">
        <v>4833</v>
      </c>
      <c r="I591" s="252"/>
      <c r="J591" s="252"/>
      <c r="K591" s="252"/>
      <c r="L591" s="252" t="s">
        <v>161</v>
      </c>
      <c r="M591" s="252"/>
      <c r="N591" s="252" t="s">
        <v>4467</v>
      </c>
      <c r="O591" s="252" t="s">
        <v>94</v>
      </c>
      <c r="P591" s="252"/>
      <c r="Q591" s="252"/>
      <c r="R591" s="252"/>
      <c r="S591" s="252"/>
      <c r="T591" s="252"/>
      <c r="U591" s="252"/>
      <c r="V591" s="252"/>
      <c r="W591" s="252"/>
      <c r="X591" s="88"/>
      <c r="Y591" s="18"/>
      <c r="Z591" s="18"/>
      <c r="AA591" s="88"/>
    </row>
    <row r="592" spans="1:27" ht="15">
      <c r="A592" s="734">
        <f>A590+1</f>
        <v>128</v>
      </c>
      <c r="B592" s="333" t="s">
        <v>4834</v>
      </c>
      <c r="C592" s="334" t="s">
        <v>4835</v>
      </c>
      <c r="D592" s="337" t="s">
        <v>4467</v>
      </c>
      <c r="E592" s="537"/>
      <c r="F592" s="537"/>
      <c r="G592" s="537"/>
      <c r="H592" s="417"/>
      <c r="I592" s="418"/>
      <c r="J592" s="418"/>
      <c r="K592" s="416"/>
      <c r="L592" s="416"/>
      <c r="M592" s="416"/>
      <c r="N592" s="416"/>
      <c r="O592" s="416"/>
      <c r="P592" s="332" t="s">
        <v>4923</v>
      </c>
      <c r="Q592" s="332" t="s">
        <v>4924</v>
      </c>
      <c r="R592" s="416"/>
      <c r="S592" s="416"/>
      <c r="T592" s="416"/>
      <c r="U592" s="416"/>
      <c r="V592" s="416"/>
      <c r="W592" s="416"/>
      <c r="X592" s="337" t="s">
        <v>4811</v>
      </c>
      <c r="AA592" s="337" t="s">
        <v>148</v>
      </c>
    </row>
    <row r="593" spans="1:27" ht="33.75">
      <c r="A593" s="538"/>
      <c r="B593" s="262"/>
      <c r="C593" s="254"/>
      <c r="D593" s="88"/>
      <c r="E593" s="88" t="s">
        <v>94</v>
      </c>
      <c r="F593" s="88" t="s">
        <v>4477</v>
      </c>
      <c r="G593" s="88" t="s">
        <v>94</v>
      </c>
      <c r="H593" s="415" t="s">
        <v>4835</v>
      </c>
      <c r="I593" s="252"/>
      <c r="J593" s="252"/>
      <c r="K593" s="252"/>
      <c r="L593" s="252" t="s">
        <v>152</v>
      </c>
      <c r="M593" s="359" t="s">
        <v>5845</v>
      </c>
      <c r="N593" s="252" t="s">
        <v>4467</v>
      </c>
      <c r="O593" s="252" t="s">
        <v>30</v>
      </c>
      <c r="P593" s="252"/>
      <c r="Q593" s="252"/>
      <c r="R593" s="252"/>
      <c r="S593" s="252"/>
      <c r="T593" s="252"/>
      <c r="U593" s="252"/>
      <c r="W593" s="252"/>
      <c r="X593" s="88"/>
      <c r="Y593" s="18"/>
      <c r="Z593" s="18"/>
      <c r="AA593" s="88"/>
    </row>
    <row r="594" spans="1:27" ht="15">
      <c r="A594" s="734">
        <f>A592+1</f>
        <v>129</v>
      </c>
      <c r="B594" s="333" t="s">
        <v>4836</v>
      </c>
      <c r="C594" s="334" t="s">
        <v>4837</v>
      </c>
      <c r="D594" s="337" t="s">
        <v>4955</v>
      </c>
      <c r="E594" s="337"/>
      <c r="F594" s="337"/>
      <c r="G594" s="337"/>
      <c r="H594" s="419"/>
      <c r="I594" s="334"/>
      <c r="J594" s="334"/>
      <c r="K594" s="332"/>
      <c r="L594" s="332"/>
      <c r="M594" s="332"/>
      <c r="N594" s="332"/>
      <c r="O594" s="332"/>
      <c r="P594" s="332" t="s">
        <v>4932</v>
      </c>
      <c r="Q594" s="336" t="s">
        <v>4924</v>
      </c>
      <c r="R594" s="336"/>
      <c r="S594" s="336"/>
      <c r="T594" s="336" t="s">
        <v>478</v>
      </c>
      <c r="U594" s="336"/>
      <c r="V594" s="332" t="s">
        <v>479</v>
      </c>
      <c r="W594" s="336"/>
      <c r="X594" s="337" t="s">
        <v>4811</v>
      </c>
      <c r="Y594" s="18"/>
      <c r="Z594" s="18"/>
      <c r="AA594" s="337" t="s">
        <v>148</v>
      </c>
    </row>
    <row r="595" spans="1:27" ht="15">
      <c r="A595" s="538"/>
      <c r="B595" s="262"/>
      <c r="C595" s="254"/>
      <c r="D595" s="88"/>
      <c r="E595" s="88" t="s">
        <v>94</v>
      </c>
      <c r="F595" s="88" t="s">
        <v>4477</v>
      </c>
      <c r="G595" s="88" t="s">
        <v>4997</v>
      </c>
      <c r="H595" s="247" t="s">
        <v>4837</v>
      </c>
      <c r="I595" s="252"/>
      <c r="J595" s="252"/>
      <c r="K595" s="252"/>
      <c r="L595" s="252" t="s">
        <v>161</v>
      </c>
      <c r="M595" s="252"/>
      <c r="N595" s="252" t="s">
        <v>4467</v>
      </c>
      <c r="O595" s="252" t="s">
        <v>94</v>
      </c>
      <c r="P595" s="252"/>
      <c r="Q595" s="252"/>
      <c r="R595" s="252"/>
      <c r="S595" s="252"/>
      <c r="T595" s="252"/>
      <c r="U595" s="252"/>
      <c r="V595" s="252"/>
      <c r="W595" s="252"/>
      <c r="X595" s="88"/>
      <c r="Y595" s="18"/>
      <c r="Z595" s="18"/>
      <c r="AA595" s="88"/>
    </row>
    <row r="596" spans="1:27" ht="15">
      <c r="A596" s="734">
        <f>A594+1</f>
        <v>130</v>
      </c>
      <c r="B596" s="333" t="s">
        <v>4838</v>
      </c>
      <c r="C596" s="334" t="s">
        <v>4839</v>
      </c>
      <c r="D596" s="337" t="s">
        <v>4494</v>
      </c>
      <c r="E596" s="537"/>
      <c r="F596" s="537"/>
      <c r="G596" s="537"/>
      <c r="H596" s="417"/>
      <c r="I596" s="418"/>
      <c r="J596" s="418"/>
      <c r="K596" s="416"/>
      <c r="L596" s="416"/>
      <c r="M596" s="416"/>
      <c r="N596" s="416"/>
      <c r="O596" s="416"/>
      <c r="P596" s="332" t="s">
        <v>4923</v>
      </c>
      <c r="Q596" s="332" t="s">
        <v>4924</v>
      </c>
      <c r="R596" s="416"/>
      <c r="S596" s="416"/>
      <c r="T596" s="416"/>
      <c r="U596" s="416"/>
      <c r="V596" s="416"/>
      <c r="W596" s="416"/>
      <c r="X596" s="337" t="s">
        <v>4811</v>
      </c>
      <c r="AA596" s="337" t="s">
        <v>148</v>
      </c>
    </row>
    <row r="597" spans="1:27" ht="15">
      <c r="A597" s="538"/>
      <c r="B597" s="262"/>
      <c r="C597" s="254"/>
      <c r="D597" s="88"/>
      <c r="E597" s="88" t="s">
        <v>94</v>
      </c>
      <c r="F597" s="88" t="s">
        <v>4477</v>
      </c>
      <c r="G597" s="88" t="s">
        <v>4494</v>
      </c>
      <c r="H597" s="415" t="s">
        <v>5846</v>
      </c>
      <c r="I597" s="252" t="s">
        <v>94</v>
      </c>
      <c r="J597" s="252" t="s">
        <v>5847</v>
      </c>
      <c r="K597" s="252" t="s">
        <v>5838</v>
      </c>
      <c r="L597" s="252" t="s">
        <v>4444</v>
      </c>
      <c r="M597" s="359"/>
      <c r="N597" s="252" t="s">
        <v>4467</v>
      </c>
      <c r="O597" s="252" t="s">
        <v>30</v>
      </c>
      <c r="P597" s="252"/>
      <c r="Q597" s="252"/>
      <c r="R597" s="252"/>
      <c r="S597" s="252"/>
      <c r="T597" s="252"/>
      <c r="U597" s="252"/>
      <c r="V597" s="252"/>
      <c r="W597" s="252"/>
      <c r="X597" s="88"/>
      <c r="Y597" s="18"/>
      <c r="Z597" s="18"/>
      <c r="AA597" s="88"/>
    </row>
    <row r="598" spans="1:27" ht="15">
      <c r="A598" s="538"/>
      <c r="B598" s="262"/>
      <c r="C598" s="254"/>
      <c r="D598" s="88"/>
      <c r="E598" s="88" t="s">
        <v>4501</v>
      </c>
      <c r="F598" s="88" t="s">
        <v>4497</v>
      </c>
      <c r="G598" s="88" t="s">
        <v>4951</v>
      </c>
      <c r="H598" s="415" t="s">
        <v>5848</v>
      </c>
      <c r="I598" s="252" t="s">
        <v>94</v>
      </c>
      <c r="J598" s="252" t="s">
        <v>5847</v>
      </c>
      <c r="K598" s="252" t="s">
        <v>5838</v>
      </c>
      <c r="L598" s="252" t="s">
        <v>4444</v>
      </c>
      <c r="M598" s="359"/>
      <c r="N598" s="252" t="s">
        <v>4467</v>
      </c>
      <c r="O598" s="252" t="s">
        <v>30</v>
      </c>
      <c r="P598" s="252"/>
      <c r="Q598" s="252"/>
      <c r="R598" s="252"/>
      <c r="S598" s="252"/>
      <c r="T598" s="252"/>
      <c r="U598" s="252"/>
      <c r="V598" s="252"/>
      <c r="W598" s="252"/>
      <c r="X598" s="88"/>
      <c r="Y598" s="18"/>
      <c r="Z598" s="18"/>
      <c r="AA598" s="88"/>
    </row>
    <row r="599" spans="1:27" ht="15">
      <c r="A599" s="538"/>
      <c r="B599" s="262"/>
      <c r="C599" s="254"/>
      <c r="D599" s="88"/>
      <c r="E599" s="88" t="s">
        <v>4478</v>
      </c>
      <c r="F599" s="88" t="s">
        <v>5570</v>
      </c>
      <c r="G599" s="88" t="s">
        <v>4997</v>
      </c>
      <c r="H599" s="415" t="s">
        <v>5849</v>
      </c>
      <c r="I599" s="252" t="s">
        <v>94</v>
      </c>
      <c r="J599" s="252" t="s">
        <v>5847</v>
      </c>
      <c r="K599" s="252" t="s">
        <v>5838</v>
      </c>
      <c r="L599" s="252" t="s">
        <v>4444</v>
      </c>
      <c r="M599" s="359"/>
      <c r="N599" s="252" t="s">
        <v>4467</v>
      </c>
      <c r="O599" s="252" t="s">
        <v>30</v>
      </c>
      <c r="P599" s="252"/>
      <c r="Q599" s="252"/>
      <c r="R599" s="252"/>
      <c r="S599" s="252"/>
      <c r="T599" s="252"/>
      <c r="U599" s="252"/>
      <c r="V599" s="252"/>
      <c r="W599" s="252"/>
      <c r="X599" s="88"/>
      <c r="Y599" s="18"/>
      <c r="Z599" s="18"/>
      <c r="AA599" s="88"/>
    </row>
    <row r="600" spans="1:27" ht="15">
      <c r="A600" s="538"/>
      <c r="B600" s="262"/>
      <c r="C600" s="254"/>
      <c r="D600" s="88"/>
      <c r="E600" s="88" t="s">
        <v>4955</v>
      </c>
      <c r="F600" s="88" t="s">
        <v>5274</v>
      </c>
      <c r="G600" s="88" t="s">
        <v>4505</v>
      </c>
      <c r="H600" s="415" t="s">
        <v>5850</v>
      </c>
      <c r="I600" s="252" t="s">
        <v>94</v>
      </c>
      <c r="J600" s="252" t="s">
        <v>5847</v>
      </c>
      <c r="K600" s="252" t="s">
        <v>5838</v>
      </c>
      <c r="L600" s="252" t="s">
        <v>4444</v>
      </c>
      <c r="M600" s="359"/>
      <c r="N600" s="252" t="s">
        <v>4467</v>
      </c>
      <c r="O600" s="252" t="s">
        <v>30</v>
      </c>
      <c r="P600" s="252"/>
      <c r="Q600" s="252"/>
      <c r="R600" s="252"/>
      <c r="S600" s="252"/>
      <c r="T600" s="252"/>
      <c r="U600" s="252"/>
      <c r="V600" s="252"/>
      <c r="W600" s="252"/>
      <c r="X600" s="88"/>
      <c r="Y600" s="18"/>
      <c r="Z600" s="18"/>
      <c r="AA600" s="88"/>
    </row>
    <row r="601" spans="1:27" ht="15">
      <c r="A601" s="538"/>
      <c r="B601" s="262"/>
      <c r="C601" s="254"/>
      <c r="D601" s="88"/>
      <c r="E601" s="88" t="s">
        <v>566</v>
      </c>
      <c r="F601" s="88" t="s">
        <v>5851</v>
      </c>
      <c r="G601" s="88" t="s">
        <v>5108</v>
      </c>
      <c r="H601" s="415" t="s">
        <v>5852</v>
      </c>
      <c r="I601" s="252" t="s">
        <v>94</v>
      </c>
      <c r="J601" s="252" t="s">
        <v>5847</v>
      </c>
      <c r="K601" s="252" t="s">
        <v>5838</v>
      </c>
      <c r="L601" s="252" t="s">
        <v>4444</v>
      </c>
      <c r="M601" s="359"/>
      <c r="N601" s="252" t="s">
        <v>4467</v>
      </c>
      <c r="O601" s="252" t="s">
        <v>30</v>
      </c>
      <c r="P601" s="252"/>
      <c r="Q601" s="252"/>
      <c r="R601" s="252"/>
      <c r="S601" s="252"/>
      <c r="T601" s="252"/>
      <c r="U601" s="252"/>
      <c r="V601" s="252"/>
      <c r="W601" s="252"/>
      <c r="X601" s="88"/>
      <c r="Y601" s="18"/>
      <c r="Z601" s="18"/>
      <c r="AA601" s="88"/>
    </row>
    <row r="602" spans="1:27" ht="15">
      <c r="A602" s="538"/>
      <c r="B602" s="262"/>
      <c r="C602" s="254"/>
      <c r="D602" s="88"/>
      <c r="E602" s="88" t="s">
        <v>2595</v>
      </c>
      <c r="F602" s="88" t="s">
        <v>5110</v>
      </c>
      <c r="G602" s="88" t="s">
        <v>5316</v>
      </c>
      <c r="H602" s="415" t="s">
        <v>5853</v>
      </c>
      <c r="I602" s="252" t="s">
        <v>94</v>
      </c>
      <c r="J602" s="252" t="s">
        <v>5847</v>
      </c>
      <c r="K602" s="252" t="s">
        <v>5838</v>
      </c>
      <c r="L602" s="252" t="s">
        <v>4444</v>
      </c>
      <c r="M602" s="359"/>
      <c r="N602" s="252" t="s">
        <v>4467</v>
      </c>
      <c r="O602" s="252" t="s">
        <v>30</v>
      </c>
      <c r="P602" s="252"/>
      <c r="Q602" s="252"/>
      <c r="R602" s="252"/>
      <c r="S602" s="252"/>
      <c r="T602" s="252"/>
      <c r="U602" s="252"/>
      <c r="V602" s="252"/>
      <c r="W602" s="252"/>
      <c r="X602" s="88"/>
      <c r="Y602" s="18"/>
      <c r="Z602" s="18"/>
      <c r="AA602" s="88"/>
    </row>
    <row r="603" spans="1:27" ht="15">
      <c r="A603" s="734">
        <f>A596+1</f>
        <v>131</v>
      </c>
      <c r="B603" s="333" t="s">
        <v>4840</v>
      </c>
      <c r="C603" s="335" t="s">
        <v>4841</v>
      </c>
      <c r="D603" s="337" t="s">
        <v>4478</v>
      </c>
      <c r="E603" s="337"/>
      <c r="F603" s="337"/>
      <c r="G603" s="337"/>
      <c r="H603" s="419"/>
      <c r="I603" s="332"/>
      <c r="J603" s="332"/>
      <c r="K603" s="332"/>
      <c r="L603" s="332"/>
      <c r="M603" s="332"/>
      <c r="N603" s="332"/>
      <c r="O603" s="332"/>
      <c r="P603" s="332" t="s">
        <v>4923</v>
      </c>
      <c r="Q603" s="332" t="s">
        <v>4924</v>
      </c>
      <c r="R603" s="332"/>
      <c r="S603" s="332"/>
      <c r="T603" s="332"/>
      <c r="U603" s="332"/>
      <c r="V603" s="332"/>
      <c r="W603" s="332"/>
      <c r="X603" s="337" t="s">
        <v>4811</v>
      </c>
      <c r="AA603" s="337" t="s">
        <v>148</v>
      </c>
    </row>
    <row r="604" spans="1:27" ht="15">
      <c r="A604" s="538"/>
      <c r="B604" s="262"/>
      <c r="C604" s="149"/>
      <c r="D604" s="88"/>
      <c r="E604" s="88" t="s">
        <v>30</v>
      </c>
      <c r="F604" s="88" t="s">
        <v>4477</v>
      </c>
      <c r="G604" s="88" t="s">
        <v>4494</v>
      </c>
      <c r="H604" s="247" t="s">
        <v>5854</v>
      </c>
      <c r="I604" s="252" t="s">
        <v>94</v>
      </c>
      <c r="J604" s="252" t="s">
        <v>5847</v>
      </c>
      <c r="K604" s="252" t="s">
        <v>5855</v>
      </c>
      <c r="L604" s="252" t="s">
        <v>4444</v>
      </c>
      <c r="M604" s="415"/>
      <c r="N604" s="252" t="s">
        <v>4467</v>
      </c>
      <c r="O604" s="252" t="s">
        <v>94</v>
      </c>
      <c r="P604" s="252"/>
      <c r="Q604" s="252"/>
      <c r="R604" s="252"/>
      <c r="S604" s="252"/>
      <c r="T604" s="252"/>
      <c r="U604" s="252"/>
      <c r="V604" s="252"/>
      <c r="W604" s="252"/>
      <c r="X604" s="88"/>
      <c r="AA604" s="88"/>
    </row>
    <row r="605" spans="1:27" ht="15">
      <c r="A605" s="538"/>
      <c r="B605" s="262"/>
      <c r="C605" s="149"/>
      <c r="D605" s="88"/>
      <c r="E605" s="88" t="s">
        <v>4501</v>
      </c>
      <c r="F605" s="88" t="s">
        <v>4497</v>
      </c>
      <c r="G605" s="88" t="s">
        <v>4951</v>
      </c>
      <c r="H605" s="247" t="s">
        <v>5856</v>
      </c>
      <c r="I605" s="252" t="s">
        <v>94</v>
      </c>
      <c r="J605" s="252" t="s">
        <v>5847</v>
      </c>
      <c r="K605" s="252" t="s">
        <v>5855</v>
      </c>
      <c r="L605" s="252" t="s">
        <v>4444</v>
      </c>
      <c r="M605" s="415"/>
      <c r="N605" s="252" t="s">
        <v>4467</v>
      </c>
      <c r="O605" s="252" t="s">
        <v>94</v>
      </c>
      <c r="P605" s="252"/>
      <c r="Q605" s="252"/>
      <c r="R605" s="252"/>
      <c r="S605" s="252"/>
      <c r="T605" s="252"/>
      <c r="U605" s="252"/>
      <c r="V605" s="252"/>
      <c r="W605" s="252"/>
      <c r="X605" s="88"/>
      <c r="AA605" s="88"/>
    </row>
    <row r="606" spans="1:27" ht="15">
      <c r="A606" s="734">
        <f>A603+1</f>
        <v>132</v>
      </c>
      <c r="B606" s="333" t="s">
        <v>4842</v>
      </c>
      <c r="C606" s="335" t="s">
        <v>4843</v>
      </c>
      <c r="D606" s="337" t="s">
        <v>4478</v>
      </c>
      <c r="E606" s="337"/>
      <c r="F606" s="337"/>
      <c r="G606" s="337"/>
      <c r="H606" s="419"/>
      <c r="I606" s="332"/>
      <c r="J606" s="332"/>
      <c r="K606" s="332"/>
      <c r="L606" s="332"/>
      <c r="M606" s="332"/>
      <c r="N606" s="332"/>
      <c r="O606" s="332"/>
      <c r="P606" s="332" t="s">
        <v>4923</v>
      </c>
      <c r="Q606" s="332" t="s">
        <v>4924</v>
      </c>
      <c r="R606" s="332"/>
      <c r="S606" s="332"/>
      <c r="T606" s="332"/>
      <c r="U606" s="332"/>
      <c r="V606" s="332"/>
      <c r="W606" s="332"/>
      <c r="X606" s="337" t="s">
        <v>4811</v>
      </c>
      <c r="AA606" s="337" t="s">
        <v>148</v>
      </c>
    </row>
    <row r="607" spans="1:27" ht="15">
      <c r="A607" s="538"/>
      <c r="B607" s="262"/>
      <c r="C607" s="149"/>
      <c r="D607" s="88"/>
      <c r="E607" s="88" t="s">
        <v>30</v>
      </c>
      <c r="F607" s="88" t="s">
        <v>4477</v>
      </c>
      <c r="G607" s="88" t="s">
        <v>4494</v>
      </c>
      <c r="H607" s="247" t="s">
        <v>5857</v>
      </c>
      <c r="I607" s="252" t="s">
        <v>94</v>
      </c>
      <c r="J607" s="252" t="s">
        <v>5843</v>
      </c>
      <c r="K607" s="252" t="s">
        <v>5835</v>
      </c>
      <c r="L607" s="252" t="s">
        <v>4444</v>
      </c>
      <c r="M607" s="415"/>
      <c r="N607" s="252" t="s">
        <v>5841</v>
      </c>
      <c r="O607" s="252" t="s">
        <v>94</v>
      </c>
      <c r="P607" s="252"/>
      <c r="Q607" s="252"/>
      <c r="R607" s="252"/>
      <c r="S607" s="252"/>
      <c r="T607" s="252"/>
      <c r="U607" s="252"/>
      <c r="V607" s="252"/>
      <c r="W607" s="252"/>
      <c r="X607" s="88"/>
      <c r="AA607" s="88"/>
    </row>
    <row r="608" spans="1:27" ht="15">
      <c r="A608" s="538"/>
      <c r="B608" s="262"/>
      <c r="C608" s="149"/>
      <c r="D608" s="88"/>
      <c r="E608" s="88" t="s">
        <v>4501</v>
      </c>
      <c r="F608" s="88" t="s">
        <v>4497</v>
      </c>
      <c r="G608" s="88" t="s">
        <v>4951</v>
      </c>
      <c r="H608" s="247" t="s">
        <v>5858</v>
      </c>
      <c r="I608" s="252" t="s">
        <v>94</v>
      </c>
      <c r="J608" s="252" t="s">
        <v>5843</v>
      </c>
      <c r="K608" s="252" t="s">
        <v>5835</v>
      </c>
      <c r="L608" s="252" t="s">
        <v>4444</v>
      </c>
      <c r="M608" s="415"/>
      <c r="N608" s="252" t="s">
        <v>5841</v>
      </c>
      <c r="O608" s="252" t="s">
        <v>94</v>
      </c>
      <c r="P608" s="252"/>
      <c r="Q608" s="252"/>
      <c r="R608" s="252"/>
      <c r="S608" s="252"/>
      <c r="T608" s="252"/>
      <c r="U608" s="252"/>
      <c r="V608" s="252"/>
      <c r="W608" s="252"/>
      <c r="X608" s="88"/>
      <c r="AA608" s="88"/>
    </row>
    <row r="609" spans="1:27" ht="15">
      <c r="A609" s="734">
        <f>A606+1</f>
        <v>133</v>
      </c>
      <c r="B609" s="333" t="s">
        <v>4844</v>
      </c>
      <c r="C609" s="335" t="s">
        <v>4845</v>
      </c>
      <c r="D609" s="337" t="s">
        <v>4478</v>
      </c>
      <c r="E609" s="337"/>
      <c r="F609" s="337"/>
      <c r="G609" s="337"/>
      <c r="H609" s="419"/>
      <c r="I609" s="332"/>
      <c r="J609" s="332"/>
      <c r="K609" s="332"/>
      <c r="L609" s="332"/>
      <c r="M609" s="332"/>
      <c r="N609" s="332"/>
      <c r="O609" s="332"/>
      <c r="P609" s="332" t="s">
        <v>4923</v>
      </c>
      <c r="Q609" s="332" t="s">
        <v>4924</v>
      </c>
      <c r="R609" s="332"/>
      <c r="S609" s="332"/>
      <c r="T609" s="332"/>
      <c r="U609" s="332"/>
      <c r="V609" s="332"/>
      <c r="W609" s="332"/>
      <c r="X609" s="337" t="s">
        <v>4811</v>
      </c>
      <c r="AA609" s="337" t="s">
        <v>148</v>
      </c>
    </row>
    <row r="610" spans="1:27" ht="15">
      <c r="A610" s="538"/>
      <c r="B610" s="262"/>
      <c r="C610" s="149"/>
      <c r="D610" s="88"/>
      <c r="E610" s="88" t="s">
        <v>30</v>
      </c>
      <c r="F610" s="88" t="s">
        <v>4477</v>
      </c>
      <c r="G610" s="88" t="s">
        <v>4494</v>
      </c>
      <c r="H610" s="247" t="s">
        <v>5859</v>
      </c>
      <c r="I610" s="252" t="s">
        <v>94</v>
      </c>
      <c r="J610" s="252" t="s">
        <v>5847</v>
      </c>
      <c r="K610" s="252"/>
      <c r="L610" s="252" t="s">
        <v>4444</v>
      </c>
      <c r="M610" s="415"/>
      <c r="N610" s="252" t="s">
        <v>4467</v>
      </c>
      <c r="O610" s="252" t="s">
        <v>94</v>
      </c>
      <c r="P610" s="252"/>
      <c r="Q610" s="252"/>
      <c r="R610" s="252"/>
      <c r="S610" s="252"/>
      <c r="T610" s="252"/>
      <c r="U610" s="252"/>
      <c r="V610" s="252"/>
      <c r="W610" s="252"/>
      <c r="X610" s="88"/>
      <c r="AA610" s="88"/>
    </row>
    <row r="611" spans="1:27" ht="15">
      <c r="A611" s="538"/>
      <c r="B611" s="262"/>
      <c r="C611" s="149"/>
      <c r="D611" s="88"/>
      <c r="E611" s="88" t="s">
        <v>4501</v>
      </c>
      <c r="F611" s="88" t="s">
        <v>4497</v>
      </c>
      <c r="G611" s="88" t="s">
        <v>4951</v>
      </c>
      <c r="H611" s="247" t="s">
        <v>5860</v>
      </c>
      <c r="I611" s="252" t="s">
        <v>94</v>
      </c>
      <c r="J611" s="252" t="s">
        <v>5847</v>
      </c>
      <c r="K611" s="252"/>
      <c r="L611" s="252" t="s">
        <v>4444</v>
      </c>
      <c r="M611" s="415"/>
      <c r="N611" s="252" t="s">
        <v>4467</v>
      </c>
      <c r="O611" s="252" t="s">
        <v>94</v>
      </c>
      <c r="P611" s="252"/>
      <c r="Q611" s="252"/>
      <c r="R611" s="252"/>
      <c r="S611" s="252"/>
      <c r="T611" s="252"/>
      <c r="U611" s="252"/>
      <c r="V611" s="252"/>
      <c r="W611" s="252"/>
      <c r="X611" s="88"/>
      <c r="AA611" s="88"/>
    </row>
    <row r="612" spans="1:27" ht="15">
      <c r="A612" s="734">
        <f>A609+1</f>
        <v>134</v>
      </c>
      <c r="B612" s="333" t="s">
        <v>4846</v>
      </c>
      <c r="C612" s="334" t="s">
        <v>4847</v>
      </c>
      <c r="D612" s="337" t="s">
        <v>4501</v>
      </c>
      <c r="E612" s="537"/>
      <c r="F612" s="537"/>
      <c r="G612" s="537"/>
      <c r="H612" s="417"/>
      <c r="I612" s="418"/>
      <c r="J612" s="418"/>
      <c r="K612" s="416"/>
      <c r="L612" s="416"/>
      <c r="M612" s="416"/>
      <c r="N612" s="416"/>
      <c r="O612" s="416"/>
      <c r="P612" s="332" t="s">
        <v>4923</v>
      </c>
      <c r="Q612" s="332" t="s">
        <v>4924</v>
      </c>
      <c r="R612" s="416"/>
      <c r="S612" s="416"/>
      <c r="T612" s="416"/>
      <c r="U612" s="416"/>
      <c r="V612" s="416"/>
      <c r="W612" s="416"/>
      <c r="X612" s="337" t="s">
        <v>4811</v>
      </c>
      <c r="AA612" s="337" t="s">
        <v>148</v>
      </c>
    </row>
    <row r="613" spans="1:27" ht="15">
      <c r="A613" s="538"/>
      <c r="B613" s="262"/>
      <c r="C613" s="254"/>
      <c r="D613" s="88"/>
      <c r="E613" s="88" t="s">
        <v>94</v>
      </c>
      <c r="F613" s="88" t="s">
        <v>4477</v>
      </c>
      <c r="G613" s="88" t="s">
        <v>4494</v>
      </c>
      <c r="H613" s="415" t="s">
        <v>4847</v>
      </c>
      <c r="I613" s="252"/>
      <c r="J613" s="252"/>
      <c r="K613" s="252"/>
      <c r="L613" s="252" t="s">
        <v>4444</v>
      </c>
      <c r="M613" s="359"/>
      <c r="N613" s="252" t="s">
        <v>4467</v>
      </c>
      <c r="O613" s="252" t="s">
        <v>94</v>
      </c>
      <c r="P613" s="252"/>
      <c r="Q613" s="252"/>
      <c r="R613" s="252"/>
      <c r="S613" s="252"/>
      <c r="T613" s="252"/>
      <c r="U613" s="252"/>
      <c r="V613" s="252"/>
      <c r="W613" s="252"/>
      <c r="X613" s="88"/>
      <c r="Y613" s="18"/>
      <c r="Z613" s="18"/>
      <c r="AA613" s="88"/>
    </row>
    <row r="614" spans="1:27" ht="15">
      <c r="A614" s="734">
        <f>A612+1</f>
        <v>135</v>
      </c>
      <c r="B614" s="333" t="s">
        <v>4848</v>
      </c>
      <c r="C614" s="334" t="s">
        <v>5861</v>
      </c>
      <c r="D614" s="337" t="s">
        <v>4501</v>
      </c>
      <c r="E614" s="537"/>
      <c r="F614" s="537"/>
      <c r="G614" s="537"/>
      <c r="H614" s="417"/>
      <c r="I614" s="418"/>
      <c r="J614" s="418"/>
      <c r="K614" s="416"/>
      <c r="L614" s="416"/>
      <c r="M614" s="416"/>
      <c r="N614" s="416"/>
      <c r="O614" s="416"/>
      <c r="P614" s="332" t="s">
        <v>4923</v>
      </c>
      <c r="Q614" s="332" t="s">
        <v>4924</v>
      </c>
      <c r="R614" s="416"/>
      <c r="S614" s="416"/>
      <c r="T614" s="416"/>
      <c r="U614" s="416"/>
      <c r="V614" s="416"/>
      <c r="W614" s="416"/>
      <c r="X614" s="337" t="s">
        <v>4811</v>
      </c>
      <c r="AA614" s="337" t="s">
        <v>148</v>
      </c>
    </row>
    <row r="615" spans="1:27" ht="15">
      <c r="A615" s="538"/>
      <c r="B615" s="262"/>
      <c r="C615" s="254"/>
      <c r="D615" s="88"/>
      <c r="E615" s="88" t="s">
        <v>94</v>
      </c>
      <c r="F615" s="88" t="s">
        <v>4477</v>
      </c>
      <c r="G615" s="88" t="s">
        <v>4494</v>
      </c>
      <c r="H615" s="415" t="s">
        <v>5861</v>
      </c>
      <c r="I615" s="252"/>
      <c r="J615" s="252"/>
      <c r="K615" s="252"/>
      <c r="L615" s="252" t="s">
        <v>4444</v>
      </c>
      <c r="M615" s="359"/>
      <c r="N615" s="252" t="s">
        <v>4467</v>
      </c>
      <c r="O615" s="252" t="s">
        <v>94</v>
      </c>
      <c r="P615" s="252"/>
      <c r="Q615" s="252"/>
      <c r="R615" s="252"/>
      <c r="S615" s="252"/>
      <c r="T615" s="252"/>
      <c r="U615" s="252"/>
      <c r="V615" s="252"/>
      <c r="W615" s="252"/>
      <c r="X615" s="88"/>
      <c r="Y615" s="18"/>
      <c r="Z615" s="18"/>
      <c r="AA615" s="88"/>
    </row>
    <row r="616" spans="1:27" ht="15">
      <c r="A616" s="734">
        <f>A614+1</f>
        <v>136</v>
      </c>
      <c r="B616" s="333" t="s">
        <v>4850</v>
      </c>
      <c r="C616" s="334" t="s">
        <v>4851</v>
      </c>
      <c r="D616" s="337" t="s">
        <v>4501</v>
      </c>
      <c r="E616" s="537"/>
      <c r="F616" s="537"/>
      <c r="G616" s="537"/>
      <c r="H616" s="417"/>
      <c r="I616" s="418"/>
      <c r="J616" s="418"/>
      <c r="K616" s="416"/>
      <c r="L616" s="416"/>
      <c r="M616" s="416"/>
      <c r="N616" s="416"/>
      <c r="O616" s="416"/>
      <c r="P616" s="332" t="s">
        <v>4923</v>
      </c>
      <c r="Q616" s="332" t="s">
        <v>4924</v>
      </c>
      <c r="R616" s="416"/>
      <c r="S616" s="416"/>
      <c r="T616" s="416"/>
      <c r="U616" s="416"/>
      <c r="V616" s="416"/>
      <c r="W616" s="416"/>
      <c r="X616" s="337" t="s">
        <v>4811</v>
      </c>
      <c r="AA616" s="337" t="s">
        <v>148</v>
      </c>
    </row>
    <row r="617" spans="1:27" ht="15">
      <c r="A617" s="538"/>
      <c r="B617" s="262"/>
      <c r="C617" s="254"/>
      <c r="D617" s="88"/>
      <c r="E617" s="88" t="s">
        <v>94</v>
      </c>
      <c r="F617" s="88" t="s">
        <v>4477</v>
      </c>
      <c r="G617" s="88" t="s">
        <v>4494</v>
      </c>
      <c r="H617" s="415" t="s">
        <v>4851</v>
      </c>
      <c r="I617" s="252"/>
      <c r="J617" s="252"/>
      <c r="K617" s="252"/>
      <c r="L617" s="252" t="s">
        <v>4444</v>
      </c>
      <c r="M617" s="359"/>
      <c r="N617" s="252" t="s">
        <v>4467</v>
      </c>
      <c r="O617" s="252" t="s">
        <v>94</v>
      </c>
      <c r="P617" s="252"/>
      <c r="Q617" s="252"/>
      <c r="R617" s="252"/>
      <c r="S617" s="252"/>
      <c r="T617" s="252"/>
      <c r="U617" s="252"/>
      <c r="V617" s="252"/>
      <c r="W617" s="252"/>
      <c r="X617" s="88"/>
      <c r="AA617" s="88"/>
    </row>
    <row r="618" spans="1:27" ht="15">
      <c r="A618" s="734">
        <f>A616+1</f>
        <v>137</v>
      </c>
      <c r="B618" s="333" t="s">
        <v>4852</v>
      </c>
      <c r="C618" s="334" t="s">
        <v>5862</v>
      </c>
      <c r="D618" s="337" t="s">
        <v>4501</v>
      </c>
      <c r="E618" s="537"/>
      <c r="F618" s="537"/>
      <c r="G618" s="537"/>
      <c r="H618" s="417"/>
      <c r="I618" s="418"/>
      <c r="J618" s="418"/>
      <c r="K618" s="416"/>
      <c r="L618" s="416"/>
      <c r="M618" s="416"/>
      <c r="N618" s="416"/>
      <c r="O618" s="416"/>
      <c r="P618" s="332" t="s">
        <v>4923</v>
      </c>
      <c r="Q618" s="332" t="s">
        <v>4924</v>
      </c>
      <c r="R618" s="416"/>
      <c r="S618" s="416"/>
      <c r="T618" s="416"/>
      <c r="U618" s="416"/>
      <c r="V618" s="416"/>
      <c r="W618" s="416"/>
      <c r="X618" s="337" t="s">
        <v>4811</v>
      </c>
      <c r="AA618" s="337" t="s">
        <v>148</v>
      </c>
    </row>
    <row r="619" spans="1:27" ht="15">
      <c r="A619" s="538"/>
      <c r="B619" s="262"/>
      <c r="C619" s="254"/>
      <c r="D619" s="88"/>
      <c r="E619" s="88" t="s">
        <v>94</v>
      </c>
      <c r="F619" s="88" t="s">
        <v>4477</v>
      </c>
      <c r="G619" s="88" t="s">
        <v>4494</v>
      </c>
      <c r="H619" s="415" t="s">
        <v>5862</v>
      </c>
      <c r="I619" s="252"/>
      <c r="J619" s="252"/>
      <c r="K619" s="252"/>
      <c r="L619" s="252" t="s">
        <v>4444</v>
      </c>
      <c r="M619" s="359"/>
      <c r="N619" s="252" t="s">
        <v>4467</v>
      </c>
      <c r="O619" s="252" t="s">
        <v>94</v>
      </c>
      <c r="P619" s="252"/>
      <c r="Q619" s="252"/>
      <c r="R619" s="252"/>
      <c r="S619" s="252"/>
      <c r="T619" s="252"/>
      <c r="U619" s="252"/>
      <c r="V619" s="252"/>
      <c r="W619" s="252"/>
      <c r="X619" s="88"/>
      <c r="AA619" s="88"/>
    </row>
    <row r="620" spans="1:27" ht="15">
      <c r="A620" s="734">
        <f>A618+1</f>
        <v>138</v>
      </c>
      <c r="B620" s="333" t="s">
        <v>4854</v>
      </c>
      <c r="C620" s="334" t="s">
        <v>5863</v>
      </c>
      <c r="D620" s="337" t="s">
        <v>4501</v>
      </c>
      <c r="E620" s="537"/>
      <c r="F620" s="537"/>
      <c r="G620" s="537"/>
      <c r="H620" s="417"/>
      <c r="I620" s="418"/>
      <c r="J620" s="418"/>
      <c r="K620" s="416"/>
      <c r="L620" s="416"/>
      <c r="M620" s="416"/>
      <c r="N620" s="416"/>
      <c r="O620" s="416"/>
      <c r="P620" s="332" t="s">
        <v>4923</v>
      </c>
      <c r="Q620" s="332" t="s">
        <v>4924</v>
      </c>
      <c r="R620" s="416"/>
      <c r="S620" s="416"/>
      <c r="T620" s="416"/>
      <c r="U620" s="416"/>
      <c r="V620" s="416"/>
      <c r="W620" s="416"/>
      <c r="X620" s="337" t="s">
        <v>4811</v>
      </c>
      <c r="AA620" s="337" t="s">
        <v>148</v>
      </c>
    </row>
    <row r="621" spans="1:27" ht="15">
      <c r="A621" s="538"/>
      <c r="B621" s="262"/>
      <c r="C621" s="254"/>
      <c r="D621" s="88"/>
      <c r="E621" s="88" t="s">
        <v>94</v>
      </c>
      <c r="F621" s="88" t="s">
        <v>4477</v>
      </c>
      <c r="G621" s="88" t="s">
        <v>4494</v>
      </c>
      <c r="H621" s="415" t="s">
        <v>5863</v>
      </c>
      <c r="I621" s="252"/>
      <c r="J621" s="252"/>
      <c r="K621" s="252"/>
      <c r="L621" s="252" t="s">
        <v>4444</v>
      </c>
      <c r="M621" s="359"/>
      <c r="N621" s="252" t="s">
        <v>4467</v>
      </c>
      <c r="O621" s="252" t="s">
        <v>94</v>
      </c>
      <c r="P621" s="252"/>
      <c r="Q621" s="252"/>
      <c r="R621" s="252"/>
      <c r="S621" s="252"/>
      <c r="T621" s="252"/>
      <c r="U621" s="252"/>
      <c r="V621" s="252"/>
      <c r="W621" s="252"/>
      <c r="X621" s="88"/>
      <c r="AA621" s="88"/>
    </row>
    <row r="622" spans="1:27" ht="15">
      <c r="A622" s="734">
        <f>A620+1</f>
        <v>139</v>
      </c>
      <c r="B622" s="333" t="s">
        <v>4856</v>
      </c>
      <c r="C622" s="334" t="s">
        <v>5864</v>
      </c>
      <c r="D622" s="337" t="s">
        <v>4501</v>
      </c>
      <c r="E622" s="537"/>
      <c r="F622" s="537"/>
      <c r="G622" s="537"/>
      <c r="H622" s="417"/>
      <c r="I622" s="418"/>
      <c r="J622" s="418"/>
      <c r="K622" s="416"/>
      <c r="L622" s="416"/>
      <c r="M622" s="416"/>
      <c r="N622" s="416"/>
      <c r="O622" s="416"/>
      <c r="P622" s="332" t="s">
        <v>4923</v>
      </c>
      <c r="Q622" s="332" t="s">
        <v>4924</v>
      </c>
      <c r="R622" s="416"/>
      <c r="S622" s="416"/>
      <c r="T622" s="416"/>
      <c r="U622" s="416"/>
      <c r="V622" s="416"/>
      <c r="W622" s="416"/>
      <c r="X622" s="337" t="s">
        <v>4811</v>
      </c>
      <c r="AA622" s="337" t="s">
        <v>148</v>
      </c>
    </row>
    <row r="623" spans="1:27" ht="15">
      <c r="A623" s="538"/>
      <c r="B623" s="262"/>
      <c r="C623" s="254"/>
      <c r="D623" s="88"/>
      <c r="E623" s="88" t="s">
        <v>94</v>
      </c>
      <c r="F623" s="88" t="s">
        <v>4477</v>
      </c>
      <c r="G623" s="88" t="s">
        <v>4494</v>
      </c>
      <c r="H623" s="415" t="s">
        <v>5864</v>
      </c>
      <c r="I623" s="252"/>
      <c r="J623" s="252"/>
      <c r="K623" s="252"/>
      <c r="L623" s="252" t="s">
        <v>4444</v>
      </c>
      <c r="M623" s="359"/>
      <c r="N623" s="252" t="s">
        <v>4467</v>
      </c>
      <c r="O623" s="252" t="s">
        <v>94</v>
      </c>
      <c r="P623" s="252"/>
      <c r="Q623" s="252"/>
      <c r="R623" s="252"/>
      <c r="S623" s="252"/>
      <c r="T623" s="252"/>
      <c r="U623" s="252"/>
      <c r="V623" s="252"/>
      <c r="W623" s="252"/>
      <c r="X623" s="88"/>
      <c r="AA623" s="88"/>
    </row>
    <row r="624" spans="1:27" ht="15">
      <c r="A624" s="734">
        <f>A622+1</f>
        <v>140</v>
      </c>
      <c r="B624" s="333" t="s">
        <v>4858</v>
      </c>
      <c r="C624" s="334" t="s">
        <v>5865</v>
      </c>
      <c r="D624" s="337" t="s">
        <v>4501</v>
      </c>
      <c r="E624" s="537"/>
      <c r="F624" s="537"/>
      <c r="G624" s="537"/>
      <c r="H624" s="417"/>
      <c r="I624" s="418"/>
      <c r="J624" s="418"/>
      <c r="K624" s="416"/>
      <c r="L624" s="416"/>
      <c r="M624" s="416"/>
      <c r="N624" s="416"/>
      <c r="O624" s="416"/>
      <c r="P624" s="332" t="s">
        <v>4923</v>
      </c>
      <c r="Q624" s="332" t="s">
        <v>4924</v>
      </c>
      <c r="R624" s="416"/>
      <c r="S624" s="416"/>
      <c r="T624" s="416"/>
      <c r="U624" s="416"/>
      <c r="V624" s="416"/>
      <c r="W624" s="416"/>
      <c r="X624" s="337" t="s">
        <v>4811</v>
      </c>
      <c r="AA624" s="337" t="s">
        <v>148</v>
      </c>
    </row>
    <row r="625" spans="1:27" ht="15">
      <c r="A625" s="538"/>
      <c r="B625" s="262"/>
      <c r="C625" s="254"/>
      <c r="D625" s="88"/>
      <c r="E625" s="88" t="s">
        <v>94</v>
      </c>
      <c r="F625" s="88" t="s">
        <v>4477</v>
      </c>
      <c r="G625" s="88" t="s">
        <v>4494</v>
      </c>
      <c r="H625" s="415" t="s">
        <v>5865</v>
      </c>
      <c r="I625" s="252"/>
      <c r="J625" s="252"/>
      <c r="K625" s="252"/>
      <c r="L625" s="252" t="s">
        <v>4444</v>
      </c>
      <c r="M625" s="359"/>
      <c r="N625" s="252" t="s">
        <v>4467</v>
      </c>
      <c r="O625" s="252" t="s">
        <v>94</v>
      </c>
      <c r="P625" s="252"/>
      <c r="Q625" s="252"/>
      <c r="R625" s="252"/>
      <c r="S625" s="252"/>
      <c r="T625" s="252"/>
      <c r="U625" s="252"/>
      <c r="V625" s="252"/>
      <c r="W625" s="252"/>
      <c r="X625" s="88"/>
      <c r="AA625" s="88"/>
    </row>
    <row r="626" spans="1:27" ht="15">
      <c r="A626" s="734">
        <f>A624+1</f>
        <v>141</v>
      </c>
      <c r="B626" s="333" t="s">
        <v>4860</v>
      </c>
      <c r="C626" s="334" t="s">
        <v>4861</v>
      </c>
      <c r="D626" s="337" t="s">
        <v>4501</v>
      </c>
      <c r="E626" s="537"/>
      <c r="F626" s="537"/>
      <c r="G626" s="537"/>
      <c r="H626" s="417"/>
      <c r="I626" s="418"/>
      <c r="J626" s="418"/>
      <c r="K626" s="416"/>
      <c r="L626" s="416"/>
      <c r="M626" s="416"/>
      <c r="N626" s="416"/>
      <c r="O626" s="416"/>
      <c r="P626" s="332" t="s">
        <v>4923</v>
      </c>
      <c r="Q626" s="332" t="s">
        <v>4924</v>
      </c>
      <c r="R626" s="416"/>
      <c r="S626" s="416"/>
      <c r="T626" s="416"/>
      <c r="U626" s="416"/>
      <c r="V626" s="416"/>
      <c r="W626" s="416"/>
      <c r="X626" s="337" t="s">
        <v>4811</v>
      </c>
      <c r="AA626" s="337" t="s">
        <v>148</v>
      </c>
    </row>
    <row r="627" spans="1:27" ht="15">
      <c r="A627" s="538"/>
      <c r="B627" s="262"/>
      <c r="C627" s="254"/>
      <c r="D627" s="88"/>
      <c r="E627" s="88" t="s">
        <v>94</v>
      </c>
      <c r="F627" s="88" t="s">
        <v>4477</v>
      </c>
      <c r="G627" s="88" t="s">
        <v>4494</v>
      </c>
      <c r="H627" s="415" t="s">
        <v>4861</v>
      </c>
      <c r="I627" s="252"/>
      <c r="J627" s="252"/>
      <c r="K627" s="252"/>
      <c r="L627" s="252" t="s">
        <v>4444</v>
      </c>
      <c r="M627" s="359"/>
      <c r="N627" s="252" t="s">
        <v>4467</v>
      </c>
      <c r="O627" s="252" t="s">
        <v>94</v>
      </c>
      <c r="P627" s="252"/>
      <c r="Q627" s="252"/>
      <c r="R627" s="252"/>
      <c r="S627" s="252"/>
      <c r="T627" s="252"/>
      <c r="U627" s="252"/>
      <c r="V627" s="252"/>
      <c r="W627" s="252"/>
      <c r="X627" s="88"/>
      <c r="AA627" s="88"/>
    </row>
    <row r="628" spans="1:27" ht="15">
      <c r="A628" s="734">
        <f>A626+1</f>
        <v>142</v>
      </c>
      <c r="B628" s="333" t="s">
        <v>4862</v>
      </c>
      <c r="C628" s="334" t="s">
        <v>5866</v>
      </c>
      <c r="D628" s="337" t="s">
        <v>4501</v>
      </c>
      <c r="E628" s="537"/>
      <c r="F628" s="537"/>
      <c r="G628" s="537"/>
      <c r="H628" s="417"/>
      <c r="I628" s="418"/>
      <c r="J628" s="418"/>
      <c r="K628" s="416"/>
      <c r="L628" s="416"/>
      <c r="M628" s="416"/>
      <c r="N628" s="416"/>
      <c r="O628" s="416"/>
      <c r="P628" s="332" t="s">
        <v>4923</v>
      </c>
      <c r="Q628" s="332" t="s">
        <v>4924</v>
      </c>
      <c r="R628" s="416"/>
      <c r="S628" s="416"/>
      <c r="T628" s="416"/>
      <c r="U628" s="416"/>
      <c r="V628" s="416"/>
      <c r="W628" s="416"/>
      <c r="X628" s="337" t="s">
        <v>4811</v>
      </c>
      <c r="AA628" s="337" t="s">
        <v>148</v>
      </c>
    </row>
    <row r="629" spans="1:27" ht="15">
      <c r="A629" s="538"/>
      <c r="B629" s="262"/>
      <c r="C629" s="254"/>
      <c r="D629" s="88"/>
      <c r="E629" s="88" t="s">
        <v>94</v>
      </c>
      <c r="F629" s="88" t="s">
        <v>4477</v>
      </c>
      <c r="G629" s="88" t="s">
        <v>4494</v>
      </c>
      <c r="H629" s="415" t="s">
        <v>5866</v>
      </c>
      <c r="I629" s="252"/>
      <c r="J629" s="252"/>
      <c r="K629" s="252"/>
      <c r="L629" s="252" t="s">
        <v>4444</v>
      </c>
      <c r="M629" s="359"/>
      <c r="N629" s="252" t="s">
        <v>4467</v>
      </c>
      <c r="O629" s="252" t="s">
        <v>94</v>
      </c>
      <c r="P629" s="252"/>
      <c r="Q629" s="252"/>
      <c r="R629" s="252"/>
      <c r="S629" s="252"/>
      <c r="T629" s="252"/>
      <c r="U629" s="252"/>
      <c r="V629" s="252"/>
      <c r="W629" s="252"/>
      <c r="X629" s="88"/>
      <c r="AA629" s="88"/>
    </row>
    <row r="630" spans="1:27" ht="15">
      <c r="A630" s="734">
        <f>A628+1</f>
        <v>143</v>
      </c>
      <c r="B630" s="333" t="s">
        <v>4864</v>
      </c>
      <c r="C630" s="334" t="s">
        <v>5867</v>
      </c>
      <c r="D630" s="337" t="s">
        <v>4501</v>
      </c>
      <c r="E630" s="537"/>
      <c r="F630" s="537"/>
      <c r="G630" s="537"/>
      <c r="H630" s="417"/>
      <c r="I630" s="418"/>
      <c r="J630" s="418"/>
      <c r="K630" s="416"/>
      <c r="L630" s="416"/>
      <c r="M630" s="416"/>
      <c r="N630" s="416"/>
      <c r="O630" s="416"/>
      <c r="P630" s="332" t="s">
        <v>4923</v>
      </c>
      <c r="Q630" s="332" t="s">
        <v>4924</v>
      </c>
      <c r="R630" s="416"/>
      <c r="S630" s="416"/>
      <c r="T630" s="416"/>
      <c r="U630" s="416"/>
      <c r="V630" s="416"/>
      <c r="W630" s="416"/>
      <c r="X630" s="337" t="s">
        <v>4811</v>
      </c>
      <c r="AA630" s="337" t="s">
        <v>148</v>
      </c>
    </row>
    <row r="631" spans="1:27" ht="15">
      <c r="A631" s="538"/>
      <c r="B631" s="262"/>
      <c r="C631" s="254"/>
      <c r="D631" s="88"/>
      <c r="E631" s="88" t="s">
        <v>94</v>
      </c>
      <c r="F631" s="88" t="s">
        <v>4477</v>
      </c>
      <c r="G631" s="88" t="s">
        <v>4494</v>
      </c>
      <c r="H631" s="415" t="s">
        <v>5867</v>
      </c>
      <c r="I631" s="252"/>
      <c r="J631" s="252"/>
      <c r="K631" s="252"/>
      <c r="L631" s="252" t="s">
        <v>4444</v>
      </c>
      <c r="M631" s="359"/>
      <c r="N631" s="252" t="s">
        <v>4467</v>
      </c>
      <c r="O631" s="252" t="s">
        <v>94</v>
      </c>
      <c r="P631" s="252"/>
      <c r="Q631" s="252"/>
      <c r="R631" s="252"/>
      <c r="S631" s="252"/>
      <c r="T631" s="252"/>
      <c r="U631" s="252"/>
      <c r="V631" s="252"/>
      <c r="W631" s="252"/>
      <c r="X631" s="88"/>
      <c r="AA631" s="88"/>
    </row>
    <row r="632" spans="1:27" ht="15">
      <c r="A632" s="734">
        <f>A630+1</f>
        <v>144</v>
      </c>
      <c r="B632" s="333" t="s">
        <v>4866</v>
      </c>
      <c r="C632" s="334" t="s">
        <v>5868</v>
      </c>
      <c r="D632" s="337" t="s">
        <v>4501</v>
      </c>
      <c r="E632" s="537"/>
      <c r="F632" s="537"/>
      <c r="G632" s="537"/>
      <c r="H632" s="417"/>
      <c r="I632" s="418"/>
      <c r="J632" s="418"/>
      <c r="K632" s="416"/>
      <c r="L632" s="416"/>
      <c r="M632" s="416"/>
      <c r="N632" s="416"/>
      <c r="O632" s="416"/>
      <c r="P632" s="332" t="s">
        <v>4923</v>
      </c>
      <c r="Q632" s="332" t="s">
        <v>4924</v>
      </c>
      <c r="R632" s="416"/>
      <c r="S632" s="416"/>
      <c r="T632" s="416"/>
      <c r="U632" s="416"/>
      <c r="V632" s="416"/>
      <c r="W632" s="416"/>
      <c r="X632" s="337" t="s">
        <v>4811</v>
      </c>
      <c r="AA632" s="337" t="s">
        <v>148</v>
      </c>
    </row>
    <row r="633" spans="1:27" ht="15">
      <c r="A633" s="538"/>
      <c r="B633" s="262"/>
      <c r="C633" s="254"/>
      <c r="D633" s="88"/>
      <c r="E633" s="88" t="s">
        <v>94</v>
      </c>
      <c r="F633" s="88" t="s">
        <v>4477</v>
      </c>
      <c r="G633" s="88" t="s">
        <v>4494</v>
      </c>
      <c r="H633" s="415" t="s">
        <v>5868</v>
      </c>
      <c r="I633" s="252"/>
      <c r="J633" s="252"/>
      <c r="K633" s="252"/>
      <c r="L633" s="252" t="s">
        <v>4444</v>
      </c>
      <c r="M633" s="359"/>
      <c r="N633" s="252" t="s">
        <v>4467</v>
      </c>
      <c r="O633" s="252" t="s">
        <v>94</v>
      </c>
      <c r="P633" s="252"/>
      <c r="Q633" s="252"/>
      <c r="R633" s="252"/>
      <c r="S633" s="252"/>
      <c r="T633" s="252"/>
      <c r="U633" s="252"/>
      <c r="V633" s="252"/>
      <c r="W633" s="252"/>
      <c r="X633" s="88"/>
      <c r="AA633" s="88"/>
    </row>
    <row r="634" spans="1:27" ht="15">
      <c r="A634" s="734">
        <f>A632+1</f>
        <v>145</v>
      </c>
      <c r="B634" s="333" t="s">
        <v>4868</v>
      </c>
      <c r="C634" s="334" t="s">
        <v>5869</v>
      </c>
      <c r="D634" s="337" t="s">
        <v>4501</v>
      </c>
      <c r="E634" s="537"/>
      <c r="F634" s="537"/>
      <c r="G634" s="537"/>
      <c r="H634" s="417"/>
      <c r="I634" s="418"/>
      <c r="J634" s="418"/>
      <c r="K634" s="416"/>
      <c r="L634" s="416"/>
      <c r="M634" s="416"/>
      <c r="N634" s="416"/>
      <c r="O634" s="416"/>
      <c r="P634" s="332" t="s">
        <v>4923</v>
      </c>
      <c r="Q634" s="332" t="s">
        <v>4924</v>
      </c>
      <c r="R634" s="416"/>
      <c r="S634" s="416"/>
      <c r="T634" s="416"/>
      <c r="U634" s="416"/>
      <c r="V634" s="416"/>
      <c r="W634" s="416"/>
      <c r="X634" s="337" t="s">
        <v>4811</v>
      </c>
      <c r="AA634" s="337" t="s">
        <v>148</v>
      </c>
    </row>
    <row r="635" spans="1:27" ht="15">
      <c r="A635" s="538"/>
      <c r="B635" s="262"/>
      <c r="C635" s="254"/>
      <c r="D635" s="88"/>
      <c r="E635" s="88" t="s">
        <v>94</v>
      </c>
      <c r="F635" s="88" t="s">
        <v>4477</v>
      </c>
      <c r="G635" s="88" t="s">
        <v>4494</v>
      </c>
      <c r="H635" s="415" t="s">
        <v>5869</v>
      </c>
      <c r="I635" s="252"/>
      <c r="J635" s="252"/>
      <c r="K635" s="252"/>
      <c r="L635" s="252" t="s">
        <v>4444</v>
      </c>
      <c r="M635" s="359"/>
      <c r="N635" s="252" t="s">
        <v>4467</v>
      </c>
      <c r="O635" s="252" t="s">
        <v>94</v>
      </c>
      <c r="P635" s="252"/>
      <c r="Q635" s="252"/>
      <c r="R635" s="252"/>
      <c r="S635" s="252"/>
      <c r="T635" s="252"/>
      <c r="U635" s="252"/>
      <c r="V635" s="252"/>
      <c r="W635" s="252"/>
      <c r="X635" s="88"/>
      <c r="AA635" s="88"/>
    </row>
    <row r="636" spans="1:27">
      <c r="A636" s="742"/>
    </row>
    <row r="637" spans="1:27">
      <c r="A637" s="742"/>
    </row>
  </sheetData>
  <sheetProtection formatCells="0" formatColumns="0" formatRows="0"/>
  <mergeCells count="52">
    <mergeCell ref="X8:X9"/>
    <mergeCell ref="A2:X2"/>
    <mergeCell ref="A3:X3"/>
    <mergeCell ref="A5:H5"/>
    <mergeCell ref="I5:X5"/>
    <mergeCell ref="B6:S6"/>
    <mergeCell ref="M8:M9"/>
    <mergeCell ref="N8:N9"/>
    <mergeCell ref="O8:O9"/>
    <mergeCell ref="P8:P9"/>
    <mergeCell ref="W8:W9"/>
    <mergeCell ref="AA8:AA9"/>
    <mergeCell ref="A7:X7"/>
    <mergeCell ref="Q8:S8"/>
    <mergeCell ref="T8:V8"/>
    <mergeCell ref="A8:A9"/>
    <mergeCell ref="B8:B9"/>
    <mergeCell ref="C8:C9"/>
    <mergeCell ref="D8:D9"/>
    <mergeCell ref="E8:E9"/>
    <mergeCell ref="H8:H9"/>
    <mergeCell ref="I8:I9"/>
    <mergeCell ref="J8:J9"/>
    <mergeCell ref="K8:K9"/>
    <mergeCell ref="L8:L9"/>
    <mergeCell ref="F8:F9"/>
    <mergeCell ref="G8:G9"/>
    <mergeCell ref="A570:A571"/>
    <mergeCell ref="B570:B571"/>
    <mergeCell ref="C570:C571"/>
    <mergeCell ref="D570:D571"/>
    <mergeCell ref="E570:E571"/>
    <mergeCell ref="F570:F571"/>
    <mergeCell ref="G570:G571"/>
    <mergeCell ref="H570:H571"/>
    <mergeCell ref="I570:I571"/>
    <mergeCell ref="J570:J571"/>
    <mergeCell ref="K570:K571"/>
    <mergeCell ref="L570:L571"/>
    <mergeCell ref="M570:M571"/>
    <mergeCell ref="N570:N571"/>
    <mergeCell ref="O570:O571"/>
    <mergeCell ref="P570:P571"/>
    <mergeCell ref="Q570:Q571"/>
    <mergeCell ref="R570:R571"/>
    <mergeCell ref="S570:S571"/>
    <mergeCell ref="T570:T571"/>
    <mergeCell ref="U570:U571"/>
    <mergeCell ref="V570:V571"/>
    <mergeCell ref="W570:W571"/>
    <mergeCell ref="X570:X571"/>
    <mergeCell ref="AA570:AA571"/>
  </mergeCells>
  <phoneticPr fontId="28" type="noConversion"/>
  <conditionalFormatting sqref="B257">
    <cfRule type="cellIs" dxfId="44" priority="9" stopIfTrue="1" operator="equal">
      <formula>"tbd"</formula>
    </cfRule>
  </conditionalFormatting>
  <conditionalFormatting sqref="B263">
    <cfRule type="cellIs" dxfId="43" priority="8" stopIfTrue="1" operator="equal">
      <formula>"tbd"</formula>
    </cfRule>
  </conditionalFormatting>
  <conditionalFormatting sqref="B320">
    <cfRule type="cellIs" dxfId="42" priority="6" stopIfTrue="1" operator="equal">
      <formula>"tbd"</formula>
    </cfRule>
  </conditionalFormatting>
  <conditionalFormatting sqref="B366">
    <cfRule type="cellIs" dxfId="41" priority="4" stopIfTrue="1" operator="equal">
      <formula>"tbd"</formula>
    </cfRule>
  </conditionalFormatting>
  <conditionalFormatting sqref="E8 I8:P8 B322:B324 B327 B352 B356 B360:B362">
    <cfRule type="cellIs" dxfId="40" priority="35" stopIfTrue="1" operator="equal">
      <formula>"tbd"</formula>
    </cfRule>
  </conditionalFormatting>
  <conditionalFormatting sqref="Q10:W10 Q12:W12 Q14:W14 Q16:W16 Q18:W18 Q20:W20 Q22:W22 Q24:W24 Q26:W26 Q28:W28 Q30:W30 Q32:W32 Q34:W34 Q36:W36 Q38:W38 Q40:W40 Q42:W42 Q44:W44 Q46:W46 Q48:W48 Q50:W50 Q52:W52 Q54:W54 Q56:W56 Q58:W58 Q60:W60 Q62:W62 Q64:W64 Q66:W66 Q68:W68 Q70:W70 Q72:W72 Q74:W74 Q76:W76 Q78:W78 Q80:W80 Q82:W82 Q84:W84 Q86:W86 Q88:W88 Q90:W90 Q92:W92 Q94:W94 Q96:W96 Q98:W98 Q100:W100 Q102:W102 Q104:W104 Q106:W106 Q108:W108 Q110:W110 Q112:W112 Q114:W114 Q116:W116 Q118:W118 Q120:W120 Q122:W122 Q124:W124 Q126:W126 Q128:W128 Q130:W130 Q132:W132 Q135:W136 Q138:W138 Q140:W140 Q142:W142 Q144:W144 Q146:W146 Q148:W148 Q150:W150 Q152:W152 Q154:W154 Q156:W156 Q158:W158 Q160:W160 Q162:W162 Q164:W164 Q166:W166 Q168:W168 Q170:W170 Q172:W172 Q174:W174 Q176:W176 Q178:W178 Q180:W180 Q182:W182 Q184:W184 Q186:W186 Q188:W188 Q190:W190 Q192:W192 Q194:W194 Q196:W196 Q198:W198 Q200:W200 Q202:W202 Q204:W204 Q206:W206 Q208:W208 Q210:W210 Q212:W212 Q214:W214 Q216:W216 Q218:W218 Q220:W220 Q222:W222 Q224:W224 Q226:W226 Q228:W228 Q230:W230 Q232:W233 Q235:W235 Q237:W237 Q239:W239 Q241:W241 Q243:W243 Q245:W245 Q247:W247 Q249:W249 Q251:W251 Q253:W253 Q255:W255 Q566:W566">
    <cfRule type="cellIs" dxfId="39" priority="36" stopIfTrue="1" operator="equal">
      <formula>"-"</formula>
    </cfRule>
    <cfRule type="cellIs" dxfId="38" priority="37" stopIfTrue="1" operator="equal">
      <formula>"tbd"</formula>
    </cfRule>
    <cfRule type="cellIs" dxfId="37" priority="38" stopIfTrue="1" operator="equal">
      <formula>"-"</formula>
    </cfRule>
  </conditionalFormatting>
  <conditionalFormatting sqref="Q586:W586">
    <cfRule type="cellIs" dxfId="36" priority="32" stopIfTrue="1" operator="equal">
      <formula>"-"</formula>
    </cfRule>
    <cfRule type="cellIs" dxfId="35" priority="33" stopIfTrue="1" operator="equal">
      <formula>"tbd"</formula>
    </cfRule>
    <cfRule type="cellIs" dxfId="34" priority="34" stopIfTrue="1" operator="equal">
      <formula>"-"</formula>
    </cfRule>
  </conditionalFormatting>
  <conditionalFormatting sqref="Q588:W588">
    <cfRule type="cellIs" dxfId="33" priority="29" stopIfTrue="1" operator="equal">
      <formula>"-"</formula>
    </cfRule>
    <cfRule type="cellIs" dxfId="32" priority="30" stopIfTrue="1" operator="equal">
      <formula>"tbd"</formula>
    </cfRule>
    <cfRule type="cellIs" dxfId="31" priority="31" stopIfTrue="1" operator="equal">
      <formula>"-"</formula>
    </cfRule>
  </conditionalFormatting>
  <conditionalFormatting sqref="Q590:W590">
    <cfRule type="cellIs" dxfId="30" priority="26" stopIfTrue="1" operator="equal">
      <formula>"-"</formula>
    </cfRule>
    <cfRule type="cellIs" dxfId="29" priority="27" stopIfTrue="1" operator="equal">
      <formula>"tbd"</formula>
    </cfRule>
    <cfRule type="cellIs" dxfId="28" priority="28" stopIfTrue="1" operator="equal">
      <formula>"-"</formula>
    </cfRule>
  </conditionalFormatting>
  <conditionalFormatting sqref="Q594:W594">
    <cfRule type="cellIs" dxfId="27" priority="23" stopIfTrue="1" operator="equal">
      <formula>"-"</formula>
    </cfRule>
    <cfRule type="cellIs" dxfId="26" priority="24" stopIfTrue="1" operator="equal">
      <formula>"tbd"</formula>
    </cfRule>
    <cfRule type="cellIs" dxfId="25" priority="25" stopIfTrue="1" operator="equal">
      <formula>"-"</formula>
    </cfRule>
  </conditionalFormatting>
  <conditionalFormatting sqref="R257:S257 W257">
    <cfRule type="cellIs" dxfId="24" priority="11" stopIfTrue="1" operator="equal">
      <formula>"-"</formula>
    </cfRule>
    <cfRule type="cellIs" dxfId="23" priority="13" stopIfTrue="1" operator="equal">
      <formula>"tbd"</formula>
    </cfRule>
    <cfRule type="cellIs" dxfId="22" priority="15" stopIfTrue="1" operator="equal">
      <formula>"-"</formula>
    </cfRule>
  </conditionalFormatting>
  <conditionalFormatting sqref="R263:V263">
    <cfRule type="cellIs" dxfId="21" priority="14" stopIfTrue="1" operator="equal">
      <formula>"tbd"</formula>
    </cfRule>
  </conditionalFormatting>
  <conditionalFormatting sqref="R263:W263">
    <cfRule type="cellIs" dxfId="20" priority="12" stopIfTrue="1" operator="equal">
      <formula>"-"</formula>
    </cfRule>
    <cfRule type="cellIs" dxfId="19" priority="16" stopIfTrue="1" operator="equal">
      <formula>"-"</formula>
    </cfRule>
  </conditionalFormatting>
  <conditionalFormatting sqref="T369:V369">
    <cfRule type="cellIs" dxfId="18" priority="20" stopIfTrue="1" operator="equal">
      <formula>"-"</formula>
    </cfRule>
    <cfRule type="cellIs" dxfId="17" priority="21" stopIfTrue="1" operator="equal">
      <formula>"tbd"</formula>
    </cfRule>
    <cfRule type="cellIs" dxfId="16" priority="22" stopIfTrue="1" operator="equal">
      <formula>"-"</formula>
    </cfRule>
  </conditionalFormatting>
  <conditionalFormatting sqref="W263">
    <cfRule type="cellIs" dxfId="15" priority="10" stopIfTrue="1" operator="equal">
      <formula>"tbd"</formula>
    </cfRule>
  </conditionalFormatting>
  <dataValidations disablePrompts="1" count="2">
    <dataValidation type="list" allowBlank="1" showInputMessage="1" showErrorMessage="1" sqref="P2:P3 P5:P7 P70 Q613 O612:P612 Q615 O614:P614 Q617 O616:P616 Q621 O618:P618 Q623 O624:P624 O620:P620 O622:P622 Q619 Q627 O626 O628:P628 O632:P632 O634:P634 O630:P630 Q629 Q631 Q633 Q635 Q352:Q365 P636:P1048576 P73:P222 Q257:Q345 P224:P365 P10:P68 P367:P570 P572:P611 P625:P626" xr:uid="{D87F50F8-7E4C-46AA-AE77-58BD12B858C1}">
      <formula1>"R,W,R/W"</formula1>
    </dataValidation>
    <dataValidation type="list" allowBlank="1" showInputMessage="1" showErrorMessage="1" sqref="L263 L257" xr:uid="{F48CA7A2-DB3C-494F-BA91-4885C85493D3}">
      <formula1>#NAME?</formula1>
    </dataValidation>
  </dataValidations>
  <hyperlinks>
    <hyperlink ref="A1" location="_0x22" display="Return" xr:uid="{3BB6AB5F-7762-4F5E-8DE3-2C6597F1A6B0}"/>
  </hyperlinks>
  <pageMargins left="0.69930555555555596" right="0.69930555555555596" top="0.75" bottom="0.75" header="0.3" footer="0.3"/>
  <pageSetup paperSize="9" orientation="portrait" r:id="rId1"/>
  <headerFooter alignWithMargins="0"/>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工作表14"/>
  <dimension ref="A1:AP37"/>
  <sheetViews>
    <sheetView topLeftCell="D1" zoomScale="70" zoomScaleNormal="70" workbookViewId="0">
      <selection activeCell="N23" sqref="N23"/>
    </sheetView>
  </sheetViews>
  <sheetFormatPr defaultColWidth="9" defaultRowHeight="15.75"/>
  <cols>
    <col min="1" max="1" width="5.625" style="48" customWidth="1"/>
    <col min="2" max="2" width="8.125" style="128" customWidth="1"/>
    <col min="3" max="3" width="22.25" style="48" customWidth="1"/>
    <col min="4" max="4" width="12.875" style="48" customWidth="1"/>
    <col min="5" max="5" width="12.25" style="48" customWidth="1"/>
    <col min="6" max="6" width="7" style="126" customWidth="1"/>
    <col min="7" max="7" width="6.75" style="126" customWidth="1"/>
    <col min="8" max="8" width="7.25" style="126" customWidth="1"/>
    <col min="9" max="9" width="7.875" style="126" customWidth="1"/>
    <col min="10" max="10" width="22.875" style="109" customWidth="1"/>
    <col min="11" max="11" width="10.5" style="48" customWidth="1"/>
    <col min="12" max="12" width="10" style="48" customWidth="1"/>
    <col min="13" max="13" width="6.625" style="48" customWidth="1"/>
    <col min="14" max="14" width="9.75" style="126" customWidth="1"/>
    <col min="15" max="15" width="13.75" style="109" customWidth="1"/>
    <col min="16" max="16" width="9.625" style="48" customWidth="1"/>
    <col min="17" max="17" width="7.75" style="126" customWidth="1"/>
    <col min="18" max="18" width="18.875" style="126" customWidth="1"/>
    <col min="19" max="19" width="15.25" style="48" customWidth="1"/>
    <col min="20" max="20" width="14.25" style="48" customWidth="1"/>
    <col min="21" max="21" width="15" style="48" customWidth="1"/>
    <col min="22" max="36" width="9" style="48"/>
    <col min="37" max="37" width="15.5" style="48" customWidth="1"/>
    <col min="38" max="38" width="9" style="48" hidden="1" customWidth="1"/>
    <col min="39" max="39" width="13.125" style="48" hidden="1" customWidth="1"/>
    <col min="40" max="42" width="9" style="48" hidden="1" customWidth="1"/>
    <col min="43" max="43" width="12.875" style="48" customWidth="1"/>
    <col min="44" max="16384" width="9" style="48"/>
  </cols>
  <sheetData>
    <row r="1" spans="1:41" ht="18.75">
      <c r="A1" s="121" t="s">
        <v>0</v>
      </c>
      <c r="B1" s="58"/>
      <c r="C1" s="59"/>
      <c r="D1" s="59"/>
      <c r="E1" s="59"/>
      <c r="F1" s="60"/>
      <c r="G1" s="60"/>
      <c r="H1" s="60"/>
      <c r="I1" s="60"/>
      <c r="J1" s="76"/>
      <c r="K1" s="60"/>
      <c r="L1" s="60"/>
      <c r="M1" s="60"/>
      <c r="N1" s="61"/>
      <c r="O1" s="78"/>
      <c r="Q1" s="61"/>
      <c r="R1" s="60"/>
      <c r="AM1" s="122" t="s">
        <v>4444</v>
      </c>
      <c r="AO1" s="122" t="s">
        <v>4445</v>
      </c>
    </row>
    <row r="2" spans="1:41" s="18" customFormat="1" ht="15.75" customHeight="1">
      <c r="A2" s="907" t="s">
        <v>5870</v>
      </c>
      <c r="B2" s="908"/>
      <c r="C2" s="908"/>
      <c r="D2" s="908"/>
      <c r="E2" s="908"/>
      <c r="F2" s="908"/>
      <c r="G2" s="908"/>
      <c r="H2" s="908"/>
      <c r="I2" s="908"/>
      <c r="J2" s="908"/>
      <c r="K2" s="908"/>
      <c r="L2" s="908"/>
      <c r="M2" s="908"/>
      <c r="N2" s="908"/>
      <c r="O2" s="908"/>
      <c r="P2" s="908"/>
      <c r="Q2" s="908"/>
      <c r="R2" s="908"/>
      <c r="AM2" s="123" t="s">
        <v>152</v>
      </c>
      <c r="AN2" s="48"/>
      <c r="AO2" s="123" t="s">
        <v>156</v>
      </c>
    </row>
    <row r="3" spans="1:41" s="18" customFormat="1" ht="21" customHeight="1">
      <c r="A3" s="909"/>
      <c r="B3" s="908"/>
      <c r="C3" s="908"/>
      <c r="D3" s="908"/>
      <c r="E3" s="908"/>
      <c r="F3" s="908"/>
      <c r="G3" s="908"/>
      <c r="H3" s="908"/>
      <c r="I3" s="908"/>
      <c r="J3" s="908"/>
      <c r="K3" s="908"/>
      <c r="L3" s="908"/>
      <c r="M3" s="908"/>
      <c r="N3" s="908"/>
      <c r="O3" s="908"/>
      <c r="P3" s="908"/>
      <c r="Q3" s="908"/>
      <c r="R3" s="908"/>
      <c r="AM3" s="123" t="s">
        <v>158</v>
      </c>
      <c r="AN3" s="48"/>
      <c r="AO3" s="123" t="s">
        <v>4447</v>
      </c>
    </row>
    <row r="4" spans="1:41" s="18" customFormat="1" ht="8.25" customHeight="1">
      <c r="A4" s="79"/>
      <c r="B4" s="80"/>
      <c r="C4" s="80"/>
      <c r="D4" s="80"/>
      <c r="E4" s="80"/>
      <c r="F4" s="81"/>
      <c r="G4" s="81"/>
      <c r="H4" s="81"/>
      <c r="I4" s="81"/>
      <c r="J4" s="82"/>
      <c r="K4" s="82"/>
      <c r="L4" s="82"/>
      <c r="M4" s="82"/>
      <c r="N4" s="73"/>
      <c r="O4" s="82"/>
      <c r="P4" s="128"/>
      <c r="Q4" s="73"/>
      <c r="R4" s="73"/>
      <c r="AM4" s="123" t="s">
        <v>161</v>
      </c>
      <c r="AN4" s="48"/>
      <c r="AO4" s="124" t="s">
        <v>4448</v>
      </c>
    </row>
    <row r="5" spans="1:41" s="19" customFormat="1" ht="43.5" customHeight="1">
      <c r="A5" s="910" t="s">
        <v>5871</v>
      </c>
      <c r="B5" s="911"/>
      <c r="C5" s="912"/>
      <c r="D5" s="912"/>
      <c r="E5" s="912"/>
      <c r="F5" s="912"/>
      <c r="G5" s="912"/>
      <c r="H5" s="912"/>
      <c r="I5" s="912"/>
      <c r="J5" s="912"/>
      <c r="K5" s="912"/>
      <c r="L5" s="912"/>
      <c r="M5" s="912"/>
      <c r="N5" s="912"/>
      <c r="O5" s="912"/>
      <c r="P5" s="912"/>
      <c r="Q5" s="912"/>
      <c r="R5" s="912"/>
      <c r="S5" s="912"/>
      <c r="T5" s="912"/>
      <c r="U5" s="913"/>
      <c r="AM5" s="124" t="s">
        <v>4450</v>
      </c>
      <c r="AN5" s="48"/>
      <c r="AO5" s="48"/>
    </row>
    <row r="6" spans="1:41" s="22" customFormat="1" ht="27" customHeight="1">
      <c r="A6" s="117" t="s">
        <v>5872</v>
      </c>
      <c r="B6" s="939" t="s">
        <v>5873</v>
      </c>
      <c r="C6" s="938"/>
      <c r="D6" s="938"/>
      <c r="E6" s="938"/>
      <c r="F6" s="938"/>
      <c r="G6" s="938"/>
      <c r="H6" s="938"/>
      <c r="I6" s="938"/>
      <c r="J6" s="938"/>
      <c r="K6" s="938"/>
      <c r="L6" s="938"/>
      <c r="M6" s="938"/>
      <c r="N6" s="938"/>
      <c r="O6" s="938"/>
      <c r="P6" s="938"/>
      <c r="Q6" s="938"/>
      <c r="R6" s="938"/>
      <c r="S6" s="938"/>
      <c r="T6" s="938"/>
      <c r="U6" s="940"/>
    </row>
    <row r="7" spans="1:41" ht="10.9" customHeight="1">
      <c r="A7" s="914"/>
      <c r="B7" s="941"/>
      <c r="C7" s="941"/>
      <c r="D7" s="941"/>
      <c r="E7" s="941"/>
      <c r="F7" s="941"/>
      <c r="G7" s="941"/>
      <c r="H7" s="941"/>
      <c r="I7" s="941"/>
      <c r="J7" s="941"/>
      <c r="K7" s="941"/>
      <c r="L7" s="941"/>
      <c r="M7" s="941"/>
      <c r="N7" s="941"/>
      <c r="O7" s="941"/>
      <c r="P7" s="941"/>
      <c r="Q7" s="941"/>
      <c r="R7" s="941"/>
    </row>
    <row r="8" spans="1:41" ht="33.75" customHeight="1">
      <c r="A8" s="875" t="s">
        <v>4452</v>
      </c>
      <c r="B8" s="875" t="s">
        <v>5874</v>
      </c>
      <c r="C8" s="875" t="s">
        <v>5875</v>
      </c>
      <c r="D8" s="875" t="s">
        <v>5876</v>
      </c>
      <c r="E8" s="875" t="s">
        <v>5877</v>
      </c>
      <c r="F8" s="875" t="s">
        <v>4456</v>
      </c>
      <c r="G8" s="875" t="s">
        <v>4457</v>
      </c>
      <c r="H8" s="916" t="s">
        <v>4458</v>
      </c>
      <c r="I8" s="916" t="s">
        <v>4459</v>
      </c>
      <c r="J8" s="875" t="s">
        <v>4460</v>
      </c>
      <c r="K8" s="875" t="s">
        <v>4461</v>
      </c>
      <c r="L8" s="875" t="s">
        <v>4462</v>
      </c>
      <c r="M8" s="875" t="s">
        <v>54</v>
      </c>
      <c r="N8" s="875" t="s">
        <v>4463</v>
      </c>
      <c r="O8" s="875" t="s">
        <v>4464</v>
      </c>
      <c r="P8" s="875" t="s">
        <v>4465</v>
      </c>
      <c r="Q8" s="875" t="s">
        <v>4466</v>
      </c>
      <c r="R8" s="882" t="s">
        <v>4919</v>
      </c>
      <c r="S8" s="882" t="s">
        <v>4920</v>
      </c>
      <c r="T8" s="882" t="s">
        <v>467</v>
      </c>
      <c r="U8" s="875" t="s">
        <v>4916</v>
      </c>
    </row>
    <row r="9" spans="1:41" ht="15">
      <c r="A9" s="875"/>
      <c r="B9" s="875"/>
      <c r="C9" s="875"/>
      <c r="D9" s="875"/>
      <c r="E9" s="875"/>
      <c r="F9" s="875"/>
      <c r="G9" s="875"/>
      <c r="H9" s="916"/>
      <c r="I9" s="916"/>
      <c r="J9" s="875"/>
      <c r="K9" s="875"/>
      <c r="L9" s="875"/>
      <c r="M9" s="875"/>
      <c r="N9" s="875"/>
      <c r="O9" s="875"/>
      <c r="P9" s="875"/>
      <c r="Q9" s="875"/>
      <c r="R9" s="882"/>
      <c r="S9" s="882"/>
      <c r="T9" s="882"/>
      <c r="U9" s="917"/>
    </row>
    <row r="10" spans="1:41" ht="16.149999999999999" customHeight="1">
      <c r="A10" s="27"/>
      <c r="B10" s="28"/>
      <c r="C10" s="27"/>
      <c r="D10" s="27"/>
      <c r="E10" s="27"/>
      <c r="F10" s="27"/>
      <c r="G10" s="27"/>
      <c r="H10" s="27"/>
      <c r="I10" s="27"/>
      <c r="J10" s="30"/>
      <c r="K10" s="27"/>
      <c r="L10" s="27"/>
      <c r="M10" s="30"/>
      <c r="N10" s="43"/>
      <c r="O10" s="44"/>
      <c r="P10" s="27"/>
      <c r="Q10" s="27"/>
      <c r="R10" s="42"/>
      <c r="S10" s="42"/>
      <c r="T10" s="42"/>
      <c r="U10" s="42"/>
      <c r="AI10" s="21"/>
      <c r="AK10" s="18"/>
    </row>
    <row r="11" spans="1:41" ht="16.149999999999999" customHeight="1">
      <c r="A11" s="27"/>
      <c r="B11" s="28"/>
      <c r="C11" s="27"/>
      <c r="D11" s="27"/>
      <c r="E11" s="27"/>
      <c r="F11" s="27"/>
      <c r="G11" s="27"/>
      <c r="H11" s="27"/>
      <c r="I11" s="27"/>
      <c r="J11" s="30"/>
      <c r="K11" s="27"/>
      <c r="L11" s="27"/>
      <c r="M11" s="30"/>
      <c r="N11" s="43"/>
      <c r="O11" s="44"/>
      <c r="P11" s="27"/>
      <c r="Q11" s="27"/>
      <c r="R11" s="42"/>
      <c r="S11" s="42"/>
      <c r="T11" s="42"/>
      <c r="U11" s="42"/>
      <c r="AI11" s="21"/>
      <c r="AK11" s="18"/>
    </row>
    <row r="12" spans="1:41" ht="16.899999999999999" customHeight="1">
      <c r="A12" s="27"/>
      <c r="B12" s="28"/>
      <c r="C12" s="27"/>
      <c r="D12" s="27"/>
      <c r="E12" s="27"/>
      <c r="F12" s="27"/>
      <c r="G12" s="27"/>
      <c r="H12" s="27"/>
      <c r="I12" s="27"/>
      <c r="J12" s="30"/>
      <c r="K12" s="27"/>
      <c r="L12" s="27"/>
      <c r="M12" s="30"/>
      <c r="N12" s="43"/>
      <c r="O12" s="44"/>
      <c r="P12" s="27"/>
      <c r="Q12" s="27"/>
      <c r="R12" s="42"/>
      <c r="S12" s="42"/>
      <c r="T12" s="42"/>
      <c r="U12" s="42"/>
      <c r="AI12" s="21"/>
      <c r="AK12" s="18"/>
    </row>
    <row r="13" spans="1:41" ht="18" customHeight="1">
      <c r="A13" s="27"/>
      <c r="B13" s="28"/>
      <c r="C13" s="27"/>
      <c r="D13" s="27"/>
      <c r="E13" s="27"/>
      <c r="F13" s="27"/>
      <c r="G13" s="27"/>
      <c r="H13" s="27"/>
      <c r="I13" s="27"/>
      <c r="J13" s="30"/>
      <c r="K13" s="27"/>
      <c r="L13" s="27"/>
      <c r="M13" s="30"/>
      <c r="N13" s="43"/>
      <c r="O13" s="44"/>
      <c r="P13" s="27"/>
      <c r="Q13" s="27"/>
      <c r="R13" s="42"/>
      <c r="S13" s="42"/>
      <c r="T13" s="42"/>
      <c r="U13" s="42"/>
      <c r="AI13" s="21"/>
      <c r="AK13" s="18"/>
    </row>
    <row r="14" spans="1:41" ht="16.899999999999999" customHeight="1">
      <c r="A14" s="27"/>
      <c r="B14" s="28"/>
      <c r="C14" s="27"/>
      <c r="D14" s="27"/>
      <c r="E14" s="27"/>
      <c r="F14" s="27"/>
      <c r="G14" s="27"/>
      <c r="H14" s="27"/>
      <c r="I14" s="27"/>
      <c r="J14" s="30"/>
      <c r="K14" s="27"/>
      <c r="L14" s="27"/>
      <c r="M14" s="30"/>
      <c r="N14" s="43"/>
      <c r="O14" s="44"/>
      <c r="P14" s="27"/>
      <c r="Q14" s="27"/>
      <c r="R14" s="42"/>
      <c r="S14" s="42"/>
      <c r="T14" s="42"/>
      <c r="U14" s="42"/>
      <c r="AI14" s="21"/>
      <c r="AK14" s="18"/>
    </row>
    <row r="15" spans="1:41" ht="16.149999999999999" customHeight="1">
      <c r="A15" s="27"/>
      <c r="B15" s="28"/>
      <c r="C15" s="27"/>
      <c r="D15" s="27"/>
      <c r="E15" s="27"/>
      <c r="F15" s="27"/>
      <c r="G15" s="27"/>
      <c r="H15" s="27"/>
      <c r="I15" s="27"/>
      <c r="J15" s="30"/>
      <c r="K15" s="27"/>
      <c r="L15" s="27"/>
      <c r="M15" s="30"/>
      <c r="N15" s="43"/>
      <c r="O15" s="44"/>
      <c r="P15" s="27"/>
      <c r="Q15" s="27"/>
      <c r="R15" s="42"/>
      <c r="S15" s="42"/>
      <c r="T15" s="42"/>
      <c r="U15" s="42"/>
      <c r="AI15" s="21"/>
      <c r="AK15" s="18"/>
    </row>
    <row r="16" spans="1:41" ht="18" customHeight="1">
      <c r="A16" s="27"/>
      <c r="B16" s="28"/>
      <c r="C16" s="27"/>
      <c r="D16" s="27"/>
      <c r="E16" s="27"/>
      <c r="F16" s="27"/>
      <c r="G16" s="27"/>
      <c r="H16" s="27"/>
      <c r="I16" s="27"/>
      <c r="J16" s="30"/>
      <c r="K16" s="27"/>
      <c r="L16" s="27"/>
      <c r="M16" s="30"/>
      <c r="N16" s="43"/>
      <c r="O16" s="44"/>
      <c r="P16" s="27"/>
      <c r="Q16" s="27"/>
      <c r="R16" s="42"/>
      <c r="S16" s="42"/>
      <c r="T16" s="42"/>
      <c r="U16" s="42"/>
      <c r="AI16" s="21"/>
      <c r="AK16" s="18"/>
    </row>
    <row r="17" spans="1:37" ht="16.149999999999999" customHeight="1">
      <c r="A17" s="27"/>
      <c r="B17" s="28"/>
      <c r="C17" s="27"/>
      <c r="D17" s="27"/>
      <c r="E17" s="27"/>
      <c r="F17" s="27"/>
      <c r="G17" s="27"/>
      <c r="H17" s="27"/>
      <c r="I17" s="27"/>
      <c r="J17" s="30"/>
      <c r="K17" s="27"/>
      <c r="L17" s="27"/>
      <c r="M17" s="30"/>
      <c r="N17" s="43"/>
      <c r="O17" s="44"/>
      <c r="P17" s="27"/>
      <c r="Q17" s="27"/>
      <c r="R17" s="42"/>
      <c r="S17" s="42"/>
      <c r="T17" s="42"/>
      <c r="U17" s="42"/>
      <c r="AI17" s="21"/>
      <c r="AK17" s="18"/>
    </row>
    <row r="18" spans="1:37" ht="16.899999999999999" customHeight="1">
      <c r="A18" s="27"/>
      <c r="B18" s="28"/>
      <c r="C18" s="27"/>
      <c r="D18" s="27"/>
      <c r="E18" s="27"/>
      <c r="F18" s="27"/>
      <c r="G18" s="27"/>
      <c r="H18" s="27"/>
      <c r="I18" s="27"/>
      <c r="J18" s="30"/>
      <c r="K18" s="27"/>
      <c r="L18" s="27"/>
      <c r="M18" s="30"/>
      <c r="N18" s="43"/>
      <c r="O18" s="44"/>
      <c r="P18" s="27"/>
      <c r="Q18" s="27"/>
      <c r="R18" s="42"/>
      <c r="S18" s="42"/>
      <c r="T18" s="42"/>
      <c r="U18" s="42"/>
      <c r="AI18" s="21"/>
      <c r="AK18" s="18"/>
    </row>
    <row r="19" spans="1:37" ht="18" customHeight="1">
      <c r="A19" s="27"/>
      <c r="B19" s="28"/>
      <c r="C19" s="27"/>
      <c r="D19" s="27"/>
      <c r="E19" s="27"/>
      <c r="F19" s="27"/>
      <c r="G19" s="27"/>
      <c r="H19" s="27"/>
      <c r="I19" s="27"/>
      <c r="J19" s="30"/>
      <c r="K19" s="27"/>
      <c r="L19" s="27"/>
      <c r="M19" s="30"/>
      <c r="N19" s="43"/>
      <c r="O19" s="44"/>
      <c r="P19" s="27"/>
      <c r="Q19" s="27"/>
      <c r="R19" s="42"/>
      <c r="S19" s="42"/>
      <c r="T19" s="42"/>
      <c r="U19" s="42"/>
      <c r="AI19" s="21"/>
      <c r="AK19" s="18"/>
    </row>
    <row r="20" spans="1:37" ht="16.899999999999999" customHeight="1">
      <c r="A20" s="27"/>
      <c r="B20" s="28"/>
      <c r="C20" s="27"/>
      <c r="D20" s="27"/>
      <c r="E20" s="27"/>
      <c r="F20" s="27"/>
      <c r="G20" s="27"/>
      <c r="H20" s="27"/>
      <c r="I20" s="27"/>
      <c r="J20" s="30"/>
      <c r="K20" s="27"/>
      <c r="L20" s="27"/>
      <c r="M20" s="30"/>
      <c r="N20" s="43"/>
      <c r="O20" s="44"/>
      <c r="P20" s="27"/>
      <c r="Q20" s="27"/>
      <c r="R20" s="42"/>
      <c r="S20" s="42"/>
      <c r="T20" s="42"/>
      <c r="U20" s="42"/>
      <c r="AI20" s="21"/>
      <c r="AK20" s="18"/>
    </row>
    <row r="21" spans="1:37" ht="16.149999999999999" customHeight="1">
      <c r="A21" s="27"/>
      <c r="B21" s="28"/>
      <c r="C21" s="27"/>
      <c r="D21" s="27"/>
      <c r="E21" s="27"/>
      <c r="F21" s="27"/>
      <c r="G21" s="27"/>
      <c r="H21" s="27"/>
      <c r="I21" s="27"/>
      <c r="J21" s="30"/>
      <c r="K21" s="27"/>
      <c r="L21" s="27"/>
      <c r="M21" s="30"/>
      <c r="N21" s="43"/>
      <c r="O21" s="44"/>
      <c r="P21" s="27"/>
      <c r="Q21" s="27"/>
      <c r="R21" s="42"/>
      <c r="S21" s="42"/>
      <c r="T21" s="42"/>
      <c r="U21" s="42"/>
      <c r="AI21" s="21"/>
      <c r="AK21" s="18"/>
    </row>
    <row r="22" spans="1:37" ht="18" customHeight="1">
      <c r="A22" s="27"/>
      <c r="B22" s="28"/>
      <c r="C22" s="27"/>
      <c r="D22" s="27"/>
      <c r="E22" s="27"/>
      <c r="F22" s="27"/>
      <c r="G22" s="27"/>
      <c r="H22" s="27"/>
      <c r="I22" s="27"/>
      <c r="J22" s="30"/>
      <c r="K22" s="27"/>
      <c r="L22" s="27"/>
      <c r="M22" s="30"/>
      <c r="N22" s="43"/>
      <c r="O22" s="44"/>
      <c r="P22" s="27"/>
      <c r="Q22" s="27"/>
      <c r="R22" s="42"/>
      <c r="S22" s="42"/>
      <c r="T22" s="42"/>
      <c r="U22" s="42"/>
      <c r="AI22" s="21"/>
      <c r="AK22" s="18"/>
    </row>
    <row r="23" spans="1:37" ht="18" customHeight="1">
      <c r="A23" s="27"/>
      <c r="B23" s="28"/>
      <c r="C23" s="27"/>
      <c r="D23" s="27"/>
      <c r="E23" s="27"/>
      <c r="F23" s="27"/>
      <c r="G23" s="27"/>
      <c r="H23" s="27"/>
      <c r="I23" s="27"/>
      <c r="J23" s="30"/>
      <c r="K23" s="27"/>
      <c r="L23" s="27"/>
      <c r="M23" s="30"/>
      <c r="N23" s="43"/>
      <c r="O23" s="44"/>
      <c r="P23" s="27"/>
      <c r="Q23" s="27"/>
      <c r="R23" s="42"/>
      <c r="S23" s="42"/>
      <c r="T23" s="42"/>
      <c r="U23" s="42"/>
      <c r="AI23" s="21"/>
      <c r="AK23" s="18"/>
    </row>
    <row r="24" spans="1:37" ht="16.149999999999999" customHeight="1">
      <c r="A24" s="27"/>
      <c r="B24" s="28"/>
      <c r="C24" s="27"/>
      <c r="D24" s="27"/>
      <c r="E24" s="27"/>
      <c r="F24" s="27"/>
      <c r="G24" s="27"/>
      <c r="H24" s="27"/>
      <c r="I24" s="27"/>
      <c r="J24" s="30"/>
      <c r="K24" s="27"/>
      <c r="L24" s="27"/>
      <c r="M24" s="30"/>
      <c r="N24" s="43"/>
      <c r="O24" s="44"/>
      <c r="P24" s="27"/>
      <c r="Q24" s="27"/>
      <c r="R24" s="42"/>
      <c r="S24" s="42"/>
      <c r="T24" s="42"/>
      <c r="U24" s="42"/>
      <c r="AI24" s="21"/>
      <c r="AK24" s="18"/>
    </row>
    <row r="25" spans="1:37" ht="16.899999999999999" customHeight="1">
      <c r="A25" s="27"/>
      <c r="B25" s="28"/>
      <c r="C25" s="27"/>
      <c r="D25" s="27"/>
      <c r="E25" s="27"/>
      <c r="F25" s="27"/>
      <c r="G25" s="27"/>
      <c r="H25" s="27"/>
      <c r="I25" s="27"/>
      <c r="J25" s="30"/>
      <c r="K25" s="27"/>
      <c r="L25" s="27"/>
      <c r="M25" s="30"/>
      <c r="N25" s="43"/>
      <c r="O25" s="44"/>
      <c r="P25" s="27"/>
      <c r="Q25" s="27"/>
      <c r="R25" s="42"/>
      <c r="S25" s="42"/>
      <c r="T25" s="42"/>
      <c r="U25" s="42"/>
      <c r="AI25" s="21"/>
      <c r="AK25" s="18"/>
    </row>
    <row r="26" spans="1:37" ht="18" customHeight="1">
      <c r="A26" s="27"/>
      <c r="B26" s="28"/>
      <c r="C26" s="27"/>
      <c r="D26" s="27"/>
      <c r="E26" s="27"/>
      <c r="F26" s="27"/>
      <c r="G26" s="27"/>
      <c r="H26" s="27"/>
      <c r="I26" s="27"/>
      <c r="J26" s="30"/>
      <c r="K26" s="27"/>
      <c r="L26" s="27"/>
      <c r="M26" s="30"/>
      <c r="N26" s="43"/>
      <c r="O26" s="44"/>
      <c r="P26" s="27"/>
      <c r="Q26" s="27"/>
      <c r="R26" s="42"/>
      <c r="S26" s="42"/>
      <c r="T26" s="42"/>
      <c r="U26" s="42"/>
      <c r="AI26" s="21"/>
      <c r="AK26" s="18"/>
    </row>
    <row r="27" spans="1:37" ht="16.899999999999999" customHeight="1">
      <c r="A27" s="27"/>
      <c r="B27" s="28"/>
      <c r="C27" s="27"/>
      <c r="D27" s="27"/>
      <c r="E27" s="27"/>
      <c r="F27" s="27"/>
      <c r="G27" s="27"/>
      <c r="H27" s="27"/>
      <c r="I27" s="27"/>
      <c r="J27" s="30"/>
      <c r="K27" s="27"/>
      <c r="L27" s="27"/>
      <c r="M27" s="30"/>
      <c r="N27" s="43"/>
      <c r="O27" s="44"/>
      <c r="P27" s="27"/>
      <c r="Q27" s="27"/>
      <c r="R27" s="42"/>
      <c r="S27" s="42"/>
      <c r="T27" s="42"/>
      <c r="U27" s="42"/>
      <c r="AI27" s="21"/>
      <c r="AK27" s="18"/>
    </row>
    <row r="28" spans="1:37" ht="16.149999999999999" customHeight="1">
      <c r="A28" s="27"/>
      <c r="B28" s="28"/>
      <c r="C28" s="27"/>
      <c r="D28" s="27"/>
      <c r="E28" s="27"/>
      <c r="F28" s="27"/>
      <c r="G28" s="27"/>
      <c r="H28" s="27"/>
      <c r="I28" s="27"/>
      <c r="J28" s="30"/>
      <c r="K28" s="27"/>
      <c r="L28" s="27"/>
      <c r="M28" s="30"/>
      <c r="N28" s="43"/>
      <c r="O28" s="44"/>
      <c r="P28" s="27"/>
      <c r="Q28" s="27"/>
      <c r="R28" s="42"/>
      <c r="S28" s="42"/>
      <c r="T28" s="42"/>
      <c r="U28" s="42"/>
      <c r="AI28" s="21"/>
      <c r="AK28" s="18"/>
    </row>
    <row r="29" spans="1:37" ht="18" customHeight="1">
      <c r="A29" s="27"/>
      <c r="B29" s="28"/>
      <c r="C29" s="27"/>
      <c r="D29" s="27"/>
      <c r="E29" s="27"/>
      <c r="F29" s="27"/>
      <c r="G29" s="27"/>
      <c r="H29" s="27"/>
      <c r="I29" s="27"/>
      <c r="J29" s="30"/>
      <c r="K29" s="27"/>
      <c r="L29" s="27"/>
      <c r="M29" s="30"/>
      <c r="N29" s="43"/>
      <c r="O29" s="44"/>
      <c r="P29" s="27"/>
      <c r="Q29" s="27"/>
      <c r="R29" s="42"/>
      <c r="S29" s="42"/>
      <c r="T29" s="42"/>
      <c r="U29" s="42"/>
      <c r="AI29" s="21"/>
      <c r="AK29" s="18"/>
    </row>
    <row r="30" spans="1:37" ht="16.149999999999999" customHeight="1">
      <c r="A30" s="27"/>
      <c r="B30" s="28"/>
      <c r="C30" s="27"/>
      <c r="D30" s="27"/>
      <c r="E30" s="27"/>
      <c r="F30" s="27"/>
      <c r="G30" s="27"/>
      <c r="H30" s="27"/>
      <c r="I30" s="27"/>
      <c r="J30" s="30"/>
      <c r="K30" s="27"/>
      <c r="L30" s="27"/>
      <c r="M30" s="30"/>
      <c r="N30" s="43"/>
      <c r="O30" s="44"/>
      <c r="P30" s="27"/>
      <c r="Q30" s="27"/>
      <c r="R30" s="42"/>
      <c r="S30" s="42"/>
      <c r="T30" s="42"/>
      <c r="U30" s="42"/>
      <c r="AI30" s="21"/>
      <c r="AK30" s="18"/>
    </row>
    <row r="31" spans="1:37" ht="16.899999999999999" customHeight="1">
      <c r="A31" s="27"/>
      <c r="B31" s="28"/>
      <c r="C31" s="27"/>
      <c r="D31" s="27"/>
      <c r="E31" s="27"/>
      <c r="F31" s="27"/>
      <c r="G31" s="27"/>
      <c r="H31" s="27"/>
      <c r="I31" s="27"/>
      <c r="J31" s="30"/>
      <c r="K31" s="27"/>
      <c r="L31" s="27"/>
      <c r="M31" s="30"/>
      <c r="N31" s="43"/>
      <c r="O31" s="44"/>
      <c r="P31" s="27"/>
      <c r="Q31" s="27"/>
      <c r="R31" s="42"/>
      <c r="S31" s="42"/>
      <c r="T31" s="42"/>
      <c r="U31" s="42"/>
      <c r="AI31" s="21"/>
      <c r="AK31" s="18"/>
    </row>
    <row r="32" spans="1:37" ht="18" customHeight="1">
      <c r="A32" s="27"/>
      <c r="B32" s="28"/>
      <c r="C32" s="27"/>
      <c r="D32" s="27"/>
      <c r="E32" s="27"/>
      <c r="F32" s="27"/>
      <c r="G32" s="27"/>
      <c r="H32" s="27"/>
      <c r="I32" s="27"/>
      <c r="J32" s="30"/>
      <c r="K32" s="27"/>
      <c r="L32" s="27"/>
      <c r="M32" s="30"/>
      <c r="N32" s="43"/>
      <c r="O32" s="44"/>
      <c r="P32" s="27"/>
      <c r="Q32" s="27"/>
      <c r="R32" s="42"/>
      <c r="S32" s="42"/>
      <c r="T32" s="42"/>
      <c r="U32" s="42"/>
      <c r="AI32" s="21"/>
      <c r="AK32" s="18"/>
    </row>
    <row r="33" spans="1:37" ht="16.899999999999999" customHeight="1">
      <c r="A33" s="27"/>
      <c r="B33" s="28"/>
      <c r="C33" s="27"/>
      <c r="D33" s="27"/>
      <c r="E33" s="27"/>
      <c r="F33" s="27"/>
      <c r="G33" s="27"/>
      <c r="H33" s="27"/>
      <c r="I33" s="27"/>
      <c r="J33" s="30"/>
      <c r="K33" s="27"/>
      <c r="L33" s="27"/>
      <c r="M33" s="30"/>
      <c r="N33" s="43"/>
      <c r="O33" s="44"/>
      <c r="P33" s="27"/>
      <c r="Q33" s="27"/>
      <c r="R33" s="42"/>
      <c r="S33" s="42"/>
      <c r="T33" s="42"/>
      <c r="U33" s="42"/>
      <c r="AI33" s="21"/>
      <c r="AK33" s="18"/>
    </row>
    <row r="34" spans="1:37" ht="16.149999999999999" customHeight="1">
      <c r="A34" s="27"/>
      <c r="B34" s="28"/>
      <c r="C34" s="27"/>
      <c r="D34" s="27"/>
      <c r="E34" s="27"/>
      <c r="F34" s="27"/>
      <c r="G34" s="27"/>
      <c r="H34" s="27"/>
      <c r="I34" s="27"/>
      <c r="J34" s="30"/>
      <c r="K34" s="27"/>
      <c r="L34" s="27"/>
      <c r="M34" s="30"/>
      <c r="N34" s="43"/>
      <c r="O34" s="44"/>
      <c r="P34" s="27"/>
      <c r="Q34" s="27"/>
      <c r="R34" s="42"/>
      <c r="S34" s="42"/>
      <c r="T34" s="42"/>
      <c r="U34" s="42"/>
      <c r="AI34" s="21"/>
      <c r="AK34" s="18"/>
    </row>
    <row r="35" spans="1:37" ht="18" customHeight="1">
      <c r="A35" s="27"/>
      <c r="B35" s="28"/>
      <c r="C35" s="27"/>
      <c r="D35" s="27"/>
      <c r="E35" s="27"/>
      <c r="F35" s="27"/>
      <c r="G35" s="27"/>
      <c r="H35" s="27"/>
      <c r="I35" s="27"/>
      <c r="J35" s="30"/>
      <c r="K35" s="27"/>
      <c r="L35" s="27"/>
      <c r="M35" s="30"/>
      <c r="N35" s="43"/>
      <c r="O35" s="44"/>
      <c r="P35" s="27"/>
      <c r="Q35" s="27"/>
      <c r="R35" s="42"/>
      <c r="S35" s="42"/>
      <c r="T35" s="42"/>
      <c r="U35" s="42"/>
      <c r="AI35" s="21"/>
      <c r="AK35" s="18"/>
    </row>
    <row r="36" spans="1:37" ht="18" customHeight="1">
      <c r="A36" s="27"/>
      <c r="B36" s="28"/>
      <c r="C36" s="27"/>
      <c r="D36" s="27"/>
      <c r="E36" s="27"/>
      <c r="F36" s="27"/>
      <c r="G36" s="27"/>
      <c r="H36" s="27"/>
      <c r="I36" s="27"/>
      <c r="J36" s="30"/>
      <c r="K36" s="27"/>
      <c r="L36" s="27"/>
      <c r="M36" s="30"/>
      <c r="N36" s="43"/>
      <c r="O36" s="44"/>
      <c r="P36" s="27"/>
      <c r="Q36" s="27"/>
      <c r="R36" s="42"/>
      <c r="S36" s="42"/>
      <c r="T36" s="42"/>
      <c r="U36" s="42"/>
      <c r="AI36" s="21"/>
      <c r="AK36" s="18"/>
    </row>
    <row r="37" spans="1:37" ht="15">
      <c r="A37" s="27"/>
      <c r="B37" s="28" t="s">
        <v>15</v>
      </c>
      <c r="C37" s="30"/>
      <c r="D37" s="30"/>
      <c r="E37" s="30"/>
      <c r="F37" s="27"/>
      <c r="G37" s="27"/>
      <c r="H37" s="27"/>
      <c r="I37" s="27"/>
      <c r="J37" s="30"/>
      <c r="K37" s="30"/>
      <c r="L37" s="30"/>
      <c r="M37" s="30"/>
      <c r="N37" s="27"/>
      <c r="O37" s="30"/>
      <c r="P37" s="27"/>
      <c r="Q37" s="27"/>
      <c r="R37" s="42"/>
      <c r="S37" s="42"/>
      <c r="T37" s="42"/>
      <c r="U37" s="27"/>
    </row>
  </sheetData>
  <sheetProtection formatCells="0" formatColumns="0" formatRows="0"/>
  <mergeCells count="26">
    <mergeCell ref="U8:U9"/>
    <mergeCell ref="O8:O9"/>
    <mergeCell ref="P8:P9"/>
    <mergeCell ref="Q8:Q9"/>
    <mergeCell ref="R8:R9"/>
    <mergeCell ref="S8:S9"/>
    <mergeCell ref="K8:K9"/>
    <mergeCell ref="L8:L9"/>
    <mergeCell ref="M8:M9"/>
    <mergeCell ref="N8:N9"/>
    <mergeCell ref="T8:T9"/>
    <mergeCell ref="F8:F9"/>
    <mergeCell ref="H8:H9"/>
    <mergeCell ref="I8:I9"/>
    <mergeCell ref="J8:J9"/>
    <mergeCell ref="G8:G9"/>
    <mergeCell ref="A8:A9"/>
    <mergeCell ref="B8:B9"/>
    <mergeCell ref="C8:C9"/>
    <mergeCell ref="D8:D9"/>
    <mergeCell ref="E8:E9"/>
    <mergeCell ref="A2:R2"/>
    <mergeCell ref="A3:R3"/>
    <mergeCell ref="A5:U5"/>
    <mergeCell ref="B6:U6"/>
    <mergeCell ref="A7:R7"/>
  </mergeCells>
  <phoneticPr fontId="28" type="noConversion"/>
  <conditionalFormatting sqref="G8 K8:Q8">
    <cfRule type="cellIs" dxfId="14" priority="6" stopIfTrue="1" operator="equal">
      <formula>"tbd"</formula>
    </cfRule>
  </conditionalFormatting>
  <conditionalFormatting sqref="R10:U35">
    <cfRule type="cellIs" dxfId="13" priority="8" stopIfTrue="1" operator="equal">
      <formula>"-"</formula>
    </cfRule>
    <cfRule type="cellIs" dxfId="12" priority="9" stopIfTrue="1" operator="equal">
      <formula>"tbd"</formula>
    </cfRule>
    <cfRule type="cellIs" dxfId="11" priority="10" stopIfTrue="1" operator="equal">
      <formula>"-"</formula>
    </cfRule>
  </conditionalFormatting>
  <conditionalFormatting sqref="U36 R36:T37">
    <cfRule type="cellIs" dxfId="10" priority="18" stopIfTrue="1" operator="equal">
      <formula>"-"</formula>
    </cfRule>
    <cfRule type="cellIs" dxfId="9" priority="19" stopIfTrue="1" operator="equal">
      <formula>"tbd"</formula>
    </cfRule>
    <cfRule type="cellIs" dxfId="8" priority="20" stopIfTrue="1" operator="equal">
      <formula>"-"</formula>
    </cfRule>
  </conditionalFormatting>
  <hyperlinks>
    <hyperlink ref="A1" location="_0x2F" display="Return" xr:uid="{00000000-0004-0000-0C00-000000000000}"/>
  </hyperlinks>
  <pageMargins left="0.69930555555555596" right="0.69930555555555596" top="0.75" bottom="0.75" header="0.3" footer="0.3"/>
  <pageSetup paperSize="9" orientation="portrait" r:id="rId1"/>
  <headerFooter alignWithMargins="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C00-000001000000}">
          <x14:formula1>
            <xm:f>Cover!$W$1:$W$3</xm:f>
          </x14:formula1>
          <xm:sqref>E2:E3 E5:E7 E10:E1048576</xm:sqref>
        </x14:dataValidation>
        <x14:dataValidation type="list" allowBlank="1" showInputMessage="1" showErrorMessage="1" xr:uid="{00000000-0002-0000-0C00-000003000000}">
          <x14:formula1>
            <xm:f>Cover!$X$1:$X$5</xm:f>
          </x14:formula1>
          <xm:sqref>N2:N3 N5:N7 N10:N1048576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工作表15"/>
  <dimension ref="A1:AP96"/>
  <sheetViews>
    <sheetView topLeftCell="F59" zoomScale="70" zoomScaleNormal="70" workbookViewId="0">
      <selection activeCell="O87" sqref="O87"/>
    </sheetView>
  </sheetViews>
  <sheetFormatPr defaultColWidth="9" defaultRowHeight="15.75"/>
  <cols>
    <col min="1" max="1" width="5.625" style="48" customWidth="1"/>
    <col min="2" max="2" width="8.125" style="128" customWidth="1"/>
    <col min="3" max="3" width="22.25" style="48" customWidth="1"/>
    <col min="4" max="4" width="15.5" style="48" customWidth="1"/>
    <col min="5" max="5" width="10" style="128" customWidth="1"/>
    <col min="6" max="6" width="7" style="48" customWidth="1"/>
    <col min="7" max="7" width="6.125" style="126" customWidth="1"/>
    <col min="8" max="8" width="9.875" style="126" customWidth="1"/>
    <col min="9" max="9" width="9.375" style="126" customWidth="1"/>
    <col min="10" max="10" width="22.875" style="109" customWidth="1"/>
    <col min="11" max="11" width="10.5" style="48" customWidth="1"/>
    <col min="12" max="12" width="10" style="48" customWidth="1"/>
    <col min="13" max="13" width="6.625" style="48" customWidth="1"/>
    <col min="14" max="14" width="9.75" style="126" customWidth="1"/>
    <col min="15" max="15" width="34.5" style="109" customWidth="1"/>
    <col min="16" max="16" width="9.625" style="48" customWidth="1"/>
    <col min="17" max="17" width="7.75" style="126" customWidth="1"/>
    <col min="18" max="18" width="18.875" style="126" customWidth="1"/>
    <col min="19" max="19" width="15.25" style="48" customWidth="1"/>
    <col min="20" max="20" width="14.25" style="48" customWidth="1"/>
    <col min="21" max="21" width="30.75" style="48" customWidth="1"/>
    <col min="22" max="26" width="9" style="48" customWidth="1"/>
    <col min="27" max="36" width="9" style="48"/>
    <col min="37" max="37" width="15.5" style="48" customWidth="1"/>
    <col min="38" max="38" width="9" style="48" hidden="1" customWidth="1"/>
    <col min="39" max="39" width="13.125" style="48" hidden="1" customWidth="1"/>
    <col min="40" max="42" width="9" style="48" hidden="1" customWidth="1"/>
    <col min="43" max="43" width="12.875" style="48" customWidth="1"/>
    <col min="44" max="16384" width="9" style="48"/>
  </cols>
  <sheetData>
    <row r="1" spans="1:41" ht="18.75">
      <c r="A1" s="327" t="s">
        <v>0</v>
      </c>
      <c r="B1" s="58"/>
      <c r="C1" s="59"/>
      <c r="D1" s="59"/>
      <c r="E1" s="59"/>
      <c r="F1" s="60"/>
      <c r="G1" s="60"/>
      <c r="H1" s="60"/>
      <c r="I1" s="60"/>
      <c r="J1" s="76"/>
      <c r="K1" s="60"/>
      <c r="L1" s="60"/>
      <c r="M1" s="60"/>
      <c r="N1" s="61"/>
      <c r="O1" s="78"/>
      <c r="Q1" s="61"/>
      <c r="R1" s="60"/>
      <c r="AM1" s="122" t="s">
        <v>4444</v>
      </c>
      <c r="AO1" s="122" t="s">
        <v>4445</v>
      </c>
    </row>
    <row r="2" spans="1:41" s="18" customFormat="1" ht="15.75" customHeight="1">
      <c r="A2" s="907" t="s">
        <v>5878</v>
      </c>
      <c r="B2" s="908"/>
      <c r="C2" s="908"/>
      <c r="D2" s="908"/>
      <c r="E2" s="908"/>
      <c r="F2" s="908"/>
      <c r="G2" s="908"/>
      <c r="H2" s="908"/>
      <c r="I2" s="908"/>
      <c r="J2" s="908"/>
      <c r="K2" s="908"/>
      <c r="L2" s="908"/>
      <c r="M2" s="908"/>
      <c r="N2" s="908"/>
      <c r="O2" s="908"/>
      <c r="P2" s="908"/>
      <c r="Q2" s="908"/>
      <c r="R2" s="908"/>
      <c r="S2" s="942"/>
      <c r="T2" s="942"/>
      <c r="AM2" s="123" t="s">
        <v>152</v>
      </c>
      <c r="AN2" s="48"/>
      <c r="AO2" s="123" t="s">
        <v>156</v>
      </c>
    </row>
    <row r="3" spans="1:41" s="18" customFormat="1" ht="21" customHeight="1">
      <c r="A3" s="909"/>
      <c r="B3" s="908"/>
      <c r="C3" s="908"/>
      <c r="D3" s="908"/>
      <c r="E3" s="908"/>
      <c r="F3" s="908"/>
      <c r="G3" s="908"/>
      <c r="H3" s="908"/>
      <c r="I3" s="908"/>
      <c r="J3" s="908"/>
      <c r="K3" s="908"/>
      <c r="L3" s="908"/>
      <c r="M3" s="908"/>
      <c r="N3" s="908"/>
      <c r="O3" s="908"/>
      <c r="P3" s="908"/>
      <c r="Q3" s="908"/>
      <c r="R3" s="908"/>
      <c r="S3" s="942"/>
      <c r="T3" s="942"/>
      <c r="AM3" s="123" t="s">
        <v>158</v>
      </c>
      <c r="AN3" s="48"/>
      <c r="AO3" s="123" t="s">
        <v>4447</v>
      </c>
    </row>
    <row r="4" spans="1:41" s="18" customFormat="1" ht="8.25" customHeight="1">
      <c r="A4" s="79"/>
      <c r="B4" s="80"/>
      <c r="C4" s="80"/>
      <c r="D4" s="80"/>
      <c r="E4" s="80"/>
      <c r="F4" s="81"/>
      <c r="G4" s="81"/>
      <c r="H4" s="81"/>
      <c r="I4" s="81"/>
      <c r="J4" s="82"/>
      <c r="K4" s="82"/>
      <c r="L4" s="82"/>
      <c r="M4" s="82"/>
      <c r="N4" s="73"/>
      <c r="O4" s="82"/>
      <c r="P4" s="128"/>
      <c r="Q4" s="73"/>
      <c r="R4" s="73"/>
      <c r="AM4" s="123" t="s">
        <v>161</v>
      </c>
      <c r="AN4" s="48"/>
      <c r="AO4" s="124" t="s">
        <v>4448</v>
      </c>
    </row>
    <row r="5" spans="1:41" s="19" customFormat="1" ht="43.5" customHeight="1">
      <c r="A5" s="910" t="s">
        <v>5879</v>
      </c>
      <c r="B5" s="911"/>
      <c r="C5" s="912"/>
      <c r="D5" s="912"/>
      <c r="E5" s="911"/>
      <c r="F5" s="912"/>
      <c r="G5" s="912"/>
      <c r="H5" s="912"/>
      <c r="I5" s="912"/>
      <c r="J5" s="912"/>
      <c r="K5" s="912"/>
      <c r="L5" s="912"/>
      <c r="M5" s="912"/>
      <c r="N5" s="912"/>
      <c r="O5" s="912"/>
      <c r="P5" s="912"/>
      <c r="Q5" s="912"/>
      <c r="R5" s="912"/>
      <c r="S5" s="912"/>
      <c r="T5" s="912"/>
      <c r="U5" s="913"/>
      <c r="AM5" s="124" t="s">
        <v>4450</v>
      </c>
      <c r="AN5" s="48"/>
      <c r="AO5" s="48"/>
    </row>
    <row r="6" spans="1:41" s="22" customFormat="1" ht="27" customHeight="1">
      <c r="A6" s="57" t="s">
        <v>4909</v>
      </c>
      <c r="B6" s="939" t="s">
        <v>5880</v>
      </c>
      <c r="C6" s="938"/>
      <c r="D6" s="938"/>
      <c r="E6" s="938"/>
      <c r="F6" s="938"/>
      <c r="G6" s="938"/>
      <c r="H6" s="938"/>
      <c r="I6" s="938"/>
      <c r="J6" s="938"/>
      <c r="K6" s="938"/>
      <c r="L6" s="938"/>
      <c r="M6" s="938"/>
      <c r="N6" s="938"/>
      <c r="O6" s="938"/>
      <c r="P6" s="938"/>
      <c r="Q6" s="938"/>
      <c r="R6" s="938"/>
      <c r="S6" s="938"/>
      <c r="T6" s="938"/>
      <c r="U6" s="940"/>
    </row>
    <row r="7" spans="1:41" ht="10.9" customHeight="1">
      <c r="A7" s="914"/>
      <c r="B7" s="941"/>
      <c r="C7" s="941"/>
      <c r="D7" s="941"/>
      <c r="E7" s="941"/>
      <c r="F7" s="941"/>
      <c r="G7" s="941"/>
      <c r="H7" s="941"/>
      <c r="I7" s="941"/>
      <c r="J7" s="941"/>
      <c r="K7" s="941"/>
      <c r="L7" s="941"/>
      <c r="M7" s="941"/>
      <c r="N7" s="941"/>
      <c r="O7" s="941"/>
      <c r="P7" s="941"/>
      <c r="Q7" s="941"/>
      <c r="R7" s="941"/>
      <c r="S7" s="850"/>
      <c r="T7" s="850"/>
    </row>
    <row r="8" spans="1:41" ht="33.75" customHeight="1">
      <c r="A8" s="875" t="s">
        <v>4452</v>
      </c>
      <c r="B8" s="875" t="s">
        <v>5874</v>
      </c>
      <c r="C8" s="875" t="s">
        <v>4571</v>
      </c>
      <c r="D8" s="875" t="s">
        <v>5881</v>
      </c>
      <c r="E8" s="875" t="s">
        <v>5882</v>
      </c>
      <c r="F8" s="875" t="s">
        <v>4456</v>
      </c>
      <c r="G8" s="875" t="s">
        <v>4457</v>
      </c>
      <c r="H8" s="916" t="s">
        <v>4458</v>
      </c>
      <c r="I8" s="916" t="s">
        <v>4459</v>
      </c>
      <c r="J8" s="875" t="s">
        <v>4460</v>
      </c>
      <c r="K8" s="875" t="s">
        <v>4461</v>
      </c>
      <c r="L8" s="875" t="s">
        <v>4462</v>
      </c>
      <c r="M8" s="875" t="s">
        <v>54</v>
      </c>
      <c r="N8" s="875" t="s">
        <v>4463</v>
      </c>
      <c r="O8" s="875" t="s">
        <v>4464</v>
      </c>
      <c r="P8" s="875" t="s">
        <v>4465</v>
      </c>
      <c r="Q8" s="875" t="s">
        <v>4466</v>
      </c>
      <c r="R8" s="882" t="s">
        <v>4919</v>
      </c>
      <c r="S8" s="882" t="s">
        <v>4920</v>
      </c>
      <c r="T8" s="882" t="s">
        <v>467</v>
      </c>
      <c r="U8" s="875" t="s">
        <v>4916</v>
      </c>
      <c r="AA8" s="875" t="s">
        <v>4918</v>
      </c>
    </row>
    <row r="9" spans="1:41" ht="21.75" customHeight="1">
      <c r="A9" s="875"/>
      <c r="B9" s="875"/>
      <c r="C9" s="875"/>
      <c r="D9" s="875"/>
      <c r="E9" s="875"/>
      <c r="F9" s="875"/>
      <c r="G9" s="875"/>
      <c r="H9" s="916"/>
      <c r="I9" s="916"/>
      <c r="J9" s="875"/>
      <c r="K9" s="875"/>
      <c r="L9" s="875"/>
      <c r="M9" s="875"/>
      <c r="N9" s="875"/>
      <c r="O9" s="875"/>
      <c r="P9" s="875"/>
      <c r="Q9" s="875"/>
      <c r="R9" s="882"/>
      <c r="S9" s="882"/>
      <c r="T9" s="882"/>
      <c r="U9" s="917"/>
      <c r="AA9" s="917"/>
    </row>
    <row r="10" spans="1:41" ht="180">
      <c r="A10" s="332" t="s">
        <v>4467</v>
      </c>
      <c r="B10" s="709" t="s">
        <v>5883</v>
      </c>
      <c r="C10" s="332" t="s">
        <v>5884</v>
      </c>
      <c r="D10" s="332" t="s">
        <v>4946</v>
      </c>
      <c r="E10" s="709" t="s">
        <v>5885</v>
      </c>
      <c r="F10" s="26" t="s">
        <v>4517</v>
      </c>
      <c r="G10" s="332"/>
      <c r="H10" s="332"/>
      <c r="I10" s="332"/>
      <c r="J10" s="334"/>
      <c r="K10" s="332"/>
      <c r="L10" s="332"/>
      <c r="M10" s="334"/>
      <c r="N10" s="337"/>
      <c r="O10" s="710"/>
      <c r="P10" s="332"/>
      <c r="Q10" s="332"/>
      <c r="R10" s="336" t="s">
        <v>489</v>
      </c>
      <c r="S10" s="336"/>
      <c r="T10" s="336" t="s">
        <v>4946</v>
      </c>
      <c r="U10" s="336" t="s">
        <v>5886</v>
      </c>
      <c r="AA10" s="337" t="s">
        <v>148</v>
      </c>
      <c r="AK10" s="21"/>
    </row>
    <row r="11" spans="1:41" ht="16.149999999999999" customHeight="1">
      <c r="A11" s="252"/>
      <c r="B11" s="253"/>
      <c r="C11" s="252"/>
      <c r="D11" s="252"/>
      <c r="E11" s="253"/>
      <c r="F11" s="328"/>
      <c r="G11" s="313" t="s">
        <v>30</v>
      </c>
      <c r="H11" s="328" t="s">
        <v>4477</v>
      </c>
      <c r="I11" s="328" t="s">
        <v>4478</v>
      </c>
      <c r="J11" s="254" t="s">
        <v>5887</v>
      </c>
      <c r="K11" s="252" t="s">
        <v>5888</v>
      </c>
      <c r="L11" s="252" t="s">
        <v>5889</v>
      </c>
      <c r="M11" s="254" t="s">
        <v>5890</v>
      </c>
      <c r="N11" s="88" t="s">
        <v>4444</v>
      </c>
      <c r="O11" s="23"/>
      <c r="P11" s="252" t="s">
        <v>4960</v>
      </c>
      <c r="Q11" s="252" t="s">
        <v>30</v>
      </c>
      <c r="R11" s="24"/>
      <c r="S11" s="24"/>
      <c r="T11" s="24"/>
      <c r="U11" s="24"/>
      <c r="AA11" s="154"/>
      <c r="AI11" s="21"/>
      <c r="AK11" s="18"/>
    </row>
    <row r="12" spans="1:41" ht="16.899999999999999" customHeight="1">
      <c r="A12" s="252"/>
      <c r="B12" s="253"/>
      <c r="C12" s="252"/>
      <c r="D12" s="252"/>
      <c r="E12" s="253"/>
      <c r="F12" s="328"/>
      <c r="G12" s="313" t="s">
        <v>36</v>
      </c>
      <c r="H12" s="328" t="s">
        <v>4490</v>
      </c>
      <c r="I12" s="328" t="s">
        <v>4494</v>
      </c>
      <c r="J12" s="254" t="s">
        <v>5891</v>
      </c>
      <c r="K12" s="252" t="s">
        <v>5888</v>
      </c>
      <c r="L12" s="252" t="s">
        <v>5889</v>
      </c>
      <c r="M12" s="254" t="s">
        <v>5892</v>
      </c>
      <c r="N12" s="88" t="s">
        <v>4444</v>
      </c>
      <c r="O12" s="23"/>
      <c r="P12" s="252" t="s">
        <v>4960</v>
      </c>
      <c r="Q12" s="252" t="s">
        <v>30</v>
      </c>
      <c r="R12" s="24"/>
      <c r="S12" s="24"/>
      <c r="T12" s="24"/>
      <c r="U12" s="24"/>
      <c r="AA12" s="154"/>
      <c r="AI12" s="21"/>
      <c r="AK12" s="18"/>
    </row>
    <row r="13" spans="1:41" ht="16.149999999999999" customHeight="1">
      <c r="A13" s="252"/>
      <c r="B13" s="253"/>
      <c r="C13" s="252"/>
      <c r="D13" s="252"/>
      <c r="E13" s="253"/>
      <c r="F13" s="328"/>
      <c r="G13" s="313" t="s">
        <v>40</v>
      </c>
      <c r="H13" s="328" t="s">
        <v>4497</v>
      </c>
      <c r="I13" s="328" t="s">
        <v>4928</v>
      </c>
      <c r="J13" s="254" t="s">
        <v>5893</v>
      </c>
      <c r="K13" s="252" t="s">
        <v>5888</v>
      </c>
      <c r="L13" s="252" t="s">
        <v>5894</v>
      </c>
      <c r="M13" s="254" t="s">
        <v>137</v>
      </c>
      <c r="N13" s="88" t="s">
        <v>4444</v>
      </c>
      <c r="O13" s="23"/>
      <c r="P13" s="252" t="s">
        <v>33</v>
      </c>
      <c r="Q13" s="252" t="s">
        <v>30</v>
      </c>
      <c r="R13" s="24"/>
      <c r="S13" s="24"/>
      <c r="T13" s="24"/>
      <c r="U13" s="24"/>
      <c r="AA13" s="154"/>
      <c r="AI13" s="21"/>
      <c r="AK13" s="18"/>
    </row>
    <row r="14" spans="1:41" ht="15">
      <c r="A14" s="252"/>
      <c r="B14" s="253"/>
      <c r="C14" s="252"/>
      <c r="D14" s="252"/>
      <c r="E14" s="253" t="s">
        <v>157</v>
      </c>
      <c r="F14" s="313" t="s">
        <v>1997</v>
      </c>
      <c r="G14" s="313"/>
      <c r="H14" s="313"/>
      <c r="I14" s="313"/>
      <c r="J14" s="254"/>
      <c r="K14" s="252"/>
      <c r="L14" s="252"/>
      <c r="M14" s="254"/>
      <c r="N14" s="88"/>
      <c r="O14" s="23"/>
      <c r="P14" s="252"/>
      <c r="Q14" s="252"/>
      <c r="R14" s="24"/>
      <c r="S14" s="24"/>
      <c r="T14" s="24"/>
      <c r="U14" s="24" t="s">
        <v>15</v>
      </c>
      <c r="AA14" s="154"/>
      <c r="AI14" s="21"/>
      <c r="AK14" s="18"/>
    </row>
    <row r="15" spans="1:41" ht="22.5">
      <c r="A15" s="252"/>
      <c r="B15" s="253"/>
      <c r="C15" s="252"/>
      <c r="D15" s="252"/>
      <c r="E15" s="253"/>
      <c r="F15" s="252"/>
      <c r="G15" s="252" t="s">
        <v>30</v>
      </c>
      <c r="H15" s="252" t="s">
        <v>46</v>
      </c>
      <c r="I15" s="252" t="s">
        <v>30</v>
      </c>
      <c r="J15" s="254" t="s">
        <v>5895</v>
      </c>
      <c r="K15" s="252" t="s">
        <v>5888</v>
      </c>
      <c r="L15" s="252" t="s">
        <v>5896</v>
      </c>
      <c r="M15" s="254"/>
      <c r="N15" s="88" t="s">
        <v>4444</v>
      </c>
      <c r="O15" s="23" t="s">
        <v>5897</v>
      </c>
      <c r="P15" s="252" t="s">
        <v>33</v>
      </c>
      <c r="Q15" s="252" t="s">
        <v>30</v>
      </c>
      <c r="R15" s="24"/>
      <c r="S15" s="24"/>
      <c r="T15" s="24"/>
      <c r="U15" s="24"/>
      <c r="AA15" s="154"/>
      <c r="AI15" s="21"/>
      <c r="AK15" s="18"/>
    </row>
    <row r="16" spans="1:41" ht="15">
      <c r="A16" s="252"/>
      <c r="B16" s="253"/>
      <c r="C16" s="252"/>
      <c r="D16" s="252"/>
      <c r="E16" s="253"/>
      <c r="F16" s="252"/>
      <c r="G16" s="252" t="s">
        <v>33</v>
      </c>
      <c r="H16" s="252" t="s">
        <v>103</v>
      </c>
      <c r="I16" s="252" t="s">
        <v>2025</v>
      </c>
      <c r="J16" s="254" t="s">
        <v>5898</v>
      </c>
      <c r="K16" s="252"/>
      <c r="L16" s="252"/>
      <c r="M16" s="254" t="s">
        <v>5890</v>
      </c>
      <c r="N16" s="88" t="s">
        <v>5020</v>
      </c>
      <c r="O16" s="23"/>
      <c r="P16" s="252" t="s">
        <v>5899</v>
      </c>
      <c r="Q16" s="252" t="s">
        <v>30</v>
      </c>
      <c r="R16" s="24"/>
      <c r="S16" s="24"/>
      <c r="T16" s="24"/>
      <c r="U16" s="24" t="s">
        <v>5048</v>
      </c>
      <c r="AA16" s="154"/>
      <c r="AI16" s="21"/>
      <c r="AK16" s="18"/>
    </row>
    <row r="17" spans="1:37" s="18" customFormat="1" ht="15.75" customHeight="1">
      <c r="A17" s="252"/>
      <c r="B17" s="253"/>
      <c r="C17" s="252"/>
      <c r="D17" s="252"/>
      <c r="E17" s="253"/>
      <c r="F17" s="252"/>
      <c r="G17" s="252" t="s">
        <v>42</v>
      </c>
      <c r="H17" s="252" t="s">
        <v>2177</v>
      </c>
      <c r="I17" s="252" t="s">
        <v>113</v>
      </c>
      <c r="J17" s="254" t="s">
        <v>5900</v>
      </c>
      <c r="K17" s="252"/>
      <c r="L17" s="252"/>
      <c r="M17" s="254" t="s">
        <v>5890</v>
      </c>
      <c r="N17" s="88" t="s">
        <v>5020</v>
      </c>
      <c r="O17" s="23"/>
      <c r="P17" s="252" t="s">
        <v>5899</v>
      </c>
      <c r="Q17" s="252" t="s">
        <v>30</v>
      </c>
      <c r="R17" s="24"/>
      <c r="S17" s="24"/>
      <c r="T17" s="24"/>
      <c r="U17" s="24"/>
      <c r="V17" s="48"/>
      <c r="W17" s="48"/>
      <c r="X17" s="48"/>
      <c r="Y17" s="48"/>
      <c r="Z17" s="48"/>
      <c r="AA17" s="154"/>
    </row>
    <row r="18" spans="1:37" ht="15">
      <c r="A18" s="252"/>
      <c r="B18" s="253"/>
      <c r="C18" s="252"/>
      <c r="D18" s="252"/>
      <c r="E18" s="253"/>
      <c r="F18" s="252"/>
      <c r="G18" s="252" t="s">
        <v>1850</v>
      </c>
      <c r="H18" s="252" t="s">
        <v>2324</v>
      </c>
      <c r="I18" s="252" t="s">
        <v>2382</v>
      </c>
      <c r="J18" s="254" t="s">
        <v>5901</v>
      </c>
      <c r="K18" s="252"/>
      <c r="L18" s="252"/>
      <c r="M18" s="254" t="s">
        <v>5890</v>
      </c>
      <c r="N18" s="88" t="s">
        <v>5020</v>
      </c>
      <c r="O18" s="23"/>
      <c r="P18" s="252" t="s">
        <v>5899</v>
      </c>
      <c r="Q18" s="252" t="s">
        <v>30</v>
      </c>
      <c r="R18" s="24"/>
      <c r="S18" s="24"/>
      <c r="T18" s="24"/>
      <c r="U18" s="24"/>
      <c r="AA18" s="154"/>
      <c r="AI18" s="21"/>
      <c r="AK18" s="18"/>
    </row>
    <row r="19" spans="1:37" ht="16.899999999999999" customHeight="1">
      <c r="A19" s="252"/>
      <c r="B19" s="253"/>
      <c r="C19" s="252"/>
      <c r="D19" s="252"/>
      <c r="E19" s="253"/>
      <c r="F19" s="252"/>
      <c r="G19" s="252" t="s">
        <v>1891</v>
      </c>
      <c r="H19" s="252" t="s">
        <v>2450</v>
      </c>
      <c r="I19" s="252" t="s">
        <v>2568</v>
      </c>
      <c r="J19" s="254" t="s">
        <v>5902</v>
      </c>
      <c r="K19" s="252"/>
      <c r="L19" s="252"/>
      <c r="M19" s="254" t="s">
        <v>5892</v>
      </c>
      <c r="N19" s="88" t="s">
        <v>5020</v>
      </c>
      <c r="O19" s="23"/>
      <c r="P19" s="252" t="s">
        <v>5903</v>
      </c>
      <c r="Q19" s="252" t="s">
        <v>30</v>
      </c>
      <c r="R19" s="24"/>
      <c r="S19" s="24"/>
      <c r="T19" s="24"/>
      <c r="U19" s="24"/>
      <c r="AA19" s="154"/>
      <c r="AI19" s="21"/>
      <c r="AK19" s="18"/>
    </row>
    <row r="20" spans="1:37" ht="16.899999999999999" customHeight="1">
      <c r="A20" s="252"/>
      <c r="B20" s="253"/>
      <c r="C20" s="252"/>
      <c r="D20" s="252"/>
      <c r="E20" s="253"/>
      <c r="F20" s="252"/>
      <c r="G20" s="252" t="s">
        <v>1934</v>
      </c>
      <c r="H20" s="252" t="s">
        <v>2651</v>
      </c>
      <c r="I20" s="252" t="s">
        <v>2801</v>
      </c>
      <c r="J20" s="254" t="s">
        <v>5904</v>
      </c>
      <c r="K20" s="252"/>
      <c r="L20" s="252"/>
      <c r="M20" s="254" t="s">
        <v>5892</v>
      </c>
      <c r="N20" s="88" t="s">
        <v>5020</v>
      </c>
      <c r="O20" s="23"/>
      <c r="P20" s="252" t="s">
        <v>5903</v>
      </c>
      <c r="Q20" s="252" t="s">
        <v>30</v>
      </c>
      <c r="R20" s="24"/>
      <c r="S20" s="24"/>
      <c r="T20" s="24"/>
      <c r="U20" s="24"/>
      <c r="AA20" s="154"/>
      <c r="AI20" s="21"/>
      <c r="AK20" s="18"/>
    </row>
    <row r="21" spans="1:37" ht="16.899999999999999" customHeight="1">
      <c r="A21" s="252"/>
      <c r="B21" s="253"/>
      <c r="C21" s="252"/>
      <c r="D21" s="252"/>
      <c r="E21" s="253"/>
      <c r="F21" s="252"/>
      <c r="G21" s="252" t="s">
        <v>1978</v>
      </c>
      <c r="H21" s="252" t="s">
        <v>2921</v>
      </c>
      <c r="I21" s="252" t="s">
        <v>3094</v>
      </c>
      <c r="J21" s="254" t="s">
        <v>5905</v>
      </c>
      <c r="K21" s="252"/>
      <c r="L21" s="252"/>
      <c r="M21" s="254" t="s">
        <v>5892</v>
      </c>
      <c r="N21" s="88" t="s">
        <v>5020</v>
      </c>
      <c r="O21" s="23"/>
      <c r="P21" s="252" t="s">
        <v>5903</v>
      </c>
      <c r="Q21" s="252" t="s">
        <v>30</v>
      </c>
      <c r="R21" s="24"/>
      <c r="S21" s="24"/>
      <c r="T21" s="24"/>
      <c r="U21" s="24"/>
      <c r="AA21" s="154"/>
      <c r="AI21" s="21"/>
      <c r="AK21" s="18"/>
    </row>
    <row r="22" spans="1:37" ht="16.899999999999999" customHeight="1">
      <c r="A22" s="252"/>
      <c r="B22" s="253"/>
      <c r="C22" s="252"/>
      <c r="D22" s="252" t="s">
        <v>489</v>
      </c>
      <c r="E22" s="253" t="s">
        <v>5885</v>
      </c>
      <c r="F22" s="360" t="s">
        <v>94</v>
      </c>
      <c r="G22" s="252"/>
      <c r="H22" s="252"/>
      <c r="I22" s="252"/>
      <c r="J22" s="254"/>
      <c r="K22" s="252"/>
      <c r="L22" s="252"/>
      <c r="M22" s="254"/>
      <c r="N22" s="88"/>
      <c r="O22" s="23"/>
      <c r="P22" s="252"/>
      <c r="Q22" s="252"/>
      <c r="R22" s="24" t="s">
        <v>489</v>
      </c>
      <c r="S22" s="24"/>
      <c r="T22" s="24" t="s">
        <v>4946</v>
      </c>
      <c r="U22" s="24" t="s">
        <v>15</v>
      </c>
      <c r="AA22" s="154"/>
      <c r="AI22" s="21"/>
      <c r="AK22" s="18"/>
    </row>
    <row r="23" spans="1:37" ht="16.899999999999999" customHeight="1">
      <c r="A23" s="252"/>
      <c r="B23" s="253"/>
      <c r="C23" s="252"/>
      <c r="D23" s="252"/>
      <c r="E23" s="253" t="s">
        <v>157</v>
      </c>
      <c r="F23" s="252" t="s">
        <v>1997</v>
      </c>
      <c r="G23" s="252"/>
      <c r="H23" s="252"/>
      <c r="I23" s="252"/>
      <c r="J23" s="254"/>
      <c r="K23" s="252"/>
      <c r="L23" s="252"/>
      <c r="M23" s="254"/>
      <c r="N23" s="88"/>
      <c r="O23" s="23"/>
      <c r="P23" s="252"/>
      <c r="Q23" s="252"/>
      <c r="R23" s="24"/>
      <c r="S23" s="24"/>
      <c r="T23" s="24"/>
      <c r="U23" s="24" t="s">
        <v>15</v>
      </c>
      <c r="AA23" s="154"/>
      <c r="AI23" s="21"/>
      <c r="AK23" s="18"/>
    </row>
    <row r="24" spans="1:37" ht="16.899999999999999" customHeight="1">
      <c r="A24" s="252"/>
      <c r="B24" s="253"/>
      <c r="C24" s="252"/>
      <c r="D24" s="252"/>
      <c r="E24" s="253"/>
      <c r="F24" s="252"/>
      <c r="G24" s="252" t="s">
        <v>30</v>
      </c>
      <c r="H24" s="252" t="s">
        <v>46</v>
      </c>
      <c r="I24" s="252" t="s">
        <v>30</v>
      </c>
      <c r="J24" s="254" t="s">
        <v>5895</v>
      </c>
      <c r="K24" s="252" t="s">
        <v>5888</v>
      </c>
      <c r="L24" s="252" t="s">
        <v>5896</v>
      </c>
      <c r="M24" s="254"/>
      <c r="N24" s="88" t="s">
        <v>4444</v>
      </c>
      <c r="O24" s="23" t="s">
        <v>5906</v>
      </c>
      <c r="P24" s="252" t="s">
        <v>33</v>
      </c>
      <c r="Q24" s="252" t="s">
        <v>30</v>
      </c>
      <c r="R24" s="24"/>
      <c r="S24" s="24"/>
      <c r="T24" s="24"/>
      <c r="U24" s="24"/>
      <c r="AA24" s="154"/>
      <c r="AI24" s="21"/>
      <c r="AK24" s="18"/>
    </row>
    <row r="25" spans="1:37" ht="16.899999999999999" customHeight="1">
      <c r="A25" s="252"/>
      <c r="B25" s="253"/>
      <c r="C25" s="252"/>
      <c r="D25" s="252"/>
      <c r="E25" s="253"/>
      <c r="F25" s="252"/>
      <c r="G25" s="252" t="s">
        <v>33</v>
      </c>
      <c r="H25" s="252" t="s">
        <v>103</v>
      </c>
      <c r="I25" s="252" t="s">
        <v>2025</v>
      </c>
      <c r="J25" s="254" t="s">
        <v>5898</v>
      </c>
      <c r="K25" s="252"/>
      <c r="L25" s="252"/>
      <c r="M25" s="254" t="s">
        <v>5890</v>
      </c>
      <c r="N25" s="88" t="s">
        <v>5020</v>
      </c>
      <c r="O25" s="23"/>
      <c r="P25" s="252" t="s">
        <v>5899</v>
      </c>
      <c r="Q25" s="252" t="s">
        <v>30</v>
      </c>
      <c r="R25" s="24"/>
      <c r="S25" s="24"/>
      <c r="T25" s="24"/>
      <c r="U25" s="24"/>
      <c r="AA25" s="154"/>
      <c r="AI25" s="21"/>
      <c r="AK25" s="18"/>
    </row>
    <row r="26" spans="1:37" ht="16.899999999999999" customHeight="1">
      <c r="A26" s="252"/>
      <c r="B26" s="253"/>
      <c r="C26" s="252"/>
      <c r="D26" s="252"/>
      <c r="E26" s="253"/>
      <c r="F26" s="252"/>
      <c r="G26" s="252" t="s">
        <v>42</v>
      </c>
      <c r="H26" s="252" t="s">
        <v>2177</v>
      </c>
      <c r="I26" s="252" t="s">
        <v>113</v>
      </c>
      <c r="J26" s="254" t="s">
        <v>5900</v>
      </c>
      <c r="K26" s="252"/>
      <c r="L26" s="252"/>
      <c r="M26" s="254" t="s">
        <v>5890</v>
      </c>
      <c r="N26" s="88" t="s">
        <v>5020</v>
      </c>
      <c r="O26" s="23"/>
      <c r="P26" s="252" t="s">
        <v>5899</v>
      </c>
      <c r="Q26" s="252" t="s">
        <v>30</v>
      </c>
      <c r="R26" s="24"/>
      <c r="S26" s="24"/>
      <c r="T26" s="24"/>
      <c r="U26" s="24"/>
      <c r="AA26" s="154"/>
      <c r="AI26" s="21"/>
      <c r="AK26" s="18"/>
    </row>
    <row r="27" spans="1:37" ht="16.899999999999999" customHeight="1">
      <c r="A27" s="252"/>
      <c r="B27" s="253"/>
      <c r="C27" s="252"/>
      <c r="D27" s="252"/>
      <c r="E27" s="253"/>
      <c r="F27" s="252"/>
      <c r="G27" s="252" t="s">
        <v>1850</v>
      </c>
      <c r="H27" s="252" t="s">
        <v>2324</v>
      </c>
      <c r="I27" s="252" t="s">
        <v>2382</v>
      </c>
      <c r="J27" s="254" t="s">
        <v>5901</v>
      </c>
      <c r="K27" s="252"/>
      <c r="L27" s="252"/>
      <c r="M27" s="254" t="s">
        <v>5890</v>
      </c>
      <c r="N27" s="88" t="s">
        <v>5020</v>
      </c>
      <c r="O27" s="23"/>
      <c r="P27" s="252" t="s">
        <v>5899</v>
      </c>
      <c r="Q27" s="252" t="s">
        <v>30</v>
      </c>
      <c r="R27" s="24"/>
      <c r="S27" s="24"/>
      <c r="T27" s="24"/>
      <c r="U27" s="24"/>
      <c r="AA27" s="154"/>
      <c r="AI27" s="21"/>
      <c r="AK27" s="18"/>
    </row>
    <row r="28" spans="1:37" ht="16.899999999999999" customHeight="1">
      <c r="A28" s="252"/>
      <c r="B28" s="253"/>
      <c r="C28" s="252"/>
      <c r="D28" s="252"/>
      <c r="E28" s="253"/>
      <c r="F28" s="252"/>
      <c r="G28" s="252" t="s">
        <v>1891</v>
      </c>
      <c r="H28" s="252" t="s">
        <v>2450</v>
      </c>
      <c r="I28" s="252" t="s">
        <v>2568</v>
      </c>
      <c r="J28" s="254" t="s">
        <v>5902</v>
      </c>
      <c r="K28" s="252"/>
      <c r="L28" s="252"/>
      <c r="M28" s="254" t="s">
        <v>5892</v>
      </c>
      <c r="N28" s="88" t="s">
        <v>5020</v>
      </c>
      <c r="O28" s="23"/>
      <c r="P28" s="252" t="s">
        <v>5903</v>
      </c>
      <c r="Q28" s="252" t="s">
        <v>30</v>
      </c>
      <c r="R28" s="24"/>
      <c r="S28" s="24"/>
      <c r="T28" s="24"/>
      <c r="U28" s="24"/>
      <c r="AA28" s="154"/>
      <c r="AI28" s="21"/>
      <c r="AK28" s="18"/>
    </row>
    <row r="29" spans="1:37" ht="16.899999999999999" customHeight="1">
      <c r="A29" s="252"/>
      <c r="B29" s="253"/>
      <c r="C29" s="252"/>
      <c r="D29" s="252"/>
      <c r="E29" s="253"/>
      <c r="F29" s="252"/>
      <c r="G29" s="252" t="s">
        <v>1934</v>
      </c>
      <c r="H29" s="252" t="s">
        <v>2651</v>
      </c>
      <c r="I29" s="252" t="s">
        <v>2801</v>
      </c>
      <c r="J29" s="254" t="s">
        <v>5904</v>
      </c>
      <c r="K29" s="252"/>
      <c r="L29" s="252"/>
      <c r="M29" s="254" t="s">
        <v>5892</v>
      </c>
      <c r="N29" s="88" t="s">
        <v>5020</v>
      </c>
      <c r="O29" s="23"/>
      <c r="P29" s="252" t="s">
        <v>5903</v>
      </c>
      <c r="Q29" s="252" t="s">
        <v>30</v>
      </c>
      <c r="R29" s="24"/>
      <c r="S29" s="24"/>
      <c r="T29" s="24"/>
      <c r="U29" s="24"/>
      <c r="AA29" s="154"/>
      <c r="AI29" s="21"/>
      <c r="AK29" s="18"/>
    </row>
    <row r="30" spans="1:37" ht="16.149999999999999" customHeight="1">
      <c r="A30" s="252"/>
      <c r="B30" s="253"/>
      <c r="C30" s="252"/>
      <c r="D30" s="252"/>
      <c r="E30" s="253"/>
      <c r="F30" s="252"/>
      <c r="G30" s="252" t="s">
        <v>1978</v>
      </c>
      <c r="H30" s="252" t="s">
        <v>2921</v>
      </c>
      <c r="I30" s="252" t="s">
        <v>3094</v>
      </c>
      <c r="J30" s="254" t="s">
        <v>5905</v>
      </c>
      <c r="K30" s="252"/>
      <c r="L30" s="252"/>
      <c r="M30" s="254" t="s">
        <v>5892</v>
      </c>
      <c r="N30" s="88" t="s">
        <v>5020</v>
      </c>
      <c r="O30" s="23"/>
      <c r="P30" s="252" t="s">
        <v>5903</v>
      </c>
      <c r="Q30" s="252" t="s">
        <v>30</v>
      </c>
      <c r="R30" s="24"/>
      <c r="S30" s="24"/>
      <c r="T30" s="24"/>
      <c r="U30" s="24"/>
      <c r="AA30" s="154"/>
      <c r="AI30" s="21"/>
      <c r="AK30" s="18"/>
    </row>
    <row r="31" spans="1:37" ht="18" customHeight="1">
      <c r="A31" s="711" t="s">
        <v>4474</v>
      </c>
      <c r="B31" s="712" t="s">
        <v>4803</v>
      </c>
      <c r="C31" s="713" t="s">
        <v>4804</v>
      </c>
      <c r="D31" s="713" t="s">
        <v>4946</v>
      </c>
      <c r="E31" s="712" t="s">
        <v>5885</v>
      </c>
      <c r="F31" s="713" t="s">
        <v>33</v>
      </c>
      <c r="G31" s="713"/>
      <c r="H31" s="713"/>
      <c r="I31" s="713"/>
      <c r="J31" s="713"/>
      <c r="K31" s="713"/>
      <c r="L31" s="713"/>
      <c r="M31" s="713"/>
      <c r="N31" s="713"/>
      <c r="O31" s="714"/>
      <c r="P31" s="713"/>
      <c r="Q31" s="713"/>
      <c r="R31" s="715" t="s">
        <v>489</v>
      </c>
      <c r="S31" s="716"/>
      <c r="T31" s="716" t="s">
        <v>489</v>
      </c>
      <c r="U31" s="715" t="s">
        <v>5907</v>
      </c>
      <c r="AA31" s="337" t="s">
        <v>148</v>
      </c>
      <c r="AI31" s="21"/>
      <c r="AK31" s="18"/>
    </row>
    <row r="32" spans="1:37" ht="16.899999999999999" customHeight="1">
      <c r="A32" s="344"/>
      <c r="B32" s="345"/>
      <c r="C32" s="346"/>
      <c r="D32" s="346"/>
      <c r="E32" s="345"/>
      <c r="F32" s="346"/>
      <c r="G32" s="346" t="s">
        <v>30</v>
      </c>
      <c r="H32" s="346" t="s">
        <v>46</v>
      </c>
      <c r="I32" s="347" t="s">
        <v>30</v>
      </c>
      <c r="J32" s="347" t="s">
        <v>5895</v>
      </c>
      <c r="K32" s="348" t="s">
        <v>5888</v>
      </c>
      <c r="L32" s="348" t="s">
        <v>5908</v>
      </c>
      <c r="M32" s="346"/>
      <c r="N32" s="346" t="s">
        <v>4444</v>
      </c>
      <c r="O32" s="349" t="s">
        <v>5909</v>
      </c>
      <c r="P32" s="346" t="s">
        <v>33</v>
      </c>
      <c r="Q32" s="346" t="s">
        <v>30</v>
      </c>
      <c r="R32" s="342"/>
      <c r="S32" s="342"/>
      <c r="T32" s="342"/>
      <c r="U32" s="342"/>
      <c r="AA32" s="154"/>
      <c r="AI32" s="21"/>
      <c r="AK32" s="18"/>
    </row>
    <row r="33" spans="1:37" ht="16.899999999999999" customHeight="1">
      <c r="A33" s="350"/>
      <c r="B33" s="345"/>
      <c r="C33" s="346"/>
      <c r="D33" s="346"/>
      <c r="E33" s="339" t="s">
        <v>157</v>
      </c>
      <c r="F33" s="360" t="s">
        <v>94</v>
      </c>
      <c r="G33" s="346"/>
      <c r="H33" s="346"/>
      <c r="I33" s="347"/>
      <c r="J33" s="347"/>
      <c r="K33" s="348"/>
      <c r="L33" s="348"/>
      <c r="M33" s="346"/>
      <c r="N33" s="346"/>
      <c r="O33" s="349"/>
      <c r="P33" s="346"/>
      <c r="Q33" s="346"/>
      <c r="R33" s="342"/>
      <c r="S33" s="342"/>
      <c r="T33" s="342"/>
      <c r="U33" s="342"/>
      <c r="AA33" s="154"/>
      <c r="AI33" s="21"/>
      <c r="AK33" s="18"/>
    </row>
    <row r="34" spans="1:37" ht="16.899999999999999" customHeight="1">
      <c r="A34" s="350"/>
      <c r="B34" s="345"/>
      <c r="C34" s="346"/>
      <c r="D34" s="346" t="s">
        <v>478</v>
      </c>
      <c r="E34" s="339" t="s">
        <v>5885</v>
      </c>
      <c r="F34" s="360" t="s">
        <v>94</v>
      </c>
      <c r="G34" s="346"/>
      <c r="H34" s="346"/>
      <c r="I34" s="347"/>
      <c r="J34" s="347"/>
      <c r="K34" s="348"/>
      <c r="L34" s="348"/>
      <c r="M34" s="346"/>
      <c r="N34" s="346"/>
      <c r="O34" s="349"/>
      <c r="P34" s="346"/>
      <c r="Q34" s="346"/>
      <c r="R34" s="342" t="s">
        <v>489</v>
      </c>
      <c r="S34" s="342"/>
      <c r="T34" s="343" t="s">
        <v>489</v>
      </c>
      <c r="U34" s="342"/>
      <c r="AA34" s="154"/>
      <c r="AI34" s="21"/>
      <c r="AK34" s="18"/>
    </row>
    <row r="35" spans="1:37" ht="16.899999999999999" customHeight="1">
      <c r="A35" s="350"/>
      <c r="B35" s="345"/>
      <c r="C35" s="346"/>
      <c r="D35" s="346"/>
      <c r="E35" s="339" t="s">
        <v>157</v>
      </c>
      <c r="F35" s="340" t="s">
        <v>33</v>
      </c>
      <c r="G35" s="340"/>
      <c r="H35" s="340"/>
      <c r="I35" s="340"/>
      <c r="J35" s="340"/>
      <c r="K35" s="340"/>
      <c r="L35" s="340"/>
      <c r="M35" s="340"/>
      <c r="N35" s="340"/>
      <c r="O35" s="341"/>
      <c r="P35" s="340"/>
      <c r="Q35" s="340"/>
      <c r="R35" s="316"/>
      <c r="S35" s="407"/>
      <c r="T35" s="316"/>
      <c r="U35" s="342"/>
      <c r="AA35" s="154"/>
      <c r="AI35" s="21"/>
      <c r="AK35" s="18"/>
    </row>
    <row r="36" spans="1:37" ht="70.5" customHeight="1">
      <c r="A36" s="350"/>
      <c r="B36" s="345"/>
      <c r="C36" s="346"/>
      <c r="D36" s="346"/>
      <c r="E36" s="397"/>
      <c r="F36" s="401"/>
      <c r="G36" s="401" t="s">
        <v>30</v>
      </c>
      <c r="H36" s="346" t="s">
        <v>46</v>
      </c>
      <c r="I36" s="347" t="s">
        <v>30</v>
      </c>
      <c r="J36" s="347" t="s">
        <v>5895</v>
      </c>
      <c r="K36" s="348" t="s">
        <v>5888</v>
      </c>
      <c r="L36" s="348" t="s">
        <v>5908</v>
      </c>
      <c r="M36" s="346"/>
      <c r="N36" s="346" t="s">
        <v>4444</v>
      </c>
      <c r="O36" s="406" t="s">
        <v>5910</v>
      </c>
      <c r="P36" s="346" t="s">
        <v>33</v>
      </c>
      <c r="Q36" s="346" t="s">
        <v>30</v>
      </c>
      <c r="R36" s="342"/>
      <c r="S36" s="342"/>
      <c r="T36" s="342"/>
      <c r="U36" s="342"/>
      <c r="AA36" s="154"/>
      <c r="AI36" s="21"/>
      <c r="AK36" s="18"/>
    </row>
    <row r="37" spans="1:37" ht="16.899999999999999" customHeight="1">
      <c r="A37" s="717" t="s">
        <v>141</v>
      </c>
      <c r="B37" s="718" t="s">
        <v>5911</v>
      </c>
      <c r="C37" s="719" t="s">
        <v>5912</v>
      </c>
      <c r="D37" s="719" t="s">
        <v>4946</v>
      </c>
      <c r="E37" s="720" t="s">
        <v>5885</v>
      </c>
      <c r="F37" s="721" t="s">
        <v>94</v>
      </c>
      <c r="G37" s="719"/>
      <c r="H37" s="719"/>
      <c r="I37" s="719"/>
      <c r="J37" s="722"/>
      <c r="K37" s="719"/>
      <c r="L37" s="719"/>
      <c r="M37" s="722"/>
      <c r="N37" s="723"/>
      <c r="O37" s="724"/>
      <c r="P37" s="719"/>
      <c r="Q37" s="719"/>
      <c r="R37" s="725" t="s">
        <v>489</v>
      </c>
      <c r="S37" s="725"/>
      <c r="T37" s="725" t="s">
        <v>479</v>
      </c>
      <c r="U37" s="725"/>
      <c r="AA37" s="336" t="s">
        <v>148</v>
      </c>
      <c r="AI37" s="21"/>
      <c r="AK37" s="18"/>
    </row>
    <row r="38" spans="1:37" ht="16.899999999999999" customHeight="1">
      <c r="A38" s="352"/>
      <c r="B38" s="351"/>
      <c r="C38" s="352"/>
      <c r="D38" s="352"/>
      <c r="E38" s="404" t="s">
        <v>157</v>
      </c>
      <c r="F38" s="402" t="s">
        <v>94</v>
      </c>
      <c r="G38" s="403"/>
      <c r="H38" s="352"/>
      <c r="I38" s="352"/>
      <c r="J38" s="353"/>
      <c r="K38" s="352"/>
      <c r="L38" s="352"/>
      <c r="M38" s="353"/>
      <c r="N38" s="346"/>
      <c r="O38" s="349"/>
      <c r="P38" s="352"/>
      <c r="Q38" s="352"/>
      <c r="R38" s="342"/>
      <c r="S38" s="342"/>
      <c r="T38" s="342"/>
      <c r="U38" s="342"/>
      <c r="AA38" s="154"/>
      <c r="AI38" s="21"/>
      <c r="AK38" s="18"/>
    </row>
    <row r="39" spans="1:37" ht="16.899999999999999" customHeight="1">
      <c r="A39" s="352"/>
      <c r="B39" s="351"/>
      <c r="C39" s="352"/>
      <c r="D39" s="352" t="s">
        <v>489</v>
      </c>
      <c r="E39" s="397" t="s">
        <v>5885</v>
      </c>
      <c r="F39" s="402" t="s">
        <v>94</v>
      </c>
      <c r="G39" s="403"/>
      <c r="H39" s="352"/>
      <c r="I39" s="352"/>
      <c r="J39" s="353"/>
      <c r="K39" s="352"/>
      <c r="L39" s="352"/>
      <c r="M39" s="353"/>
      <c r="N39" s="346"/>
      <c r="O39" s="349"/>
      <c r="P39" s="352"/>
      <c r="Q39" s="352"/>
      <c r="R39" s="342" t="s">
        <v>489</v>
      </c>
      <c r="S39" s="342"/>
      <c r="T39" s="342" t="s">
        <v>479</v>
      </c>
      <c r="U39" s="342"/>
      <c r="AA39" s="154"/>
      <c r="AI39" s="21"/>
      <c r="AK39" s="18"/>
    </row>
    <row r="40" spans="1:37" ht="16.899999999999999" customHeight="1">
      <c r="A40" s="346"/>
      <c r="B40" s="345"/>
      <c r="C40" s="346"/>
      <c r="D40" s="346"/>
      <c r="E40" s="404" t="s">
        <v>157</v>
      </c>
      <c r="F40" s="401" t="s">
        <v>36</v>
      </c>
      <c r="G40" s="405"/>
      <c r="H40" s="354"/>
      <c r="I40" s="354"/>
      <c r="J40" s="354"/>
      <c r="K40" s="354"/>
      <c r="L40" s="354"/>
      <c r="M40" s="354"/>
      <c r="N40" s="354"/>
      <c r="O40" s="354"/>
      <c r="P40" s="346"/>
      <c r="Q40" s="346"/>
      <c r="R40" s="342"/>
      <c r="S40" s="342"/>
      <c r="T40" s="342"/>
      <c r="U40" s="342"/>
      <c r="AA40" s="154"/>
      <c r="AI40" s="21"/>
      <c r="AK40" s="18"/>
    </row>
    <row r="41" spans="1:37" ht="16.899999999999999" customHeight="1">
      <c r="A41" s="346"/>
      <c r="B41" s="345"/>
      <c r="C41" s="346"/>
      <c r="D41" s="346"/>
      <c r="E41" s="404"/>
      <c r="F41" s="401"/>
      <c r="G41" s="401" t="s">
        <v>30</v>
      </c>
      <c r="H41" s="346" t="s">
        <v>46</v>
      </c>
      <c r="I41" s="346" t="s">
        <v>30</v>
      </c>
      <c r="J41" s="355" t="s">
        <v>5913</v>
      </c>
      <c r="K41" s="346" t="s">
        <v>5914</v>
      </c>
      <c r="L41" s="346" t="s">
        <v>5915</v>
      </c>
      <c r="M41" s="346"/>
      <c r="N41" s="346" t="s">
        <v>4444</v>
      </c>
      <c r="O41" s="349" t="s">
        <v>5916</v>
      </c>
      <c r="P41" s="346" t="s">
        <v>33</v>
      </c>
      <c r="Q41" s="346" t="s">
        <v>30</v>
      </c>
      <c r="R41" s="342"/>
      <c r="S41" s="342"/>
      <c r="T41" s="342"/>
      <c r="U41" s="342"/>
      <c r="AA41" s="154"/>
      <c r="AI41" s="21"/>
      <c r="AK41" s="18"/>
    </row>
    <row r="42" spans="1:37" ht="16.899999999999999" customHeight="1">
      <c r="A42" s="352"/>
      <c r="B42" s="351"/>
      <c r="C42" s="352"/>
      <c r="D42" s="352"/>
      <c r="E42" s="351"/>
      <c r="F42" s="352"/>
      <c r="G42" s="346" t="s">
        <v>33</v>
      </c>
      <c r="H42" s="346" t="s">
        <v>103</v>
      </c>
      <c r="I42" s="346" t="s">
        <v>1847</v>
      </c>
      <c r="J42" s="355" t="s">
        <v>5917</v>
      </c>
      <c r="K42" s="346" t="s">
        <v>5918</v>
      </c>
      <c r="L42" s="346" t="s">
        <v>5915</v>
      </c>
      <c r="M42" s="355"/>
      <c r="N42" s="346" t="s">
        <v>4444</v>
      </c>
      <c r="O42" s="349" t="s">
        <v>5919</v>
      </c>
      <c r="P42" s="352" t="s">
        <v>33</v>
      </c>
      <c r="Q42" s="352" t="s">
        <v>30</v>
      </c>
      <c r="R42" s="342"/>
      <c r="S42" s="342"/>
      <c r="T42" s="342"/>
      <c r="U42" s="342"/>
      <c r="AA42" s="154"/>
      <c r="AI42" s="21"/>
      <c r="AK42" s="18"/>
    </row>
    <row r="43" spans="1:37" ht="16.899999999999999" customHeight="1">
      <c r="A43" s="332" t="s">
        <v>4501</v>
      </c>
      <c r="B43" s="709" t="s">
        <v>4644</v>
      </c>
      <c r="C43" s="701" t="s">
        <v>5920</v>
      </c>
      <c r="D43" s="332" t="s">
        <v>479</v>
      </c>
      <c r="E43" s="720" t="s">
        <v>5885</v>
      </c>
      <c r="F43" s="332" t="s">
        <v>94</v>
      </c>
      <c r="G43" s="332"/>
      <c r="H43" s="332"/>
      <c r="I43" s="332"/>
      <c r="J43" s="334"/>
      <c r="K43" s="332"/>
      <c r="L43" s="332"/>
      <c r="M43" s="334"/>
      <c r="N43" s="337"/>
      <c r="O43" s="710"/>
      <c r="P43" s="332"/>
      <c r="Q43" s="332"/>
      <c r="R43" s="725" t="s">
        <v>489</v>
      </c>
      <c r="S43" s="336"/>
      <c r="T43" s="725" t="s">
        <v>489</v>
      </c>
      <c r="U43" s="336"/>
      <c r="AA43" s="336" t="s">
        <v>148</v>
      </c>
      <c r="AI43" s="21"/>
      <c r="AK43" s="18"/>
    </row>
    <row r="44" spans="1:37" ht="16.899999999999999" customHeight="1">
      <c r="A44" s="252"/>
      <c r="B44" s="253"/>
      <c r="C44" s="252"/>
      <c r="D44" s="252"/>
      <c r="E44" s="253" t="s">
        <v>157</v>
      </c>
      <c r="F44" s="252" t="s">
        <v>94</v>
      </c>
      <c r="G44" s="252"/>
      <c r="H44" s="252"/>
      <c r="I44" s="252"/>
      <c r="J44" s="254"/>
      <c r="K44" s="252"/>
      <c r="L44" s="252"/>
      <c r="M44" s="254"/>
      <c r="N44" s="88"/>
      <c r="O44" s="23"/>
      <c r="P44" s="252"/>
      <c r="Q44" s="252"/>
      <c r="R44" s="24"/>
      <c r="S44" s="24"/>
      <c r="T44" s="24"/>
      <c r="U44" s="24"/>
      <c r="AA44" s="154"/>
      <c r="AI44" s="21"/>
      <c r="AK44" s="18"/>
    </row>
    <row r="45" spans="1:37" ht="100.9" customHeight="1">
      <c r="A45" s="337" t="s">
        <v>4484</v>
      </c>
      <c r="B45" s="333" t="s">
        <v>4807</v>
      </c>
      <c r="C45" s="337" t="s">
        <v>4808</v>
      </c>
      <c r="D45" s="337" t="s">
        <v>479</v>
      </c>
      <c r="E45" s="720" t="s">
        <v>5885</v>
      </c>
      <c r="F45" s="337" t="s">
        <v>5921</v>
      </c>
      <c r="G45" s="337"/>
      <c r="H45" s="337"/>
      <c r="I45" s="337"/>
      <c r="J45" s="726" t="s">
        <v>5922</v>
      </c>
      <c r="K45" s="337"/>
      <c r="L45" s="337"/>
      <c r="M45" s="726"/>
      <c r="N45" s="337" t="s">
        <v>152</v>
      </c>
      <c r="O45" s="710"/>
      <c r="P45" s="337"/>
      <c r="Q45" s="337"/>
      <c r="R45" s="336" t="s">
        <v>489</v>
      </c>
      <c r="S45" s="336"/>
      <c r="T45" s="336" t="s">
        <v>489</v>
      </c>
      <c r="U45" s="336" t="s">
        <v>5923</v>
      </c>
      <c r="AA45" s="336" t="s">
        <v>148</v>
      </c>
      <c r="AI45" s="21"/>
      <c r="AK45" s="18"/>
    </row>
    <row r="46" spans="1:37" ht="39" customHeight="1">
      <c r="A46" s="88"/>
      <c r="B46" s="262"/>
      <c r="C46" s="88"/>
      <c r="D46" s="315"/>
      <c r="E46" s="397"/>
      <c r="F46" s="315"/>
      <c r="G46" s="315" t="s">
        <v>94</v>
      </c>
      <c r="H46" s="315" t="s">
        <v>4477</v>
      </c>
      <c r="I46" s="315" t="s">
        <v>94</v>
      </c>
      <c r="J46" s="398" t="s">
        <v>5924</v>
      </c>
      <c r="K46" s="315"/>
      <c r="L46" s="315"/>
      <c r="M46" s="398"/>
      <c r="N46" s="315" t="s">
        <v>152</v>
      </c>
      <c r="O46" s="331"/>
      <c r="P46" s="329" t="s">
        <v>4467</v>
      </c>
      <c r="Q46" s="329" t="s">
        <v>94</v>
      </c>
      <c r="R46" s="36"/>
      <c r="S46" s="36"/>
      <c r="T46" s="36"/>
      <c r="U46" s="330" t="s">
        <v>5925</v>
      </c>
      <c r="AA46" s="154"/>
      <c r="AI46" s="21"/>
      <c r="AK46" s="18"/>
    </row>
    <row r="47" spans="1:37" ht="22.9" customHeight="1">
      <c r="A47" s="88"/>
      <c r="B47" s="262"/>
      <c r="C47" s="88"/>
      <c r="D47" s="315"/>
      <c r="E47" s="397"/>
      <c r="F47" s="315"/>
      <c r="G47" s="315" t="s">
        <v>4467</v>
      </c>
      <c r="H47" s="315" t="s">
        <v>4487</v>
      </c>
      <c r="I47" s="315" t="s">
        <v>4478</v>
      </c>
      <c r="J47" s="398" t="s">
        <v>5926</v>
      </c>
      <c r="K47" s="329" t="s">
        <v>5918</v>
      </c>
      <c r="L47" s="329" t="s">
        <v>5927</v>
      </c>
      <c r="M47" s="399" t="s">
        <v>5838</v>
      </c>
      <c r="N47" s="329" t="s">
        <v>4444</v>
      </c>
      <c r="O47" s="331"/>
      <c r="P47" s="329" t="s">
        <v>4467</v>
      </c>
      <c r="Q47" s="329" t="s">
        <v>94</v>
      </c>
      <c r="R47" s="36"/>
      <c r="S47" s="36"/>
      <c r="T47" s="36"/>
      <c r="U47" s="330" t="s">
        <v>5928</v>
      </c>
      <c r="AA47" s="154"/>
      <c r="AI47" s="21"/>
      <c r="AK47" s="18"/>
    </row>
    <row r="48" spans="1:37" ht="90">
      <c r="A48" s="88"/>
      <c r="B48" s="262"/>
      <c r="C48" s="88"/>
      <c r="D48" s="315"/>
      <c r="E48" s="311"/>
      <c r="F48" s="315"/>
      <c r="G48" s="315" t="s">
        <v>4474</v>
      </c>
      <c r="H48" s="315" t="s">
        <v>4490</v>
      </c>
      <c r="I48" s="315" t="s">
        <v>566</v>
      </c>
      <c r="J48" s="398" t="s">
        <v>5929</v>
      </c>
      <c r="K48" s="315"/>
      <c r="L48" s="315"/>
      <c r="M48" s="398"/>
      <c r="N48" s="329" t="s">
        <v>4444</v>
      </c>
      <c r="O48" s="331" t="s">
        <v>5930</v>
      </c>
      <c r="P48" s="329" t="s">
        <v>4467</v>
      </c>
      <c r="Q48" s="329" t="s">
        <v>94</v>
      </c>
      <c r="R48" s="36"/>
      <c r="S48" s="36"/>
      <c r="T48" s="36"/>
      <c r="U48" s="36"/>
      <c r="AA48" s="154"/>
      <c r="AI48" s="21"/>
      <c r="AK48" s="18"/>
    </row>
    <row r="49" spans="1:37" ht="45">
      <c r="A49" s="88"/>
      <c r="B49" s="262"/>
      <c r="C49" s="88"/>
      <c r="D49" s="315"/>
      <c r="E49" s="311"/>
      <c r="F49" s="315"/>
      <c r="G49" s="315" t="s">
        <v>141</v>
      </c>
      <c r="H49" s="315" t="s">
        <v>4493</v>
      </c>
      <c r="I49" s="315" t="s">
        <v>5343</v>
      </c>
      <c r="J49" s="398" t="s">
        <v>5931</v>
      </c>
      <c r="K49" s="315"/>
      <c r="L49" s="315"/>
      <c r="M49" s="398"/>
      <c r="N49" s="329" t="s">
        <v>4444</v>
      </c>
      <c r="O49" s="331"/>
      <c r="P49" s="329" t="s">
        <v>4467</v>
      </c>
      <c r="Q49" s="329" t="s">
        <v>94</v>
      </c>
      <c r="R49" s="36"/>
      <c r="S49" s="36"/>
      <c r="T49" s="36"/>
      <c r="U49" s="330" t="s">
        <v>5932</v>
      </c>
      <c r="AA49" s="154"/>
      <c r="AI49" s="21"/>
      <c r="AK49" s="18"/>
    </row>
    <row r="50" spans="1:37" ht="94.9" customHeight="1">
      <c r="A50" s="88"/>
      <c r="B50" s="262"/>
      <c r="C50" s="88"/>
      <c r="D50" s="315"/>
      <c r="E50" s="311"/>
      <c r="F50" s="315"/>
      <c r="G50" s="315" t="s">
        <v>4477</v>
      </c>
      <c r="H50" s="315" t="s">
        <v>4993</v>
      </c>
      <c r="I50" s="315" t="s">
        <v>4951</v>
      </c>
      <c r="J50" s="398" t="s">
        <v>5933</v>
      </c>
      <c r="K50" s="315"/>
      <c r="L50" s="315"/>
      <c r="M50" s="398"/>
      <c r="N50" s="329" t="s">
        <v>4444</v>
      </c>
      <c r="O50" s="331" t="s">
        <v>5930</v>
      </c>
      <c r="P50" s="329" t="s">
        <v>4467</v>
      </c>
      <c r="Q50" s="329" t="s">
        <v>94</v>
      </c>
      <c r="R50" s="36"/>
      <c r="S50" s="36"/>
      <c r="T50" s="36"/>
      <c r="U50" s="36"/>
      <c r="AA50" s="154"/>
      <c r="AI50" s="21"/>
      <c r="AK50" s="18"/>
    </row>
    <row r="51" spans="1:37" ht="45">
      <c r="A51" s="88"/>
      <c r="B51" s="262"/>
      <c r="C51" s="88"/>
      <c r="D51" s="315"/>
      <c r="E51" s="311"/>
      <c r="F51" s="315"/>
      <c r="G51" s="315" t="s">
        <v>4478</v>
      </c>
      <c r="H51" s="315" t="s">
        <v>5570</v>
      </c>
      <c r="I51" s="315" t="s">
        <v>4997</v>
      </c>
      <c r="J51" s="398" t="s">
        <v>5934</v>
      </c>
      <c r="K51" s="315"/>
      <c r="L51" s="315"/>
      <c r="M51" s="398"/>
      <c r="N51" s="329" t="s">
        <v>4444</v>
      </c>
      <c r="O51" s="331"/>
      <c r="P51" s="329" t="s">
        <v>4467</v>
      </c>
      <c r="Q51" s="329" t="s">
        <v>94</v>
      </c>
      <c r="R51" s="36"/>
      <c r="S51" s="36"/>
      <c r="T51" s="36"/>
      <c r="U51" s="330" t="s">
        <v>5932</v>
      </c>
      <c r="AA51" s="154"/>
      <c r="AI51" s="21"/>
      <c r="AK51" s="18"/>
    </row>
    <row r="52" spans="1:37" ht="16.149999999999999" customHeight="1">
      <c r="A52" s="43"/>
      <c r="B52" s="296"/>
      <c r="C52" s="43"/>
      <c r="D52" s="329"/>
      <c r="E52" s="311"/>
      <c r="F52" s="329"/>
      <c r="G52" s="329" t="s">
        <v>4955</v>
      </c>
      <c r="H52" s="329" t="s">
        <v>5274</v>
      </c>
      <c r="I52" s="329" t="s">
        <v>5935</v>
      </c>
      <c r="J52" s="399" t="s">
        <v>5936</v>
      </c>
      <c r="K52" s="329"/>
      <c r="L52" s="329"/>
      <c r="M52" s="399"/>
      <c r="N52" s="329" t="s">
        <v>152</v>
      </c>
      <c r="O52" s="331"/>
      <c r="P52" s="329" t="s">
        <v>4467</v>
      </c>
      <c r="Q52" s="329" t="s">
        <v>94</v>
      </c>
      <c r="R52" s="330"/>
      <c r="S52" s="330"/>
      <c r="T52" s="330"/>
      <c r="U52" s="330"/>
      <c r="AA52" s="154"/>
      <c r="AI52" s="21"/>
      <c r="AK52" s="18"/>
    </row>
    <row r="53" spans="1:37" ht="15">
      <c r="A53" s="43"/>
      <c r="B53" s="296"/>
      <c r="C53" s="43"/>
      <c r="D53" s="329"/>
      <c r="E53" s="311" t="s">
        <v>157</v>
      </c>
      <c r="F53" s="329" t="s">
        <v>94</v>
      </c>
      <c r="G53" s="329"/>
      <c r="H53" s="329"/>
      <c r="I53" s="329"/>
      <c r="J53" s="399"/>
      <c r="K53" s="329"/>
      <c r="L53" s="329"/>
      <c r="M53" s="399"/>
      <c r="N53" s="329"/>
      <c r="O53" s="331"/>
      <c r="P53" s="329"/>
      <c r="Q53" s="329"/>
      <c r="R53" s="330"/>
      <c r="S53" s="330"/>
      <c r="T53" s="330"/>
      <c r="U53" s="330"/>
      <c r="AA53" s="154"/>
      <c r="AI53" s="21"/>
      <c r="AK53" s="18"/>
    </row>
    <row r="54" spans="1:37" ht="15" customHeight="1">
      <c r="A54" s="43"/>
      <c r="B54" s="296"/>
      <c r="C54" s="43"/>
      <c r="D54" s="329" t="s">
        <v>486</v>
      </c>
      <c r="E54" s="397" t="s">
        <v>5885</v>
      </c>
      <c r="F54" s="329" t="s">
        <v>94</v>
      </c>
      <c r="G54" s="329"/>
      <c r="H54" s="329"/>
      <c r="I54" s="329"/>
      <c r="J54" s="399"/>
      <c r="K54" s="329"/>
      <c r="L54" s="329"/>
      <c r="M54" s="399"/>
      <c r="N54" s="329"/>
      <c r="O54" s="331"/>
      <c r="P54" s="329"/>
      <c r="Q54" s="329"/>
      <c r="R54" s="330" t="s">
        <v>489</v>
      </c>
      <c r="S54" s="330"/>
      <c r="T54" s="330" t="s">
        <v>489</v>
      </c>
      <c r="U54" s="330"/>
      <c r="AA54" s="154"/>
      <c r="AI54" s="21"/>
      <c r="AK54" s="18"/>
    </row>
    <row r="55" spans="1:37" ht="16.899999999999999" customHeight="1">
      <c r="A55" s="43"/>
      <c r="B55" s="296"/>
      <c r="C55" s="43"/>
      <c r="D55" s="329"/>
      <c r="E55" s="311" t="s">
        <v>157</v>
      </c>
      <c r="F55" s="329" t="s">
        <v>94</v>
      </c>
      <c r="G55" s="329"/>
      <c r="H55" s="329"/>
      <c r="I55" s="329"/>
      <c r="J55" s="399"/>
      <c r="K55" s="329"/>
      <c r="L55" s="329"/>
      <c r="M55" s="399"/>
      <c r="N55" s="329"/>
      <c r="O55" s="331"/>
      <c r="P55" s="329"/>
      <c r="Q55" s="329"/>
      <c r="R55" s="330"/>
      <c r="S55" s="330"/>
      <c r="T55" s="330"/>
      <c r="U55" s="330"/>
      <c r="AA55" s="154"/>
      <c r="AI55" s="21"/>
      <c r="AK55" s="18"/>
    </row>
    <row r="56" spans="1:37" ht="16.899999999999999" customHeight="1">
      <c r="A56" s="43"/>
      <c r="B56" s="296"/>
      <c r="C56" s="43"/>
      <c r="D56" s="329" t="s">
        <v>478</v>
      </c>
      <c r="E56" s="397" t="s">
        <v>5885</v>
      </c>
      <c r="F56" s="329" t="s">
        <v>94</v>
      </c>
      <c r="G56" s="329"/>
      <c r="H56" s="329"/>
      <c r="I56" s="329"/>
      <c r="J56" s="399"/>
      <c r="K56" s="329"/>
      <c r="L56" s="329"/>
      <c r="M56" s="399"/>
      <c r="N56" s="329"/>
      <c r="O56" s="331"/>
      <c r="P56" s="329"/>
      <c r="Q56" s="329"/>
      <c r="R56" s="330" t="s">
        <v>489</v>
      </c>
      <c r="S56" s="330"/>
      <c r="T56" s="330" t="s">
        <v>489</v>
      </c>
      <c r="U56" s="330"/>
      <c r="AA56" s="154"/>
      <c r="AI56" s="21"/>
      <c r="AK56" s="18"/>
    </row>
    <row r="57" spans="1:37" ht="30" customHeight="1">
      <c r="A57" s="43"/>
      <c r="B57" s="296"/>
      <c r="C57" s="43"/>
      <c r="D57" s="329"/>
      <c r="E57" s="311" t="s">
        <v>157</v>
      </c>
      <c r="F57" s="400"/>
      <c r="G57" s="329"/>
      <c r="H57" s="329"/>
      <c r="I57" s="329"/>
      <c r="J57" s="399" t="s">
        <v>5937</v>
      </c>
      <c r="K57" s="329"/>
      <c r="L57" s="329"/>
      <c r="M57" s="399"/>
      <c r="N57" s="329" t="s">
        <v>152</v>
      </c>
      <c r="O57" s="331"/>
      <c r="P57" s="329"/>
      <c r="Q57" s="329"/>
      <c r="R57" s="330"/>
      <c r="S57" s="330"/>
      <c r="T57" s="330"/>
      <c r="U57" s="331" t="s">
        <v>5938</v>
      </c>
      <c r="AA57" s="154"/>
      <c r="AI57" s="21"/>
      <c r="AK57" s="18"/>
    </row>
    <row r="58" spans="1:37" ht="33.75">
      <c r="A58" s="26" t="s">
        <v>4517</v>
      </c>
      <c r="B58" s="39" t="s">
        <v>5939</v>
      </c>
      <c r="C58" s="26" t="s">
        <v>5940</v>
      </c>
      <c r="D58" s="26" t="s">
        <v>5941</v>
      </c>
      <c r="E58" s="39" t="s">
        <v>5885</v>
      </c>
      <c r="F58" s="26" t="s">
        <v>4467</v>
      </c>
      <c r="G58" s="26"/>
      <c r="H58" s="26"/>
      <c r="I58" s="26"/>
      <c r="J58" s="727"/>
      <c r="K58" s="26"/>
      <c r="L58" s="26"/>
      <c r="M58" s="40"/>
      <c r="N58" s="45"/>
      <c r="O58" s="728"/>
      <c r="P58" s="26"/>
      <c r="Q58" s="26"/>
      <c r="R58" s="38" t="s">
        <v>478</v>
      </c>
      <c r="S58" s="38"/>
      <c r="T58" s="38" t="s">
        <v>479</v>
      </c>
      <c r="U58" s="38" t="s">
        <v>5942</v>
      </c>
      <c r="AA58" s="336" t="s">
        <v>148</v>
      </c>
      <c r="AI58" s="21"/>
      <c r="AK58" s="18"/>
    </row>
    <row r="59" spans="1:37" ht="144" customHeight="1">
      <c r="A59" s="27"/>
      <c r="B59" s="28"/>
      <c r="C59" s="27"/>
      <c r="D59" s="27"/>
      <c r="E59" s="28"/>
      <c r="F59" s="27"/>
      <c r="G59" s="600" t="s">
        <v>30</v>
      </c>
      <c r="H59" s="600" t="s">
        <v>46</v>
      </c>
      <c r="I59" s="704" t="s">
        <v>30</v>
      </c>
      <c r="J59" s="704" t="s">
        <v>5943</v>
      </c>
      <c r="K59" s="705" t="s">
        <v>5888</v>
      </c>
      <c r="L59" s="705" t="s">
        <v>5944</v>
      </c>
      <c r="M59" s="600"/>
      <c r="N59" s="600" t="s">
        <v>4444</v>
      </c>
      <c r="O59" s="46" t="s">
        <v>6460</v>
      </c>
      <c r="P59" s="600" t="s">
        <v>33</v>
      </c>
      <c r="Q59" s="600" t="s">
        <v>30</v>
      </c>
      <c r="R59" s="42"/>
      <c r="S59" s="42"/>
      <c r="T59" s="42"/>
      <c r="U59" s="42"/>
      <c r="AA59" s="24"/>
      <c r="AI59" s="21"/>
      <c r="AK59" s="18"/>
    </row>
    <row r="60" spans="1:37" ht="16.899999999999999" customHeight="1">
      <c r="A60" s="27"/>
      <c r="B60" s="28"/>
      <c r="C60" s="27"/>
      <c r="D60" s="27"/>
      <c r="E60" s="28" t="s">
        <v>157</v>
      </c>
      <c r="F60" s="27" t="s">
        <v>94</v>
      </c>
      <c r="G60" s="27"/>
      <c r="H60" s="27"/>
      <c r="I60" s="27"/>
      <c r="J60" s="30"/>
      <c r="K60" s="27"/>
      <c r="L60" s="27"/>
      <c r="M60" s="30"/>
      <c r="N60" s="43"/>
      <c r="O60" s="46"/>
      <c r="P60" s="27"/>
      <c r="Q60" s="27"/>
      <c r="R60" s="42"/>
      <c r="S60" s="42"/>
      <c r="T60" s="42"/>
      <c r="U60" s="42"/>
      <c r="AA60" s="154"/>
      <c r="AI60" s="21"/>
      <c r="AK60" s="18"/>
    </row>
    <row r="61" spans="1:37" ht="16.899999999999999" customHeight="1">
      <c r="A61" s="27"/>
      <c r="B61" s="28"/>
      <c r="C61" s="27"/>
      <c r="D61" s="27" t="s">
        <v>486</v>
      </c>
      <c r="E61" s="28" t="s">
        <v>5885</v>
      </c>
      <c r="F61" s="27" t="s">
        <v>94</v>
      </c>
      <c r="G61" s="27"/>
      <c r="H61" s="27"/>
      <c r="I61" s="27"/>
      <c r="J61" s="30"/>
      <c r="K61" s="27"/>
      <c r="L61" s="27"/>
      <c r="M61" s="30"/>
      <c r="N61" s="43"/>
      <c r="O61" s="46"/>
      <c r="P61" s="27"/>
      <c r="Q61" s="27"/>
      <c r="R61" s="42"/>
      <c r="S61" s="42"/>
      <c r="T61" s="42"/>
      <c r="U61" s="42"/>
      <c r="AA61" s="154"/>
      <c r="AI61" s="21"/>
      <c r="AK61" s="18"/>
    </row>
    <row r="62" spans="1:37" ht="16.899999999999999" customHeight="1">
      <c r="A62" s="27"/>
      <c r="B62" s="28"/>
      <c r="C62" s="27"/>
      <c r="D62" s="27"/>
      <c r="E62" s="28" t="s">
        <v>157</v>
      </c>
      <c r="F62" s="27" t="s">
        <v>94</v>
      </c>
      <c r="G62" s="27"/>
      <c r="H62" s="27"/>
      <c r="I62" s="27"/>
      <c r="J62" s="30"/>
      <c r="K62" s="27"/>
      <c r="L62" s="27"/>
      <c r="M62" s="30"/>
      <c r="N62" s="43"/>
      <c r="O62" s="46"/>
      <c r="P62" s="27"/>
      <c r="Q62" s="27"/>
      <c r="R62" s="42"/>
      <c r="S62" s="42"/>
      <c r="T62" s="42"/>
      <c r="U62" s="42"/>
      <c r="AA62" s="154"/>
      <c r="AI62" s="21"/>
      <c r="AK62" s="18"/>
    </row>
    <row r="63" spans="1:37" ht="34.5" customHeight="1">
      <c r="A63" s="26" t="s">
        <v>4477</v>
      </c>
      <c r="B63" s="39" t="s">
        <v>5945</v>
      </c>
      <c r="C63" s="115" t="s">
        <v>5946</v>
      </c>
      <c r="D63" s="26" t="s">
        <v>479</v>
      </c>
      <c r="E63" s="39" t="s">
        <v>5885</v>
      </c>
      <c r="F63" s="26" t="s">
        <v>94</v>
      </c>
      <c r="G63" s="26"/>
      <c r="H63" s="26"/>
      <c r="I63" s="26"/>
      <c r="J63" s="40"/>
      <c r="K63" s="26"/>
      <c r="L63" s="26"/>
      <c r="M63" s="40"/>
      <c r="N63" s="45"/>
      <c r="O63" s="729"/>
      <c r="P63" s="26"/>
      <c r="Q63" s="26"/>
      <c r="R63" s="38" t="s">
        <v>478</v>
      </c>
      <c r="S63" s="38"/>
      <c r="T63" s="38" t="s">
        <v>479</v>
      </c>
      <c r="U63" s="38" t="s">
        <v>5947</v>
      </c>
      <c r="AA63" s="336" t="s">
        <v>148</v>
      </c>
      <c r="AI63" s="21"/>
      <c r="AK63" s="18"/>
    </row>
    <row r="64" spans="1:37" ht="16.899999999999999" customHeight="1">
      <c r="A64" s="27"/>
      <c r="B64" s="28"/>
      <c r="C64" s="27"/>
      <c r="D64" s="27"/>
      <c r="E64" s="28" t="s">
        <v>157</v>
      </c>
      <c r="F64" s="27" t="s">
        <v>94</v>
      </c>
      <c r="G64" s="27"/>
      <c r="H64" s="27"/>
      <c r="I64" s="27"/>
      <c r="J64" s="30"/>
      <c r="K64" s="27"/>
      <c r="L64" s="27"/>
      <c r="M64" s="30"/>
      <c r="N64" s="43"/>
      <c r="O64" s="46"/>
      <c r="P64" s="27"/>
      <c r="Q64" s="27"/>
      <c r="R64" s="42"/>
      <c r="S64" s="42"/>
      <c r="T64" s="42"/>
      <c r="U64" s="42"/>
      <c r="AA64" s="154"/>
      <c r="AI64" s="21"/>
      <c r="AK64" s="18"/>
    </row>
    <row r="65" spans="1:37" ht="16.149999999999999" customHeight="1">
      <c r="A65" s="27"/>
      <c r="B65" s="28"/>
      <c r="C65" s="27"/>
      <c r="D65" s="27" t="s">
        <v>478</v>
      </c>
      <c r="E65" s="28" t="s">
        <v>5885</v>
      </c>
      <c r="F65" s="27" t="s">
        <v>94</v>
      </c>
      <c r="G65" s="27"/>
      <c r="H65" s="27"/>
      <c r="I65" s="27"/>
      <c r="J65" s="30"/>
      <c r="K65" s="27"/>
      <c r="L65" s="27"/>
      <c r="M65" s="30"/>
      <c r="N65" s="43"/>
      <c r="O65" s="46"/>
      <c r="P65" s="27"/>
      <c r="Q65" s="27"/>
      <c r="R65" s="42" t="s">
        <v>478</v>
      </c>
      <c r="S65" s="42"/>
      <c r="T65" s="42" t="s">
        <v>479</v>
      </c>
      <c r="U65" s="42"/>
      <c r="AA65" s="154"/>
      <c r="AI65" s="21"/>
      <c r="AK65" s="18"/>
    </row>
    <row r="66" spans="1:37" ht="15">
      <c r="A66" s="27"/>
      <c r="B66" s="28"/>
      <c r="C66" s="27"/>
      <c r="D66" s="27"/>
      <c r="E66" s="28" t="s">
        <v>157</v>
      </c>
      <c r="F66" s="27" t="s">
        <v>4928</v>
      </c>
      <c r="G66" s="27"/>
      <c r="H66" s="27"/>
      <c r="I66" s="27"/>
      <c r="J66" s="30"/>
      <c r="K66" s="27"/>
      <c r="L66" s="27"/>
      <c r="M66" s="30"/>
      <c r="N66" s="43"/>
      <c r="O66" s="46"/>
      <c r="P66" s="27"/>
      <c r="Q66" s="27"/>
      <c r="R66" s="42"/>
      <c r="S66" s="42"/>
      <c r="T66" s="42"/>
      <c r="U66" s="42"/>
      <c r="AA66" s="154"/>
      <c r="AI66" s="21"/>
      <c r="AK66" s="18"/>
    </row>
    <row r="67" spans="1:37" ht="33.75">
      <c r="A67" s="27"/>
      <c r="B67" s="28"/>
      <c r="C67" s="27"/>
      <c r="D67" s="27"/>
      <c r="E67" s="28"/>
      <c r="F67" s="27"/>
      <c r="G67" s="27" t="s">
        <v>94</v>
      </c>
      <c r="H67" s="27" t="s">
        <v>4477</v>
      </c>
      <c r="I67" s="27" t="s">
        <v>94</v>
      </c>
      <c r="J67" s="30" t="s">
        <v>5948</v>
      </c>
      <c r="K67" s="27" t="s">
        <v>600</v>
      </c>
      <c r="L67" s="27" t="s">
        <v>5949</v>
      </c>
      <c r="M67" s="30"/>
      <c r="N67" s="600" t="s">
        <v>4444</v>
      </c>
      <c r="O67" s="46" t="s">
        <v>5950</v>
      </c>
      <c r="P67" s="600" t="s">
        <v>33</v>
      </c>
      <c r="Q67" s="600" t="s">
        <v>30</v>
      </c>
      <c r="R67" s="42"/>
      <c r="S67" s="42"/>
      <c r="T67" s="42"/>
      <c r="U67" s="42"/>
      <c r="AA67" s="154"/>
      <c r="AI67" s="21"/>
      <c r="AK67" s="18"/>
    </row>
    <row r="68" spans="1:37" ht="15">
      <c r="A68" s="27"/>
      <c r="B68" s="28" t="s">
        <v>15</v>
      </c>
      <c r="C68" s="30"/>
      <c r="D68" s="30"/>
      <c r="E68" s="706"/>
      <c r="F68" s="27"/>
      <c r="G68" s="27" t="s">
        <v>4467</v>
      </c>
      <c r="H68" s="27" t="s">
        <v>4487</v>
      </c>
      <c r="I68" s="27" t="s">
        <v>4951</v>
      </c>
      <c r="J68" s="30" t="s">
        <v>5951</v>
      </c>
      <c r="K68" s="30"/>
      <c r="L68" s="30"/>
      <c r="M68" s="30"/>
      <c r="N68" s="600" t="s">
        <v>4444</v>
      </c>
      <c r="O68" s="707"/>
      <c r="P68" s="600" t="s">
        <v>33</v>
      </c>
      <c r="Q68" s="600" t="s">
        <v>30</v>
      </c>
      <c r="R68" s="42"/>
      <c r="S68" s="42"/>
      <c r="T68" s="42"/>
      <c r="U68" s="27"/>
      <c r="AA68" s="154"/>
      <c r="AI68" s="21"/>
      <c r="AK68" s="18"/>
    </row>
    <row r="69" spans="1:37" ht="15">
      <c r="A69" s="27"/>
      <c r="B69" s="28" t="s">
        <v>15</v>
      </c>
      <c r="C69" s="30"/>
      <c r="D69" s="30"/>
      <c r="E69" s="706"/>
      <c r="F69" s="27"/>
      <c r="G69" s="27" t="s">
        <v>4478</v>
      </c>
      <c r="H69" s="27" t="s">
        <v>5570</v>
      </c>
      <c r="I69" s="27" t="s">
        <v>5316</v>
      </c>
      <c r="J69" s="30" t="s">
        <v>5952</v>
      </c>
      <c r="K69" s="30"/>
      <c r="L69" s="30"/>
      <c r="M69" s="30"/>
      <c r="N69" s="600" t="s">
        <v>5013</v>
      </c>
      <c r="O69" s="707"/>
      <c r="P69" s="600" t="s">
        <v>33</v>
      </c>
      <c r="Q69" s="600" t="s">
        <v>30</v>
      </c>
      <c r="R69" s="42"/>
      <c r="S69" s="42"/>
      <c r="T69" s="42"/>
      <c r="U69" s="27"/>
      <c r="AA69" s="154"/>
      <c r="AI69" s="21"/>
      <c r="AK69" s="18"/>
    </row>
    <row r="70" spans="1:37" ht="15">
      <c r="A70" s="27"/>
      <c r="B70" s="28" t="s">
        <v>15</v>
      </c>
      <c r="C70" s="30"/>
      <c r="D70" s="30"/>
      <c r="E70" s="706"/>
      <c r="F70" s="27"/>
      <c r="G70" s="27" t="s">
        <v>4494</v>
      </c>
      <c r="H70" s="27" t="s">
        <v>5318</v>
      </c>
      <c r="I70" s="27" t="s">
        <v>5115</v>
      </c>
      <c r="J70" s="30" t="s">
        <v>5953</v>
      </c>
      <c r="K70" s="30"/>
      <c r="L70" s="30"/>
      <c r="M70" s="30"/>
      <c r="N70" s="600" t="s">
        <v>5013</v>
      </c>
      <c r="O70" s="707"/>
      <c r="P70" s="600" t="s">
        <v>33</v>
      </c>
      <c r="Q70" s="600" t="s">
        <v>30</v>
      </c>
      <c r="R70" s="42"/>
      <c r="S70" s="42"/>
      <c r="T70" s="42"/>
      <c r="U70" s="27"/>
      <c r="AA70" s="154"/>
      <c r="AI70" s="21"/>
      <c r="AK70" s="18"/>
    </row>
    <row r="71" spans="1:37" ht="33.75">
      <c r="A71" s="26" t="s">
        <v>4478</v>
      </c>
      <c r="B71" s="39" t="s">
        <v>5954</v>
      </c>
      <c r="C71" s="115" t="s">
        <v>5955</v>
      </c>
      <c r="D71" s="26" t="s">
        <v>479</v>
      </c>
      <c r="E71" s="39" t="s">
        <v>5885</v>
      </c>
      <c r="F71" s="26" t="s">
        <v>6457</v>
      </c>
      <c r="G71" s="26"/>
      <c r="H71" s="26"/>
      <c r="I71" s="26"/>
      <c r="J71" s="40"/>
      <c r="K71" s="26"/>
      <c r="L71" s="26"/>
      <c r="M71" s="40"/>
      <c r="N71" s="45"/>
      <c r="O71" s="729"/>
      <c r="P71" s="26"/>
      <c r="Q71" s="26"/>
      <c r="R71" s="38" t="s">
        <v>478</v>
      </c>
      <c r="S71" s="38"/>
      <c r="T71" s="38" t="s">
        <v>479</v>
      </c>
      <c r="U71" s="38" t="s">
        <v>5956</v>
      </c>
      <c r="AA71" s="336" t="s">
        <v>148</v>
      </c>
      <c r="AI71" s="21"/>
      <c r="AK71" s="18"/>
    </row>
    <row r="72" spans="1:37" ht="15">
      <c r="A72" s="27"/>
      <c r="B72" s="28"/>
      <c r="C72" s="27"/>
      <c r="D72" s="27"/>
      <c r="E72" s="28"/>
      <c r="F72" s="27"/>
      <c r="G72" s="27" t="s">
        <v>94</v>
      </c>
      <c r="H72" s="27" t="s">
        <v>4477</v>
      </c>
      <c r="I72" s="27" t="s">
        <v>5343</v>
      </c>
      <c r="J72" s="30" t="s">
        <v>5957</v>
      </c>
      <c r="K72" s="27"/>
      <c r="L72" s="27"/>
      <c r="M72" s="30"/>
      <c r="N72" s="600" t="s">
        <v>4444</v>
      </c>
      <c r="O72" s="46"/>
      <c r="P72" s="600" t="s">
        <v>33</v>
      </c>
      <c r="Q72" s="600" t="s">
        <v>30</v>
      </c>
      <c r="R72" s="42"/>
      <c r="S72" s="42"/>
      <c r="T72" s="42"/>
      <c r="U72" s="42"/>
      <c r="AA72" s="154"/>
      <c r="AI72" s="21"/>
      <c r="AK72" s="18"/>
    </row>
    <row r="73" spans="1:37" ht="15">
      <c r="A73" s="27"/>
      <c r="B73" s="28"/>
      <c r="C73" s="27"/>
      <c r="D73" s="27"/>
      <c r="E73" s="28"/>
      <c r="F73" s="27"/>
      <c r="G73" s="27" t="s">
        <v>4477</v>
      </c>
      <c r="H73" s="27" t="s">
        <v>4993</v>
      </c>
      <c r="I73" s="27" t="s">
        <v>6456</v>
      </c>
      <c r="J73" s="707" t="s">
        <v>5958</v>
      </c>
      <c r="K73" s="27"/>
      <c r="L73" s="27"/>
      <c r="M73" s="30"/>
      <c r="N73" s="600" t="s">
        <v>5013</v>
      </c>
      <c r="O73" s="46"/>
      <c r="P73" s="600" t="s">
        <v>33</v>
      </c>
      <c r="Q73" s="600" t="s">
        <v>30</v>
      </c>
      <c r="R73" s="42"/>
      <c r="S73" s="42"/>
      <c r="T73" s="42"/>
      <c r="U73" s="42" t="s">
        <v>5959</v>
      </c>
      <c r="AA73" s="154"/>
      <c r="AI73" s="21"/>
      <c r="AK73" s="18"/>
    </row>
    <row r="74" spans="1:37" ht="15">
      <c r="A74" s="27"/>
      <c r="B74" s="28"/>
      <c r="C74" s="27"/>
      <c r="D74" s="27"/>
      <c r="E74" s="28" t="s">
        <v>157</v>
      </c>
      <c r="F74" s="27" t="s">
        <v>94</v>
      </c>
      <c r="G74" s="27"/>
      <c r="H74" s="27"/>
      <c r="I74" s="708"/>
      <c r="J74" s="30"/>
      <c r="K74" s="27"/>
      <c r="L74" s="27"/>
      <c r="M74" s="30"/>
      <c r="N74" s="600"/>
      <c r="O74" s="46"/>
      <c r="P74" s="27"/>
      <c r="Q74" s="27"/>
      <c r="R74" s="42"/>
      <c r="S74" s="42"/>
      <c r="T74" s="42"/>
      <c r="U74" s="42"/>
      <c r="AA74" s="154"/>
      <c r="AI74" s="21"/>
      <c r="AK74" s="18"/>
    </row>
    <row r="75" spans="1:37" ht="15">
      <c r="A75" s="27"/>
      <c r="B75" s="28"/>
      <c r="C75" s="27"/>
      <c r="D75" s="27" t="s">
        <v>478</v>
      </c>
      <c r="E75" s="28" t="s">
        <v>5885</v>
      </c>
      <c r="F75" s="27" t="s">
        <v>94</v>
      </c>
      <c r="G75" s="27"/>
      <c r="H75" s="27"/>
      <c r="I75" s="27"/>
      <c r="J75" s="30"/>
      <c r="K75" s="27"/>
      <c r="L75" s="27"/>
      <c r="M75" s="30"/>
      <c r="N75" s="600"/>
      <c r="O75" s="46"/>
      <c r="P75" s="27"/>
      <c r="Q75" s="27"/>
      <c r="R75" s="42" t="s">
        <v>478</v>
      </c>
      <c r="S75" s="42"/>
      <c r="T75" s="42" t="s">
        <v>479</v>
      </c>
      <c r="U75" s="42"/>
      <c r="AA75" s="154"/>
      <c r="AI75" s="21"/>
      <c r="AK75" s="18"/>
    </row>
    <row r="76" spans="1:37" ht="15">
      <c r="A76" s="27"/>
      <c r="B76" s="28"/>
      <c r="C76" s="27"/>
      <c r="D76" s="27"/>
      <c r="E76" s="28" t="s">
        <v>157</v>
      </c>
      <c r="F76" s="27" t="s">
        <v>5960</v>
      </c>
      <c r="G76" s="27"/>
      <c r="H76" s="27"/>
      <c r="I76" s="27"/>
      <c r="J76" s="30"/>
      <c r="K76" s="27"/>
      <c r="L76" s="27"/>
      <c r="M76" s="30"/>
      <c r="N76" s="600"/>
      <c r="O76" s="46"/>
      <c r="P76" s="27"/>
      <c r="Q76" s="27"/>
      <c r="R76" s="42"/>
      <c r="S76" s="42"/>
      <c r="T76" s="42"/>
      <c r="U76" s="42"/>
      <c r="AA76" s="154"/>
      <c r="AI76" s="21"/>
      <c r="AK76" s="18"/>
    </row>
    <row r="77" spans="1:37" ht="33.75">
      <c r="A77" s="27"/>
      <c r="B77" s="28"/>
      <c r="C77" s="27"/>
      <c r="D77" s="27"/>
      <c r="E77" s="28"/>
      <c r="F77" s="27"/>
      <c r="G77" s="27" t="s">
        <v>94</v>
      </c>
      <c r="H77" s="27" t="s">
        <v>4477</v>
      </c>
      <c r="I77" s="27" t="s">
        <v>94</v>
      </c>
      <c r="J77" s="30" t="s">
        <v>5948</v>
      </c>
      <c r="K77" s="27" t="s">
        <v>600</v>
      </c>
      <c r="L77" s="27" t="s">
        <v>5949</v>
      </c>
      <c r="M77" s="30"/>
      <c r="N77" s="600" t="s">
        <v>4444</v>
      </c>
      <c r="O77" s="46" t="s">
        <v>5950</v>
      </c>
      <c r="P77" s="600" t="s">
        <v>33</v>
      </c>
      <c r="Q77" s="600" t="s">
        <v>30</v>
      </c>
      <c r="R77" s="42"/>
      <c r="S77" s="42"/>
      <c r="T77" s="42"/>
      <c r="U77" s="42"/>
      <c r="AA77" s="154"/>
      <c r="AI77" s="21"/>
      <c r="AK77" s="18"/>
    </row>
    <row r="78" spans="1:37" ht="15">
      <c r="A78" s="27"/>
      <c r="B78" s="28"/>
      <c r="C78" s="27"/>
      <c r="D78" s="27"/>
      <c r="E78" s="28"/>
      <c r="F78" s="27"/>
      <c r="G78" s="27" t="s">
        <v>4467</v>
      </c>
      <c r="H78" s="27" t="s">
        <v>4487</v>
      </c>
      <c r="I78" s="27" t="s">
        <v>5967</v>
      </c>
      <c r="J78" s="707" t="s">
        <v>5961</v>
      </c>
      <c r="K78" s="27"/>
      <c r="L78" s="27"/>
      <c r="M78" s="30"/>
      <c r="N78" s="600" t="s">
        <v>5013</v>
      </c>
      <c r="O78" s="46"/>
      <c r="P78" s="600" t="s">
        <v>33</v>
      </c>
      <c r="Q78" s="600" t="s">
        <v>30</v>
      </c>
      <c r="R78" s="42"/>
      <c r="S78" s="42"/>
      <c r="T78" s="42"/>
      <c r="U78" s="42" t="s">
        <v>5962</v>
      </c>
      <c r="AA78" s="154"/>
      <c r="AI78" s="21"/>
      <c r="AK78" s="18"/>
    </row>
    <row r="79" spans="1:37" ht="15">
      <c r="A79" s="26" t="s">
        <v>4994</v>
      </c>
      <c r="B79" s="39" t="s">
        <v>5963</v>
      </c>
      <c r="C79" s="115" t="s">
        <v>5964</v>
      </c>
      <c r="D79" s="26" t="s">
        <v>479</v>
      </c>
      <c r="E79" s="39" t="s">
        <v>5885</v>
      </c>
      <c r="F79" s="26" t="s">
        <v>5965</v>
      </c>
      <c r="G79" s="26" t="s">
        <v>94</v>
      </c>
      <c r="H79" s="26"/>
      <c r="I79" s="26"/>
      <c r="J79" s="418"/>
      <c r="K79" s="26"/>
      <c r="L79" s="26"/>
      <c r="M79" s="40"/>
      <c r="N79" s="45"/>
      <c r="O79" s="729"/>
      <c r="P79" s="26"/>
      <c r="Q79" s="26"/>
      <c r="R79" s="38" t="s">
        <v>478</v>
      </c>
      <c r="S79" s="38"/>
      <c r="T79" s="38" t="s">
        <v>479</v>
      </c>
      <c r="U79" s="38" t="s">
        <v>5966</v>
      </c>
      <c r="AA79" s="336" t="s">
        <v>148</v>
      </c>
      <c r="AI79" s="21"/>
      <c r="AK79" s="18"/>
    </row>
    <row r="80" spans="1:37" ht="15">
      <c r="A80" s="27"/>
      <c r="B80" s="28"/>
      <c r="C80" s="27"/>
      <c r="D80" s="27"/>
      <c r="E80" s="28"/>
      <c r="F80" s="27"/>
      <c r="G80" s="27" t="s">
        <v>94</v>
      </c>
      <c r="H80" s="27" t="s">
        <v>4477</v>
      </c>
      <c r="I80" s="27" t="s">
        <v>6458</v>
      </c>
      <c r="J80" s="30" t="s">
        <v>5968</v>
      </c>
      <c r="K80" s="27"/>
      <c r="L80" s="27"/>
      <c r="M80" s="30"/>
      <c r="N80" s="600" t="s">
        <v>5013</v>
      </c>
      <c r="O80" s="46"/>
      <c r="P80" s="600" t="s">
        <v>33</v>
      </c>
      <c r="Q80" s="600" t="s">
        <v>30</v>
      </c>
      <c r="R80" s="42"/>
      <c r="S80" s="42"/>
      <c r="T80" s="42"/>
      <c r="U80" s="42"/>
      <c r="AA80" s="154"/>
      <c r="AI80" s="21"/>
      <c r="AK80" s="18"/>
    </row>
    <row r="81" spans="1:37" ht="15">
      <c r="A81" s="27"/>
      <c r="B81" s="28"/>
      <c r="C81" s="27"/>
      <c r="D81" s="27"/>
      <c r="E81" s="28" t="s">
        <v>157</v>
      </c>
      <c r="F81" s="27" t="s">
        <v>94</v>
      </c>
      <c r="G81" s="154"/>
      <c r="H81" s="154"/>
      <c r="I81" s="154"/>
      <c r="J81" s="154"/>
      <c r="K81" s="154"/>
      <c r="L81" s="154"/>
      <c r="M81" s="154"/>
      <c r="N81" s="154"/>
      <c r="O81" s="46"/>
      <c r="P81" s="27"/>
      <c r="Q81" s="27"/>
      <c r="R81" s="42"/>
      <c r="S81" s="42"/>
      <c r="T81" s="42"/>
      <c r="U81" s="42"/>
      <c r="AA81" s="154"/>
      <c r="AI81" s="21"/>
      <c r="AK81" s="18"/>
    </row>
    <row r="82" spans="1:37" ht="15">
      <c r="A82" s="27"/>
      <c r="B82" s="28"/>
      <c r="C82" s="27"/>
      <c r="D82" s="27" t="s">
        <v>478</v>
      </c>
      <c r="E82" s="28" t="s">
        <v>5885</v>
      </c>
      <c r="F82" s="27" t="s">
        <v>94</v>
      </c>
      <c r="G82" s="27"/>
      <c r="H82" s="27"/>
      <c r="I82" s="27"/>
      <c r="J82" s="707"/>
      <c r="K82" s="27"/>
      <c r="L82" s="27"/>
      <c r="M82" s="30"/>
      <c r="N82" s="600"/>
      <c r="O82" s="46"/>
      <c r="P82" s="27"/>
      <c r="Q82" s="27"/>
      <c r="R82" s="42" t="s">
        <v>478</v>
      </c>
      <c r="S82" s="42"/>
      <c r="T82" s="42" t="s">
        <v>479</v>
      </c>
      <c r="U82" s="42"/>
      <c r="AA82" s="154"/>
      <c r="AI82" s="21"/>
      <c r="AK82" s="18"/>
    </row>
    <row r="83" spans="1:37" ht="15">
      <c r="A83" s="27"/>
      <c r="B83" s="28"/>
      <c r="C83" s="27"/>
      <c r="D83" s="27"/>
      <c r="E83" s="28" t="s">
        <v>157</v>
      </c>
      <c r="F83" s="27" t="s">
        <v>4467</v>
      </c>
      <c r="G83" s="154"/>
      <c r="H83" s="154"/>
      <c r="I83" s="154"/>
      <c r="J83" s="154"/>
      <c r="K83" s="154"/>
      <c r="L83" s="154"/>
      <c r="M83" s="154"/>
      <c r="N83" s="154"/>
      <c r="O83" s="154"/>
      <c r="P83" s="27"/>
      <c r="Q83" s="27"/>
      <c r="R83" s="42"/>
      <c r="S83" s="42"/>
      <c r="T83" s="42"/>
      <c r="U83" s="42"/>
      <c r="AA83" s="154"/>
      <c r="AI83" s="21"/>
      <c r="AK83" s="18"/>
    </row>
    <row r="84" spans="1:37" ht="33.75">
      <c r="A84" s="27"/>
      <c r="B84" s="28"/>
      <c r="C84" s="27"/>
      <c r="D84" s="27"/>
      <c r="E84" s="28"/>
      <c r="F84" s="27"/>
      <c r="G84" s="27" t="s">
        <v>94</v>
      </c>
      <c r="H84" s="27" t="s">
        <v>4477</v>
      </c>
      <c r="I84" s="27" t="s">
        <v>94</v>
      </c>
      <c r="J84" s="30" t="s">
        <v>5948</v>
      </c>
      <c r="K84" s="27" t="s">
        <v>600</v>
      </c>
      <c r="L84" s="27" t="s">
        <v>5949</v>
      </c>
      <c r="M84" s="30"/>
      <c r="N84" s="600" t="s">
        <v>4444</v>
      </c>
      <c r="O84" s="46" t="s">
        <v>5950</v>
      </c>
      <c r="P84" s="600" t="s">
        <v>33</v>
      </c>
      <c r="Q84" s="600" t="s">
        <v>30</v>
      </c>
      <c r="R84" s="42"/>
      <c r="S84" s="42"/>
      <c r="T84" s="42"/>
      <c r="U84" s="42"/>
      <c r="AA84" s="154"/>
      <c r="AI84" s="21"/>
      <c r="AK84" s="18"/>
    </row>
    <row r="85" spans="1:37" ht="16.899999999999999" customHeight="1">
      <c r="AI85" s="21"/>
      <c r="AK85" s="18"/>
    </row>
    <row r="86" spans="1:37" ht="16.899999999999999" customHeight="1">
      <c r="AI86" s="21"/>
      <c r="AK86" s="18"/>
    </row>
    <row r="87" spans="1:37" ht="16.899999999999999" customHeight="1">
      <c r="AI87" s="21"/>
      <c r="AK87" s="18"/>
    </row>
    <row r="88" spans="1:37" ht="16.899999999999999" customHeight="1">
      <c r="AI88" s="21"/>
      <c r="AK88" s="18"/>
    </row>
    <row r="89" spans="1:37" ht="16.899999999999999" customHeight="1">
      <c r="AI89" s="21"/>
      <c r="AK89" s="18"/>
    </row>
    <row r="90" spans="1:37" ht="16.899999999999999" customHeight="1">
      <c r="AI90" s="21"/>
      <c r="AK90" s="18"/>
    </row>
    <row r="91" spans="1:37" ht="16.899999999999999" customHeight="1">
      <c r="AI91" s="21"/>
      <c r="AK91" s="18"/>
    </row>
    <row r="92" spans="1:37" ht="16.899999999999999" customHeight="1">
      <c r="AI92" s="21"/>
      <c r="AK92" s="18"/>
    </row>
    <row r="93" spans="1:37" ht="16.149999999999999" customHeight="1">
      <c r="AI93" s="21"/>
      <c r="AK93" s="18"/>
    </row>
    <row r="94" spans="1:37" ht="18" customHeight="1">
      <c r="AI94" s="21"/>
      <c r="AK94" s="18"/>
    </row>
    <row r="95" spans="1:37" ht="18" customHeight="1">
      <c r="AI95" s="21"/>
      <c r="AK95" s="18"/>
    </row>
    <row r="96" spans="1:37" ht="18" customHeight="1">
      <c r="AI96" s="21"/>
      <c r="AK96" s="18"/>
    </row>
  </sheetData>
  <sheetProtection formatCells="0" formatColumns="0" formatRows="0"/>
  <mergeCells count="27">
    <mergeCell ref="U8:U9"/>
    <mergeCell ref="P8:P9"/>
    <mergeCell ref="Q8:Q9"/>
    <mergeCell ref="R8:R9"/>
    <mergeCell ref="S8:S9"/>
    <mergeCell ref="T8:T9"/>
    <mergeCell ref="G8:G9"/>
    <mergeCell ref="H8:H9"/>
    <mergeCell ref="J8:J9"/>
    <mergeCell ref="K8:K9"/>
    <mergeCell ref="I8:I9"/>
    <mergeCell ref="AA8:AA9"/>
    <mergeCell ref="A2:T2"/>
    <mergeCell ref="A3:T3"/>
    <mergeCell ref="A5:U5"/>
    <mergeCell ref="B6:U6"/>
    <mergeCell ref="A7:T7"/>
    <mergeCell ref="A8:A9"/>
    <mergeCell ref="B8:B9"/>
    <mergeCell ref="C8:C9"/>
    <mergeCell ref="D8:D9"/>
    <mergeCell ref="E8:E9"/>
    <mergeCell ref="L8:L9"/>
    <mergeCell ref="M8:M9"/>
    <mergeCell ref="N8:N9"/>
    <mergeCell ref="O8:O9"/>
    <mergeCell ref="F8:F9"/>
  </mergeCells>
  <phoneticPr fontId="28" type="noConversion"/>
  <conditionalFormatting sqref="G8">
    <cfRule type="cellIs" dxfId="7" priority="1" stopIfTrue="1" operator="equal">
      <formula>"tbd"</formula>
    </cfRule>
  </conditionalFormatting>
  <hyperlinks>
    <hyperlink ref="A1" location="_0x31" display="Return" xr:uid="{06F97653-BF10-4367-A01D-A0F0E2D7CA3D}"/>
  </hyperlinks>
  <pageMargins left="0.69930555555555596" right="0.69930555555555596" top="0.75" bottom="0.75" header="0.3" footer="0.3"/>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工作表16"/>
  <dimension ref="A1:AN47"/>
  <sheetViews>
    <sheetView topLeftCell="E16" zoomScale="115" zoomScaleNormal="115" workbookViewId="0">
      <selection activeCell="J23" sqref="J23"/>
    </sheetView>
  </sheetViews>
  <sheetFormatPr defaultColWidth="9" defaultRowHeight="15"/>
  <cols>
    <col min="1" max="1" width="6" style="48" customWidth="1"/>
    <col min="2" max="2" width="23.125" style="48" customWidth="1"/>
    <col min="3" max="3" width="9.25" style="126" customWidth="1"/>
    <col min="4" max="4" width="8.25" style="48" customWidth="1"/>
    <col min="5" max="5" width="6.25" style="126" customWidth="1"/>
    <col min="6" max="6" width="7.5" style="126" bestFit="1" customWidth="1"/>
    <col min="7" max="7" width="8.125" style="126" customWidth="1"/>
    <col min="8" max="8" width="20.75" style="48" customWidth="1"/>
    <col min="9" max="9" width="10" style="48" customWidth="1"/>
    <col min="10" max="10" width="10.375" style="48" customWidth="1"/>
    <col min="11" max="11" width="6.625" style="127" customWidth="1"/>
    <col min="12" max="12" width="12.375" style="126" customWidth="1"/>
    <col min="13" max="13" width="12.5" style="126" customWidth="1"/>
    <col min="14" max="14" width="9.125" style="126" customWidth="1"/>
    <col min="15" max="15" width="9.25" style="126" customWidth="1"/>
    <col min="16" max="16" width="18.875" style="126" customWidth="1"/>
    <col min="17" max="17" width="15.25" style="48" customWidth="1"/>
    <col min="18" max="18" width="14.25" style="48" customWidth="1"/>
    <col min="19" max="19" width="18.5" style="48" customWidth="1"/>
    <col min="20" max="30" width="9" style="48"/>
    <col min="31" max="32" width="9" style="48" customWidth="1"/>
    <col min="33" max="33" width="15.375" style="48" customWidth="1"/>
    <col min="34" max="34" width="9" style="48" customWidth="1"/>
    <col min="35" max="35" width="11.75" style="48" customWidth="1"/>
    <col min="36" max="38" width="9" style="48" hidden="1" customWidth="1"/>
    <col min="39" max="39" width="14.875" style="48" hidden="1" customWidth="1"/>
    <col min="40" max="40" width="9" style="48" hidden="1" customWidth="1"/>
    <col min="41" max="16384" width="9" style="48"/>
  </cols>
  <sheetData>
    <row r="1" spans="1:39" ht="18.75">
      <c r="A1" s="121" t="s">
        <v>0</v>
      </c>
      <c r="B1" s="59"/>
      <c r="C1" s="71"/>
      <c r="D1" s="60"/>
      <c r="E1" s="60"/>
      <c r="F1" s="60"/>
      <c r="G1" s="60"/>
      <c r="H1" s="61"/>
      <c r="I1" s="60"/>
      <c r="J1" s="60"/>
      <c r="K1" s="70"/>
      <c r="L1" s="60"/>
      <c r="M1" s="71"/>
      <c r="N1" s="71"/>
      <c r="O1" s="71"/>
      <c r="P1" s="60"/>
      <c r="S1" s="62"/>
      <c r="AK1" s="122" t="s">
        <v>4444</v>
      </c>
      <c r="AM1" s="122" t="s">
        <v>4445</v>
      </c>
    </row>
    <row r="2" spans="1:39" s="18" customFormat="1" ht="15.75" customHeight="1">
      <c r="A2" s="907" t="s">
        <v>5969</v>
      </c>
      <c r="B2" s="908"/>
      <c r="C2" s="908"/>
      <c r="D2" s="908"/>
      <c r="E2" s="908"/>
      <c r="F2" s="908"/>
      <c r="G2" s="908"/>
      <c r="H2" s="908"/>
      <c r="I2" s="908"/>
      <c r="J2" s="908"/>
      <c r="K2" s="908"/>
      <c r="L2" s="908"/>
      <c r="M2" s="908"/>
      <c r="N2" s="908"/>
      <c r="O2" s="908"/>
      <c r="P2" s="908"/>
      <c r="Q2" s="942"/>
      <c r="R2" s="942"/>
      <c r="S2" s="908"/>
      <c r="AK2" s="123" t="s">
        <v>152</v>
      </c>
      <c r="AL2" s="48"/>
      <c r="AM2" s="123" t="s">
        <v>156</v>
      </c>
    </row>
    <row r="3" spans="1:39" s="18" customFormat="1" ht="21" customHeight="1">
      <c r="A3" s="909"/>
      <c r="B3" s="908"/>
      <c r="C3" s="908"/>
      <c r="D3" s="908"/>
      <c r="E3" s="908"/>
      <c r="F3" s="908"/>
      <c r="G3" s="908"/>
      <c r="H3" s="908"/>
      <c r="I3" s="908"/>
      <c r="J3" s="908"/>
      <c r="K3" s="908"/>
      <c r="L3" s="908"/>
      <c r="M3" s="908"/>
      <c r="N3" s="908"/>
      <c r="O3" s="908"/>
      <c r="P3" s="908"/>
      <c r="Q3" s="942"/>
      <c r="R3" s="942"/>
      <c r="S3" s="908"/>
      <c r="AK3" s="123" t="s">
        <v>158</v>
      </c>
      <c r="AL3" s="48"/>
      <c r="AM3" s="123" t="s">
        <v>4447</v>
      </c>
    </row>
    <row r="4" spans="1:39" s="18" customFormat="1" ht="9.75" customHeight="1">
      <c r="A4" s="63"/>
      <c r="B4" s="64"/>
      <c r="C4" s="73"/>
      <c r="D4" s="65"/>
      <c r="E4" s="65"/>
      <c r="F4" s="65"/>
      <c r="G4" s="65"/>
      <c r="H4" s="66"/>
      <c r="I4" s="67"/>
      <c r="J4" s="67"/>
      <c r="K4" s="72"/>
      <c r="L4" s="68"/>
      <c r="M4" s="73"/>
      <c r="N4" s="73"/>
      <c r="O4" s="73"/>
      <c r="P4" s="73"/>
      <c r="S4" s="69"/>
      <c r="AK4" s="123" t="s">
        <v>161</v>
      </c>
      <c r="AL4" s="48"/>
      <c r="AM4" s="124" t="s">
        <v>4448</v>
      </c>
    </row>
    <row r="5" spans="1:39" s="19" customFormat="1" ht="39" customHeight="1">
      <c r="A5" s="910" t="s">
        <v>5970</v>
      </c>
      <c r="B5" s="912"/>
      <c r="C5" s="912"/>
      <c r="D5" s="912"/>
      <c r="E5" s="912"/>
      <c r="F5" s="912"/>
      <c r="G5" s="912"/>
      <c r="H5" s="912"/>
      <c r="I5" s="912"/>
      <c r="J5" s="912"/>
      <c r="K5" s="912"/>
      <c r="L5" s="912"/>
      <c r="M5" s="912"/>
      <c r="N5" s="912"/>
      <c r="O5" s="912"/>
      <c r="P5" s="912"/>
      <c r="Q5" s="912"/>
      <c r="R5" s="912"/>
      <c r="S5" s="913"/>
      <c r="AK5" s="124" t="s">
        <v>4450</v>
      </c>
      <c r="AL5" s="48"/>
      <c r="AM5" s="48"/>
    </row>
    <row r="6" spans="1:39" s="22" customFormat="1" ht="27" customHeight="1">
      <c r="A6" s="23" t="s">
        <v>4909</v>
      </c>
      <c r="B6" s="938" t="s">
        <v>5971</v>
      </c>
      <c r="C6" s="938"/>
      <c r="D6" s="938"/>
      <c r="E6" s="938"/>
      <c r="F6" s="938"/>
      <c r="G6" s="938"/>
      <c r="H6" s="938"/>
      <c r="I6" s="938"/>
      <c r="J6" s="938"/>
      <c r="K6" s="938"/>
      <c r="L6" s="938"/>
      <c r="M6" s="938"/>
      <c r="N6" s="938"/>
      <c r="O6" s="938"/>
      <c r="P6" s="943"/>
      <c r="Q6" s="943"/>
      <c r="R6" s="943"/>
      <c r="S6" s="75"/>
    </row>
    <row r="7" spans="1:39" ht="13.9" customHeight="1">
      <c r="A7" s="914" t="s">
        <v>4911</v>
      </c>
      <c r="B7" s="915"/>
      <c r="C7" s="941"/>
      <c r="D7" s="915"/>
      <c r="E7" s="915"/>
      <c r="F7" s="915"/>
      <c r="G7" s="915"/>
      <c r="H7" s="915"/>
      <c r="I7" s="915"/>
      <c r="J7" s="915"/>
      <c r="K7" s="915"/>
      <c r="L7" s="915"/>
      <c r="M7" s="915"/>
      <c r="N7" s="915"/>
      <c r="O7" s="915"/>
      <c r="P7" s="941"/>
      <c r="Q7" s="850"/>
      <c r="R7" s="850"/>
      <c r="S7" s="915"/>
    </row>
    <row r="8" spans="1:39" ht="41.25" customHeight="1">
      <c r="A8" s="875" t="s">
        <v>4452</v>
      </c>
      <c r="B8" s="875" t="s">
        <v>599</v>
      </c>
      <c r="C8" s="875" t="s">
        <v>4913</v>
      </c>
      <c r="D8" s="875" t="s">
        <v>4456</v>
      </c>
      <c r="E8" s="875" t="s">
        <v>4457</v>
      </c>
      <c r="F8" s="916" t="s">
        <v>4458</v>
      </c>
      <c r="G8" s="916" t="s">
        <v>4459</v>
      </c>
      <c r="H8" s="875" t="s">
        <v>4460</v>
      </c>
      <c r="I8" s="875" t="s">
        <v>4461</v>
      </c>
      <c r="J8" s="875" t="s">
        <v>4462</v>
      </c>
      <c r="K8" s="875" t="s">
        <v>54</v>
      </c>
      <c r="L8" s="875" t="s">
        <v>4463</v>
      </c>
      <c r="M8" s="875" t="s">
        <v>4464</v>
      </c>
      <c r="N8" s="875" t="s">
        <v>4465</v>
      </c>
      <c r="O8" s="875" t="s">
        <v>4466</v>
      </c>
      <c r="P8" s="882" t="s">
        <v>4919</v>
      </c>
      <c r="Q8" s="882" t="s">
        <v>4920</v>
      </c>
      <c r="R8" s="882" t="s">
        <v>467</v>
      </c>
      <c r="S8" s="875" t="s">
        <v>4916</v>
      </c>
    </row>
    <row r="9" spans="1:39">
      <c r="A9" s="875"/>
      <c r="B9" s="875"/>
      <c r="C9" s="875"/>
      <c r="D9" s="875"/>
      <c r="E9" s="875"/>
      <c r="F9" s="916"/>
      <c r="G9" s="916"/>
      <c r="H9" s="875"/>
      <c r="I9" s="875"/>
      <c r="J9" s="875"/>
      <c r="K9" s="875"/>
      <c r="L9" s="875"/>
      <c r="M9" s="875"/>
      <c r="N9" s="875"/>
      <c r="O9" s="875"/>
      <c r="P9" s="882"/>
      <c r="Q9" s="882"/>
      <c r="R9" s="882"/>
      <c r="S9" s="917"/>
    </row>
    <row r="10" spans="1:39" s="18" customFormat="1" ht="15.75" customHeight="1">
      <c r="A10" s="26" t="s">
        <v>33</v>
      </c>
      <c r="B10" s="40" t="s">
        <v>5972</v>
      </c>
      <c r="C10" s="26" t="s">
        <v>4932</v>
      </c>
      <c r="D10" s="26" t="s">
        <v>1850</v>
      </c>
      <c r="E10" s="26"/>
      <c r="F10" s="26"/>
      <c r="G10" s="26"/>
      <c r="H10" s="41"/>
      <c r="I10" s="26"/>
      <c r="J10" s="26"/>
      <c r="K10" s="26"/>
      <c r="L10" s="26"/>
      <c r="M10" s="26"/>
      <c r="N10" s="26"/>
      <c r="O10" s="26" t="s">
        <v>15</v>
      </c>
      <c r="P10" s="38"/>
      <c r="Q10" s="38"/>
      <c r="R10" s="38"/>
      <c r="S10" s="26"/>
    </row>
    <row r="11" spans="1:39" s="18" customFormat="1" ht="15.75" customHeight="1">
      <c r="A11" s="27"/>
      <c r="B11" s="30"/>
      <c r="C11" s="27"/>
      <c r="D11" s="27"/>
      <c r="E11" s="27" t="s">
        <v>94</v>
      </c>
      <c r="F11" s="27" t="s">
        <v>4477</v>
      </c>
      <c r="G11" s="27" t="s">
        <v>94</v>
      </c>
      <c r="H11" s="29" t="s">
        <v>5973</v>
      </c>
      <c r="I11" s="27" t="s">
        <v>4955</v>
      </c>
      <c r="J11" s="27" t="s">
        <v>4955</v>
      </c>
      <c r="K11" s="27"/>
      <c r="L11" s="27" t="s">
        <v>4444</v>
      </c>
      <c r="M11" s="27"/>
      <c r="N11" s="27" t="s">
        <v>4467</v>
      </c>
      <c r="O11" s="27" t="s">
        <v>94</v>
      </c>
      <c r="P11" s="42"/>
      <c r="Q11" s="42"/>
      <c r="R11" s="42"/>
      <c r="S11" s="27"/>
    </row>
    <row r="12" spans="1:39" s="18" customFormat="1" ht="15.75" customHeight="1">
      <c r="A12" s="27"/>
      <c r="B12" s="30"/>
      <c r="C12" s="27"/>
      <c r="D12" s="27"/>
      <c r="E12" s="27" t="s">
        <v>4467</v>
      </c>
      <c r="F12" s="27" t="s">
        <v>4487</v>
      </c>
      <c r="G12" s="27" t="s">
        <v>566</v>
      </c>
      <c r="H12" s="29" t="s">
        <v>5974</v>
      </c>
      <c r="I12" s="27"/>
      <c r="J12" s="27"/>
      <c r="K12" s="27"/>
      <c r="L12" s="27" t="s">
        <v>4444</v>
      </c>
      <c r="M12" s="27"/>
      <c r="N12" s="27" t="s">
        <v>4467</v>
      </c>
      <c r="O12" s="27" t="s">
        <v>94</v>
      </c>
      <c r="P12" s="42"/>
      <c r="Q12" s="42"/>
      <c r="R12" s="42"/>
      <c r="S12" s="27"/>
    </row>
    <row r="13" spans="1:39" s="18" customFormat="1" ht="15.75" customHeight="1">
      <c r="A13" s="27"/>
      <c r="B13" s="30"/>
      <c r="C13" s="27"/>
      <c r="D13" s="27"/>
      <c r="E13" s="27" t="s">
        <v>38</v>
      </c>
      <c r="F13" s="27" t="s">
        <v>4493</v>
      </c>
      <c r="G13" s="27" t="s">
        <v>4494</v>
      </c>
      <c r="H13" s="29" t="s">
        <v>5975</v>
      </c>
      <c r="I13" s="27" t="s">
        <v>42</v>
      </c>
      <c r="J13" s="27" t="s">
        <v>42</v>
      </c>
      <c r="K13" s="27"/>
      <c r="L13" s="27" t="s">
        <v>4444</v>
      </c>
      <c r="M13" s="27"/>
      <c r="N13" s="27" t="s">
        <v>4467</v>
      </c>
      <c r="O13" s="27" t="s">
        <v>94</v>
      </c>
      <c r="P13" s="42"/>
      <c r="Q13" s="42"/>
      <c r="R13" s="42"/>
      <c r="S13" s="27"/>
    </row>
    <row r="14" spans="1:39" s="125" customFormat="1" ht="15.75" customHeight="1">
      <c r="A14" s="27"/>
      <c r="B14" s="30"/>
      <c r="C14" s="27"/>
      <c r="D14" s="27"/>
      <c r="E14" s="27" t="s">
        <v>40</v>
      </c>
      <c r="F14" s="27" t="s">
        <v>4497</v>
      </c>
      <c r="G14" s="27" t="s">
        <v>4498</v>
      </c>
      <c r="H14" s="29" t="s">
        <v>5976</v>
      </c>
      <c r="I14" s="27"/>
      <c r="J14" s="27"/>
      <c r="K14" s="27"/>
      <c r="L14" s="27" t="s">
        <v>4444</v>
      </c>
      <c r="M14" s="27"/>
      <c r="N14" s="27" t="s">
        <v>4467</v>
      </c>
      <c r="O14" s="27" t="s">
        <v>94</v>
      </c>
      <c r="P14" s="42"/>
      <c r="Q14" s="42"/>
      <c r="R14" s="42"/>
      <c r="S14" s="27"/>
    </row>
    <row r="15" spans="1:39" s="125" customFormat="1" ht="16.899999999999999" customHeight="1">
      <c r="A15" s="27"/>
      <c r="B15" s="30"/>
      <c r="C15" s="27"/>
      <c r="D15" s="27"/>
      <c r="E15" s="27" t="s">
        <v>4484</v>
      </c>
      <c r="F15" s="27" t="s">
        <v>4992</v>
      </c>
      <c r="G15" s="27" t="s">
        <v>5571</v>
      </c>
      <c r="H15" s="29" t="s">
        <v>5977</v>
      </c>
      <c r="I15" s="27"/>
      <c r="J15" s="27"/>
      <c r="K15" s="27"/>
      <c r="L15" s="27" t="s">
        <v>4444</v>
      </c>
      <c r="M15" s="27"/>
      <c r="N15" s="27" t="s">
        <v>4467</v>
      </c>
      <c r="O15" s="27" t="s">
        <v>94</v>
      </c>
      <c r="P15" s="42"/>
      <c r="Q15" s="42"/>
      <c r="R15" s="42"/>
      <c r="S15" s="27"/>
    </row>
    <row r="16" spans="1:39" s="18" customFormat="1" ht="15.75" customHeight="1">
      <c r="A16" s="26" t="s">
        <v>36</v>
      </c>
      <c r="B16" s="40" t="s">
        <v>5978</v>
      </c>
      <c r="C16" s="26" t="s">
        <v>4932</v>
      </c>
      <c r="D16" s="26" t="s">
        <v>42</v>
      </c>
      <c r="E16" s="26"/>
      <c r="F16" s="26"/>
      <c r="G16" s="26"/>
      <c r="H16" s="41"/>
      <c r="I16" s="26"/>
      <c r="J16" s="26"/>
      <c r="K16" s="26"/>
      <c r="L16" s="26"/>
      <c r="M16" s="26"/>
      <c r="N16" s="26"/>
      <c r="O16" s="26"/>
      <c r="P16" s="38"/>
      <c r="Q16" s="38"/>
      <c r="R16" s="38"/>
      <c r="S16" s="26"/>
    </row>
    <row r="17" spans="1:19" s="18" customFormat="1" ht="15.75" customHeight="1">
      <c r="A17" s="27"/>
      <c r="B17" s="30"/>
      <c r="C17" s="27"/>
      <c r="D17" s="27"/>
      <c r="E17" s="27" t="s">
        <v>94</v>
      </c>
      <c r="F17" s="27" t="s">
        <v>4477</v>
      </c>
      <c r="G17" s="27" t="s">
        <v>94</v>
      </c>
      <c r="H17" s="30" t="s">
        <v>5973</v>
      </c>
      <c r="I17" s="27" t="s">
        <v>5314</v>
      </c>
      <c r="J17" s="27" t="s">
        <v>5314</v>
      </c>
      <c r="K17" s="27"/>
      <c r="L17" s="27" t="s">
        <v>4444</v>
      </c>
      <c r="M17" s="27"/>
      <c r="N17" s="27" t="s">
        <v>4467</v>
      </c>
      <c r="O17" s="27" t="s">
        <v>94</v>
      </c>
      <c r="P17" s="42"/>
      <c r="Q17" s="42"/>
      <c r="R17" s="42"/>
      <c r="S17" s="27"/>
    </row>
    <row r="18" spans="1:19" s="18" customFormat="1" ht="15.75" customHeight="1">
      <c r="A18" s="27"/>
      <c r="B18" s="30"/>
      <c r="C18" s="27"/>
      <c r="D18" s="27"/>
      <c r="E18" s="27" t="s">
        <v>4467</v>
      </c>
      <c r="F18" s="27" t="s">
        <v>4487</v>
      </c>
      <c r="G18" s="27" t="s">
        <v>566</v>
      </c>
      <c r="H18" s="29" t="s">
        <v>5974</v>
      </c>
      <c r="I18" s="27"/>
      <c r="J18" s="27"/>
      <c r="K18" s="27"/>
      <c r="L18" s="27" t="s">
        <v>4444</v>
      </c>
      <c r="M18" s="27"/>
      <c r="N18" s="27" t="s">
        <v>4467</v>
      </c>
      <c r="O18" s="27" t="s">
        <v>94</v>
      </c>
      <c r="P18" s="42"/>
      <c r="Q18" s="42"/>
      <c r="R18" s="42"/>
      <c r="S18" s="27"/>
    </row>
    <row r="19" spans="1:19" s="18" customFormat="1" ht="15.75" customHeight="1">
      <c r="A19" s="27"/>
      <c r="B19" s="30"/>
      <c r="C19" s="27"/>
      <c r="D19" s="27"/>
      <c r="E19" s="27" t="s">
        <v>141</v>
      </c>
      <c r="F19" s="27" t="s">
        <v>4493</v>
      </c>
      <c r="G19" s="27" t="s">
        <v>4494</v>
      </c>
      <c r="H19" s="29" t="s">
        <v>5975</v>
      </c>
      <c r="I19" s="27"/>
      <c r="J19" s="27"/>
      <c r="K19" s="27"/>
      <c r="L19" s="27" t="s">
        <v>4444</v>
      </c>
      <c r="M19" s="27"/>
      <c r="N19" s="27" t="s">
        <v>4467</v>
      </c>
      <c r="O19" s="27" t="s">
        <v>94</v>
      </c>
      <c r="P19" s="42"/>
      <c r="Q19" s="42"/>
      <c r="R19" s="42"/>
      <c r="S19" s="27"/>
    </row>
    <row r="20" spans="1:19" s="18" customFormat="1" ht="15.75" customHeight="1">
      <c r="A20" s="27"/>
      <c r="B20" s="30"/>
      <c r="C20" s="27"/>
      <c r="D20" s="27"/>
      <c r="E20" s="27"/>
      <c r="F20" s="27"/>
      <c r="G20" s="27"/>
      <c r="H20" s="29"/>
      <c r="I20" s="27"/>
      <c r="J20" s="27"/>
      <c r="K20" s="27"/>
      <c r="L20" s="27"/>
      <c r="M20" s="27"/>
      <c r="N20" s="27"/>
      <c r="O20" s="27"/>
      <c r="P20" s="42"/>
      <c r="Q20" s="42"/>
      <c r="R20" s="42"/>
      <c r="S20" s="27"/>
    </row>
    <row r="21" spans="1:19" s="18" customFormat="1" ht="15.75" customHeight="1">
      <c r="A21" s="27"/>
      <c r="B21" s="30"/>
      <c r="C21" s="27"/>
      <c r="D21" s="27"/>
      <c r="E21" s="27"/>
      <c r="F21" s="27"/>
      <c r="G21" s="27"/>
      <c r="H21" s="29"/>
      <c r="I21" s="27"/>
      <c r="J21" s="27"/>
      <c r="K21" s="27"/>
      <c r="L21" s="27"/>
      <c r="M21" s="27"/>
      <c r="N21" s="27"/>
      <c r="O21" s="27"/>
      <c r="P21" s="42"/>
      <c r="Q21" s="42"/>
      <c r="R21" s="42"/>
      <c r="S21" s="27"/>
    </row>
    <row r="22" spans="1:19" s="18" customFormat="1" ht="15.75" customHeight="1">
      <c r="A22" s="27"/>
      <c r="B22" s="30"/>
      <c r="C22" s="27"/>
      <c r="D22" s="27"/>
      <c r="E22" s="27"/>
      <c r="F22" s="27"/>
      <c r="G22" s="27"/>
      <c r="H22" s="29"/>
      <c r="I22" s="27"/>
      <c r="J22" s="27"/>
      <c r="K22" s="27"/>
      <c r="L22" s="27"/>
      <c r="M22" s="27"/>
      <c r="N22" s="27"/>
      <c r="O22" s="27"/>
      <c r="P22" s="42"/>
      <c r="Q22" s="42"/>
      <c r="R22" s="42"/>
      <c r="S22" s="27"/>
    </row>
    <row r="23" spans="1:19" s="18" customFormat="1" ht="15.75" customHeight="1">
      <c r="A23" s="27"/>
      <c r="B23" s="30"/>
      <c r="C23" s="27"/>
      <c r="D23" s="27"/>
      <c r="E23" s="27"/>
      <c r="F23" s="27"/>
      <c r="G23" s="27"/>
      <c r="H23" s="29"/>
      <c r="I23" s="27"/>
      <c r="J23" s="27"/>
      <c r="K23" s="27"/>
      <c r="L23" s="27"/>
      <c r="M23" s="27"/>
      <c r="N23" s="27"/>
      <c r="O23" s="27"/>
      <c r="P23" s="42"/>
      <c r="Q23" s="42"/>
      <c r="R23" s="42"/>
      <c r="S23" s="27"/>
    </row>
    <row r="24" spans="1:19" s="18" customFormat="1" ht="15.75" customHeight="1">
      <c r="A24" s="27"/>
      <c r="B24" s="30"/>
      <c r="C24" s="27"/>
      <c r="D24" s="27"/>
      <c r="E24" s="27"/>
      <c r="F24" s="27"/>
      <c r="G24" s="27"/>
      <c r="H24" s="29"/>
      <c r="I24" s="27"/>
      <c r="J24" s="27"/>
      <c r="K24" s="27"/>
      <c r="L24" s="27"/>
      <c r="M24" s="27"/>
      <c r="N24" s="27"/>
      <c r="O24" s="27"/>
      <c r="P24" s="42"/>
      <c r="Q24" s="42"/>
      <c r="R24" s="42"/>
      <c r="S24" s="27"/>
    </row>
    <row r="25" spans="1:19" s="18" customFormat="1" ht="15.75" customHeight="1">
      <c r="A25" s="27"/>
      <c r="B25" s="30"/>
      <c r="C25" s="27"/>
      <c r="D25" s="27"/>
      <c r="E25" s="27"/>
      <c r="F25" s="27"/>
      <c r="G25" s="27"/>
      <c r="H25" s="29"/>
      <c r="I25" s="27"/>
      <c r="J25" s="27"/>
      <c r="K25" s="27"/>
      <c r="L25" s="27"/>
      <c r="M25" s="27"/>
      <c r="N25" s="27"/>
      <c r="O25" s="27"/>
      <c r="P25" s="42"/>
      <c r="Q25" s="42"/>
      <c r="R25" s="42"/>
      <c r="S25" s="27"/>
    </row>
    <row r="26" spans="1:19" s="18" customFormat="1" ht="15.75" customHeight="1">
      <c r="A26" s="27"/>
      <c r="B26" s="30"/>
      <c r="C26" s="27"/>
      <c r="D26" s="27"/>
      <c r="E26" s="27"/>
      <c r="F26" s="27"/>
      <c r="G26" s="27"/>
      <c r="H26" s="29"/>
      <c r="I26" s="27"/>
      <c r="J26" s="27"/>
      <c r="K26" s="27"/>
      <c r="L26" s="27"/>
      <c r="M26" s="27"/>
      <c r="N26" s="27"/>
      <c r="O26" s="27"/>
      <c r="P26" s="42"/>
      <c r="Q26" s="42"/>
      <c r="R26" s="42"/>
      <c r="S26" s="27"/>
    </row>
    <row r="27" spans="1:19" s="18" customFormat="1" ht="15.75" customHeight="1">
      <c r="A27" s="27"/>
      <c r="B27" s="30"/>
      <c r="C27" s="27"/>
      <c r="D27" s="27"/>
      <c r="E27" s="27"/>
      <c r="F27" s="27"/>
      <c r="G27" s="27"/>
      <c r="H27" s="29"/>
      <c r="I27" s="27"/>
      <c r="J27" s="27"/>
      <c r="K27" s="27"/>
      <c r="L27" s="27"/>
      <c r="M27" s="27"/>
      <c r="N27" s="27"/>
      <c r="O27" s="27"/>
      <c r="P27" s="42"/>
      <c r="Q27" s="42"/>
      <c r="R27" s="42"/>
      <c r="S27" s="27"/>
    </row>
    <row r="28" spans="1:19" s="18" customFormat="1" ht="15.75" customHeight="1">
      <c r="A28" s="27"/>
      <c r="B28" s="30"/>
      <c r="C28" s="27"/>
      <c r="D28" s="27"/>
      <c r="E28" s="27"/>
      <c r="F28" s="27"/>
      <c r="G28" s="27"/>
      <c r="H28" s="29"/>
      <c r="I28" s="27"/>
      <c r="J28" s="27"/>
      <c r="K28" s="27"/>
      <c r="L28" s="27"/>
      <c r="M28" s="27"/>
      <c r="N28" s="27"/>
      <c r="O28" s="27"/>
      <c r="P28" s="42"/>
      <c r="Q28" s="42"/>
      <c r="R28" s="42"/>
      <c r="S28" s="27"/>
    </row>
    <row r="29" spans="1:19" s="18" customFormat="1" ht="15.75" customHeight="1">
      <c r="A29" s="27"/>
      <c r="B29" s="30"/>
      <c r="C29" s="27"/>
      <c r="D29" s="27"/>
      <c r="E29" s="27"/>
      <c r="F29" s="27"/>
      <c r="G29" s="27"/>
      <c r="H29" s="29"/>
      <c r="I29" s="27"/>
      <c r="J29" s="27"/>
      <c r="K29" s="27"/>
      <c r="L29" s="27"/>
      <c r="M29" s="27"/>
      <c r="N29" s="27"/>
      <c r="O29" s="27"/>
      <c r="P29" s="42"/>
      <c r="Q29" s="42"/>
      <c r="R29" s="42"/>
      <c r="S29" s="27"/>
    </row>
    <row r="30" spans="1:19" s="18" customFormat="1" ht="15.75" customHeight="1">
      <c r="A30" s="27"/>
      <c r="B30" s="30"/>
      <c r="C30" s="27"/>
      <c r="D30" s="27"/>
      <c r="E30" s="27"/>
      <c r="F30" s="27"/>
      <c r="G30" s="27"/>
      <c r="H30" s="29"/>
      <c r="I30" s="27"/>
      <c r="J30" s="27"/>
      <c r="K30" s="27"/>
      <c r="L30" s="27"/>
      <c r="M30" s="27"/>
      <c r="N30" s="27"/>
      <c r="O30" s="27"/>
      <c r="P30" s="42"/>
      <c r="Q30" s="42"/>
      <c r="R30" s="42"/>
      <c r="S30" s="27"/>
    </row>
    <row r="31" spans="1:19" s="18" customFormat="1" ht="15.75" customHeight="1">
      <c r="A31" s="27"/>
      <c r="B31" s="30"/>
      <c r="C31" s="27"/>
      <c r="D31" s="27"/>
      <c r="E31" s="27"/>
      <c r="F31" s="27"/>
      <c r="G31" s="27"/>
      <c r="H31" s="29"/>
      <c r="I31" s="27"/>
      <c r="J31" s="27"/>
      <c r="K31" s="27"/>
      <c r="L31" s="27"/>
      <c r="M31" s="27"/>
      <c r="N31" s="27"/>
      <c r="O31" s="27"/>
      <c r="P31" s="42"/>
      <c r="Q31" s="42"/>
      <c r="R31" s="42"/>
      <c r="S31" s="27"/>
    </row>
    <row r="32" spans="1:19" s="18" customFormat="1" ht="15.75" customHeight="1">
      <c r="A32" s="27"/>
      <c r="B32" s="30"/>
      <c r="C32" s="27"/>
      <c r="D32" s="27"/>
      <c r="E32" s="27"/>
      <c r="F32" s="27"/>
      <c r="G32" s="27"/>
      <c r="H32" s="29"/>
      <c r="I32" s="27"/>
      <c r="J32" s="27"/>
      <c r="K32" s="27"/>
      <c r="L32" s="27"/>
      <c r="M32" s="27"/>
      <c r="N32" s="27"/>
      <c r="O32" s="27"/>
      <c r="P32" s="42"/>
      <c r="Q32" s="42"/>
      <c r="R32" s="42"/>
      <c r="S32" s="27"/>
    </row>
    <row r="33" spans="1:19" s="18" customFormat="1" ht="15.75" customHeight="1">
      <c r="A33" s="27"/>
      <c r="B33" s="30"/>
      <c r="C33" s="27"/>
      <c r="D33" s="27"/>
      <c r="E33" s="27"/>
      <c r="F33" s="27"/>
      <c r="G33" s="27"/>
      <c r="H33" s="29"/>
      <c r="I33" s="27"/>
      <c r="J33" s="27"/>
      <c r="K33" s="27"/>
      <c r="L33" s="27"/>
      <c r="M33" s="27"/>
      <c r="N33" s="27"/>
      <c r="O33" s="27"/>
      <c r="P33" s="42"/>
      <c r="Q33" s="42"/>
      <c r="R33" s="42"/>
      <c r="S33" s="27"/>
    </row>
    <row r="34" spans="1:19" s="18" customFormat="1" ht="15.75" customHeight="1">
      <c r="A34" s="27"/>
      <c r="B34" s="30"/>
      <c r="C34" s="27"/>
      <c r="D34" s="27"/>
      <c r="E34" s="27"/>
      <c r="F34" s="27"/>
      <c r="G34" s="27"/>
      <c r="H34" s="29"/>
      <c r="I34" s="27"/>
      <c r="J34" s="27"/>
      <c r="K34" s="27"/>
      <c r="L34" s="27"/>
      <c r="M34" s="27"/>
      <c r="N34" s="27"/>
      <c r="O34" s="27"/>
      <c r="P34" s="42"/>
      <c r="Q34" s="42"/>
      <c r="R34" s="42"/>
      <c r="S34" s="27"/>
    </row>
    <row r="35" spans="1:19" s="18" customFormat="1" ht="15.75" customHeight="1">
      <c r="A35" s="27"/>
      <c r="B35" s="30"/>
      <c r="C35" s="27"/>
      <c r="D35" s="27"/>
      <c r="E35" s="27"/>
      <c r="F35" s="27"/>
      <c r="G35" s="27"/>
      <c r="H35" s="29"/>
      <c r="I35" s="27"/>
      <c r="J35" s="27"/>
      <c r="K35" s="27"/>
      <c r="L35" s="27"/>
      <c r="M35" s="27"/>
      <c r="N35" s="27"/>
      <c r="O35" s="27"/>
      <c r="P35" s="42"/>
      <c r="Q35" s="42"/>
      <c r="R35" s="42"/>
      <c r="S35" s="27"/>
    </row>
    <row r="36" spans="1:19" s="18" customFormat="1" ht="15.75" customHeight="1">
      <c r="A36" s="27"/>
      <c r="B36" s="30"/>
      <c r="C36" s="27"/>
      <c r="D36" s="27"/>
      <c r="E36" s="27"/>
      <c r="F36" s="27"/>
      <c r="G36" s="27"/>
      <c r="H36" s="29"/>
      <c r="I36" s="27"/>
      <c r="J36" s="27"/>
      <c r="K36" s="27"/>
      <c r="L36" s="27"/>
      <c r="M36" s="27"/>
      <c r="N36" s="27"/>
      <c r="O36" s="27"/>
      <c r="P36" s="42"/>
      <c r="Q36" s="42"/>
      <c r="R36" s="42"/>
      <c r="S36" s="27"/>
    </row>
    <row r="37" spans="1:19" s="18" customFormat="1" ht="15.75" customHeight="1">
      <c r="A37" s="27"/>
      <c r="B37" s="30"/>
      <c r="C37" s="27"/>
      <c r="D37" s="27"/>
      <c r="E37" s="27"/>
      <c r="F37" s="27"/>
      <c r="G37" s="27"/>
      <c r="H37" s="29"/>
      <c r="I37" s="27"/>
      <c r="J37" s="27"/>
      <c r="K37" s="27"/>
      <c r="L37" s="27"/>
      <c r="M37" s="27"/>
      <c r="N37" s="27"/>
      <c r="O37" s="27"/>
      <c r="P37" s="42"/>
      <c r="Q37" s="42"/>
      <c r="R37" s="42"/>
      <c r="S37" s="27"/>
    </row>
    <row r="38" spans="1:19" s="18" customFormat="1" ht="15.75" customHeight="1">
      <c r="A38" s="27"/>
      <c r="B38" s="30"/>
      <c r="C38" s="27"/>
      <c r="D38" s="27"/>
      <c r="E38" s="27"/>
      <c r="F38" s="27"/>
      <c r="G38" s="27"/>
      <c r="H38" s="29"/>
      <c r="I38" s="27"/>
      <c r="J38" s="27"/>
      <c r="K38" s="27"/>
      <c r="L38" s="27"/>
      <c r="M38" s="27"/>
      <c r="N38" s="27"/>
      <c r="O38" s="27"/>
      <c r="P38" s="42"/>
      <c r="Q38" s="42"/>
      <c r="R38" s="42"/>
      <c r="S38" s="27"/>
    </row>
    <row r="39" spans="1:19" s="18" customFormat="1" ht="15.75" customHeight="1">
      <c r="A39" s="27"/>
      <c r="B39" s="30"/>
      <c r="C39" s="27"/>
      <c r="D39" s="27"/>
      <c r="E39" s="27"/>
      <c r="F39" s="27"/>
      <c r="G39" s="27"/>
      <c r="H39" s="29"/>
      <c r="I39" s="27"/>
      <c r="J39" s="27"/>
      <c r="K39" s="27"/>
      <c r="L39" s="27"/>
      <c r="M39" s="27"/>
      <c r="N39" s="27"/>
      <c r="O39" s="27"/>
      <c r="P39" s="42"/>
      <c r="Q39" s="42"/>
      <c r="R39" s="42"/>
      <c r="S39" s="27"/>
    </row>
    <row r="40" spans="1:19" s="18" customFormat="1" ht="15.75" customHeight="1">
      <c r="A40" s="27"/>
      <c r="B40" s="30"/>
      <c r="C40" s="27"/>
      <c r="D40" s="27"/>
      <c r="E40" s="27"/>
      <c r="F40" s="27"/>
      <c r="G40" s="27"/>
      <c r="H40" s="29"/>
      <c r="I40" s="27"/>
      <c r="J40" s="27"/>
      <c r="K40" s="27"/>
      <c r="L40" s="27"/>
      <c r="M40" s="27"/>
      <c r="N40" s="27"/>
      <c r="O40" s="27"/>
      <c r="P40" s="42"/>
      <c r="Q40" s="42"/>
      <c r="R40" s="42"/>
      <c r="S40" s="27"/>
    </row>
    <row r="41" spans="1:19" s="18" customFormat="1" ht="15.75" customHeight="1">
      <c r="A41" s="27"/>
      <c r="B41" s="30"/>
      <c r="C41" s="27"/>
      <c r="D41" s="27"/>
      <c r="E41" s="27"/>
      <c r="F41" s="27"/>
      <c r="G41" s="27"/>
      <c r="H41" s="29"/>
      <c r="I41" s="27"/>
      <c r="J41" s="27"/>
      <c r="K41" s="27"/>
      <c r="L41" s="27"/>
      <c r="M41" s="27"/>
      <c r="N41" s="27"/>
      <c r="O41" s="27"/>
      <c r="P41" s="42"/>
      <c r="Q41" s="42"/>
      <c r="R41" s="42"/>
      <c r="S41" s="27"/>
    </row>
    <row r="42" spans="1:19" s="18" customFormat="1" ht="15.75" customHeight="1">
      <c r="A42" s="27"/>
      <c r="B42" s="30"/>
      <c r="C42" s="27"/>
      <c r="D42" s="27"/>
      <c r="E42" s="27"/>
      <c r="F42" s="27"/>
      <c r="G42" s="27"/>
      <c r="H42" s="29"/>
      <c r="I42" s="27"/>
      <c r="J42" s="27"/>
      <c r="K42" s="27"/>
      <c r="L42" s="27"/>
      <c r="M42" s="27"/>
      <c r="N42" s="27"/>
      <c r="O42" s="27"/>
      <c r="P42" s="42"/>
      <c r="Q42" s="42"/>
      <c r="R42" s="42"/>
      <c r="S42" s="27"/>
    </row>
    <row r="43" spans="1:19" s="18" customFormat="1" ht="15.75" customHeight="1">
      <c r="A43" s="27"/>
      <c r="B43" s="30"/>
      <c r="C43" s="27"/>
      <c r="D43" s="27"/>
      <c r="E43" s="27"/>
      <c r="F43" s="27"/>
      <c r="G43" s="27"/>
      <c r="H43" s="29"/>
      <c r="I43" s="27"/>
      <c r="J43" s="27"/>
      <c r="K43" s="27"/>
      <c r="L43" s="27"/>
      <c r="M43" s="27"/>
      <c r="N43" s="27"/>
      <c r="O43" s="27"/>
      <c r="P43" s="42"/>
      <c r="Q43" s="42"/>
      <c r="R43" s="42"/>
      <c r="S43" s="27"/>
    </row>
    <row r="44" spans="1:19" s="18" customFormat="1" ht="15.75" customHeight="1">
      <c r="A44" s="27"/>
      <c r="B44" s="30"/>
      <c r="C44" s="27"/>
      <c r="D44" s="27"/>
      <c r="E44" s="27"/>
      <c r="F44" s="27"/>
      <c r="G44" s="27"/>
      <c r="H44" s="29"/>
      <c r="I44" s="27"/>
      <c r="J44" s="27"/>
      <c r="K44" s="27"/>
      <c r="L44" s="27"/>
      <c r="M44" s="27"/>
      <c r="N44" s="27"/>
      <c r="O44" s="27"/>
      <c r="P44" s="42"/>
      <c r="Q44" s="42"/>
      <c r="R44" s="42"/>
      <c r="S44" s="27"/>
    </row>
    <row r="45" spans="1:19" s="18" customFormat="1" ht="15.75" customHeight="1">
      <c r="A45" s="27"/>
      <c r="B45" s="30"/>
      <c r="C45" s="27"/>
      <c r="D45" s="27"/>
      <c r="E45" s="27"/>
      <c r="F45" s="27"/>
      <c r="G45" s="27"/>
      <c r="H45" s="29"/>
      <c r="I45" s="27"/>
      <c r="J45" s="27"/>
      <c r="K45" s="27"/>
      <c r="L45" s="27"/>
      <c r="M45" s="27"/>
      <c r="N45" s="27"/>
      <c r="O45" s="27"/>
      <c r="P45" s="42"/>
      <c r="Q45" s="42"/>
      <c r="R45" s="42"/>
      <c r="S45" s="27"/>
    </row>
    <row r="46" spans="1:19" s="18" customFormat="1" ht="15.75" customHeight="1">
      <c r="A46" s="27"/>
      <c r="B46" s="30"/>
      <c r="C46" s="27"/>
      <c r="D46" s="27"/>
      <c r="E46" s="27"/>
      <c r="F46" s="27"/>
      <c r="G46" s="27"/>
      <c r="H46" s="29"/>
      <c r="I46" s="27"/>
      <c r="J46" s="27"/>
      <c r="K46" s="27"/>
      <c r="L46" s="27"/>
      <c r="M46" s="27"/>
      <c r="N46" s="27"/>
      <c r="O46" s="27"/>
      <c r="P46" s="42"/>
      <c r="Q46" s="42"/>
      <c r="R46" s="42"/>
      <c r="S46" s="27"/>
    </row>
    <row r="47" spans="1:19" s="18" customFormat="1" ht="15.75" customHeight="1">
      <c r="A47" s="27"/>
      <c r="B47" s="30"/>
      <c r="C47" s="27"/>
      <c r="D47" s="27"/>
      <c r="E47" s="27"/>
      <c r="F47" s="27"/>
      <c r="G47" s="27"/>
      <c r="H47" s="29"/>
      <c r="I47" s="27"/>
      <c r="J47" s="27"/>
      <c r="K47" s="27"/>
      <c r="L47" s="27"/>
      <c r="M47" s="27"/>
      <c r="N47" s="27"/>
      <c r="O47" s="27"/>
      <c r="P47" s="42"/>
      <c r="Q47" s="42"/>
      <c r="R47" s="42"/>
      <c r="S47" s="27"/>
    </row>
  </sheetData>
  <sheetProtection formatCells="0" formatColumns="0" formatRows="0"/>
  <mergeCells count="25">
    <mergeCell ref="J8:J9"/>
    <mergeCell ref="K8:K9"/>
    <mergeCell ref="L8:L9"/>
    <mergeCell ref="C8:C9"/>
    <mergeCell ref="D8:D9"/>
    <mergeCell ref="E8:E9"/>
    <mergeCell ref="F8:F9"/>
    <mergeCell ref="H8:H9"/>
    <mergeCell ref="G8:G9"/>
    <mergeCell ref="M8:M9"/>
    <mergeCell ref="N8:N9"/>
    <mergeCell ref="O8:O9"/>
    <mergeCell ref="A2:S2"/>
    <mergeCell ref="A3:S3"/>
    <mergeCell ref="A5:H5"/>
    <mergeCell ref="I5:S5"/>
    <mergeCell ref="B6:R6"/>
    <mergeCell ref="P8:P9"/>
    <mergeCell ref="Q8:Q9"/>
    <mergeCell ref="R8:R9"/>
    <mergeCell ref="S8:S9"/>
    <mergeCell ref="A7:S7"/>
    <mergeCell ref="A8:A9"/>
    <mergeCell ref="B8:B9"/>
    <mergeCell ref="I8:I9"/>
  </mergeCells>
  <phoneticPr fontId="28" type="noConversion"/>
  <conditionalFormatting sqref="E8">
    <cfRule type="cellIs" dxfId="6" priority="1" stopIfTrue="1" operator="equal">
      <formula>"tbd"</formula>
    </cfRule>
  </conditionalFormatting>
  <dataValidations count="1">
    <dataValidation type="list" allowBlank="1" showInputMessage="1" showErrorMessage="1" sqref="C2:C3 C5:C7 C10:C1048576" xr:uid="{00000000-0002-0000-0E00-000000000000}">
      <formula1>"R,W,R/W"</formula1>
    </dataValidation>
  </dataValidations>
  <hyperlinks>
    <hyperlink ref="A1" location="_0x23" display="Return" xr:uid="{00000000-0004-0000-0E00-000000000000}"/>
  </hyperlinks>
  <pageMargins left="0.69930555555555596" right="0.69930555555555596" top="0.75" bottom="0.75" header="0.3" footer="0.3"/>
  <pageSetup paperSize="9" orientation="portrait" r:id="rId1"/>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1000000}">
          <x14:formula1>
            <xm:f>Cover!$X$1:$X$5</xm:f>
          </x14:formula1>
          <xm:sqref>L2:L3 L17:L1048576 L5:L7 L10:L15</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工作表17"/>
  <dimension ref="A1:AN16"/>
  <sheetViews>
    <sheetView topLeftCell="A4" workbookViewId="0">
      <selection activeCell="H28" sqref="H28"/>
    </sheetView>
  </sheetViews>
  <sheetFormatPr defaultColWidth="9" defaultRowHeight="15.75"/>
  <cols>
    <col min="1" max="1" width="5.625" style="48" customWidth="1"/>
    <col min="2" max="2" width="8.125" style="128" customWidth="1"/>
    <col min="3" max="3" width="31.125" style="109" customWidth="1"/>
    <col min="4" max="4" width="7" style="48" customWidth="1"/>
    <col min="5" max="5" width="6.125" style="126" customWidth="1"/>
    <col min="6" max="6" width="8.5" style="126" customWidth="1"/>
    <col min="7" max="7" width="10.375" style="126" customWidth="1"/>
    <col min="8" max="8" width="22.875" style="109" customWidth="1"/>
    <col min="9" max="9" width="10.5" style="48" customWidth="1"/>
    <col min="10" max="10" width="10" style="48" customWidth="1"/>
    <col min="11" max="11" width="6.625" style="48" customWidth="1"/>
    <col min="12" max="12" width="9.75" style="126" customWidth="1"/>
    <col min="13" max="13" width="13.75" style="126" customWidth="1"/>
    <col min="14" max="14" width="9.625" style="48" customWidth="1"/>
    <col min="15" max="15" width="7.75" style="126" customWidth="1"/>
    <col min="16" max="16" width="15" style="48" customWidth="1"/>
    <col min="17" max="34" width="9" style="48"/>
    <col min="35" max="35" width="15.5" style="48" customWidth="1"/>
    <col min="36" max="36" width="9" style="48" hidden="1" customWidth="1"/>
    <col min="37" max="37" width="13.125" style="48" hidden="1" customWidth="1"/>
    <col min="38" max="40" width="9" style="48" hidden="1" customWidth="1"/>
    <col min="41" max="41" width="12.875" style="48" customWidth="1"/>
    <col min="42" max="16384" width="9" style="48"/>
  </cols>
  <sheetData>
    <row r="1" spans="1:39" ht="18.75">
      <c r="A1" s="121" t="s">
        <v>0</v>
      </c>
      <c r="B1" s="58"/>
      <c r="C1" s="83"/>
      <c r="D1" s="60"/>
      <c r="E1" s="60"/>
      <c r="F1" s="60"/>
      <c r="G1" s="60"/>
      <c r="H1" s="76"/>
      <c r="I1" s="60"/>
      <c r="J1" s="60"/>
      <c r="K1" s="60"/>
      <c r="L1" s="61"/>
      <c r="M1" s="77"/>
      <c r="O1" s="61"/>
      <c r="AK1" s="122" t="s">
        <v>4444</v>
      </c>
      <c r="AM1" s="122" t="s">
        <v>4445</v>
      </c>
    </row>
    <row r="2" spans="1:39" s="18" customFormat="1" ht="15.75" customHeight="1">
      <c r="A2" s="907" t="s">
        <v>5979</v>
      </c>
      <c r="B2" s="908"/>
      <c r="C2" s="908"/>
      <c r="D2" s="908"/>
      <c r="E2" s="908"/>
      <c r="F2" s="908"/>
      <c r="G2" s="908"/>
      <c r="H2" s="908"/>
      <c r="I2" s="908"/>
      <c r="J2" s="908"/>
      <c r="K2" s="908"/>
      <c r="L2" s="908"/>
      <c r="M2" s="908"/>
      <c r="N2" s="908"/>
      <c r="O2" s="908"/>
      <c r="AK2" s="123" t="s">
        <v>152</v>
      </c>
      <c r="AL2" s="48"/>
      <c r="AM2" s="123" t="s">
        <v>156</v>
      </c>
    </row>
    <row r="3" spans="1:39" s="18" customFormat="1" ht="21" customHeight="1">
      <c r="A3" s="909"/>
      <c r="B3" s="908"/>
      <c r="C3" s="908"/>
      <c r="D3" s="908"/>
      <c r="E3" s="908"/>
      <c r="F3" s="908"/>
      <c r="G3" s="908"/>
      <c r="H3" s="908"/>
      <c r="I3" s="908"/>
      <c r="J3" s="908"/>
      <c r="K3" s="908"/>
      <c r="L3" s="908"/>
      <c r="M3" s="908"/>
      <c r="N3" s="908"/>
      <c r="O3" s="908"/>
      <c r="AK3" s="123" t="s">
        <v>158</v>
      </c>
      <c r="AL3" s="48"/>
      <c r="AM3" s="123" t="s">
        <v>4447</v>
      </c>
    </row>
    <row r="4" spans="1:39" s="18" customFormat="1" ht="8.25" customHeight="1">
      <c r="A4" s="79"/>
      <c r="B4" s="80"/>
      <c r="C4" s="80"/>
      <c r="D4" s="81"/>
      <c r="E4" s="81"/>
      <c r="F4" s="81"/>
      <c r="G4" s="81"/>
      <c r="H4" s="82"/>
      <c r="I4" s="82"/>
      <c r="J4" s="82"/>
      <c r="K4" s="82"/>
      <c r="L4" s="73"/>
      <c r="M4" s="73"/>
      <c r="N4" s="128"/>
      <c r="O4" s="73"/>
      <c r="AK4" s="123" t="s">
        <v>161</v>
      </c>
      <c r="AL4" s="48"/>
      <c r="AM4" s="124" t="s">
        <v>4448</v>
      </c>
    </row>
    <row r="5" spans="1:39" s="19" customFormat="1" ht="43.5" customHeight="1">
      <c r="A5" s="910" t="s">
        <v>5980</v>
      </c>
      <c r="B5" s="911"/>
      <c r="C5" s="912"/>
      <c r="D5" s="912"/>
      <c r="E5" s="912"/>
      <c r="F5" s="912"/>
      <c r="G5" s="912"/>
      <c r="H5" s="912"/>
      <c r="I5" s="912"/>
      <c r="J5" s="912"/>
      <c r="K5" s="912"/>
      <c r="L5" s="912"/>
      <c r="M5" s="912"/>
      <c r="N5" s="912"/>
      <c r="O5" s="912"/>
      <c r="P5" s="913"/>
      <c r="AK5" s="124" t="s">
        <v>4450</v>
      </c>
      <c r="AL5" s="48"/>
      <c r="AM5" s="48"/>
    </row>
    <row r="6" spans="1:39" s="22" customFormat="1" ht="27" customHeight="1">
      <c r="A6" s="57" t="s">
        <v>4909</v>
      </c>
      <c r="B6" s="939" t="s">
        <v>5981</v>
      </c>
      <c r="C6" s="938"/>
      <c r="D6" s="938"/>
      <c r="E6" s="938"/>
      <c r="F6" s="938"/>
      <c r="G6" s="938"/>
      <c r="H6" s="938"/>
      <c r="I6" s="938"/>
      <c r="J6" s="938"/>
      <c r="K6" s="938"/>
      <c r="L6" s="938"/>
      <c r="M6" s="938"/>
      <c r="N6" s="938"/>
      <c r="O6" s="938"/>
      <c r="P6" s="940"/>
    </row>
    <row r="7" spans="1:39" ht="15">
      <c r="A7" s="914" t="s">
        <v>4911</v>
      </c>
      <c r="B7" s="941"/>
      <c r="C7" s="941"/>
      <c r="D7" s="941"/>
      <c r="E7" s="941"/>
      <c r="F7" s="941"/>
      <c r="G7" s="941"/>
      <c r="H7" s="941"/>
      <c r="I7" s="941"/>
      <c r="J7" s="941"/>
      <c r="K7" s="941"/>
      <c r="L7" s="941"/>
      <c r="M7" s="941"/>
      <c r="N7" s="941"/>
      <c r="O7" s="941"/>
    </row>
    <row r="8" spans="1:39" ht="33.75" customHeight="1">
      <c r="A8" s="875" t="s">
        <v>4452</v>
      </c>
      <c r="B8" s="875" t="s">
        <v>5874</v>
      </c>
      <c r="C8" s="875" t="s">
        <v>4571</v>
      </c>
      <c r="D8" s="875" t="s">
        <v>4456</v>
      </c>
      <c r="E8" s="875" t="s">
        <v>4457</v>
      </c>
      <c r="F8" s="916" t="s">
        <v>4458</v>
      </c>
      <c r="G8" s="916" t="s">
        <v>4459</v>
      </c>
      <c r="H8" s="875" t="s">
        <v>4460</v>
      </c>
      <c r="I8" s="875" t="s">
        <v>4461</v>
      </c>
      <c r="J8" s="875" t="s">
        <v>4462</v>
      </c>
      <c r="K8" s="875" t="s">
        <v>54</v>
      </c>
      <c r="L8" s="875" t="s">
        <v>4463</v>
      </c>
      <c r="M8" s="875" t="s">
        <v>4464</v>
      </c>
      <c r="N8" s="875" t="s">
        <v>4465</v>
      </c>
      <c r="O8" s="875" t="s">
        <v>4466</v>
      </c>
      <c r="P8" s="875" t="s">
        <v>4916</v>
      </c>
    </row>
    <row r="9" spans="1:39" ht="21.75" customHeight="1">
      <c r="A9" s="875"/>
      <c r="B9" s="875"/>
      <c r="C9" s="875"/>
      <c r="D9" s="875"/>
      <c r="E9" s="875"/>
      <c r="F9" s="916"/>
      <c r="G9" s="916"/>
      <c r="H9" s="875"/>
      <c r="I9" s="875"/>
      <c r="J9" s="875"/>
      <c r="K9" s="875"/>
      <c r="L9" s="875"/>
      <c r="M9" s="875"/>
      <c r="N9" s="875"/>
      <c r="O9" s="875"/>
      <c r="P9" s="917"/>
    </row>
    <row r="10" spans="1:39" ht="16.899999999999999" customHeight="1">
      <c r="A10" s="26" t="s">
        <v>4467</v>
      </c>
      <c r="B10" s="39" t="s">
        <v>5982</v>
      </c>
      <c r="C10" s="40" t="s">
        <v>5983</v>
      </c>
      <c r="D10" s="26" t="s">
        <v>141</v>
      </c>
      <c r="E10" s="26"/>
      <c r="F10" s="26"/>
      <c r="G10" s="26"/>
      <c r="H10" s="41"/>
      <c r="I10" s="26"/>
      <c r="J10" s="26"/>
      <c r="K10" s="26"/>
      <c r="L10" s="26"/>
      <c r="M10" s="45"/>
      <c r="N10" s="26"/>
      <c r="O10" s="26"/>
      <c r="P10" s="38"/>
      <c r="Q10" s="20"/>
      <c r="AG10" s="21"/>
      <c r="AI10" s="18"/>
    </row>
    <row r="11" spans="1:39" ht="16.149999999999999" customHeight="1">
      <c r="A11" s="27"/>
      <c r="B11" s="28"/>
      <c r="C11" s="30"/>
      <c r="D11" s="27"/>
      <c r="E11" s="27" t="s">
        <v>94</v>
      </c>
      <c r="F11" s="27" t="s">
        <v>4477</v>
      </c>
      <c r="G11" s="27" t="s">
        <v>94</v>
      </c>
      <c r="H11" s="29" t="s">
        <v>5984</v>
      </c>
      <c r="I11" s="27"/>
      <c r="J11" s="27"/>
      <c r="K11" s="27"/>
      <c r="L11" s="27" t="s">
        <v>4444</v>
      </c>
      <c r="M11" s="43"/>
      <c r="N11" s="27" t="s">
        <v>4467</v>
      </c>
      <c r="O11" s="27" t="s">
        <v>94</v>
      </c>
      <c r="P11" s="42"/>
      <c r="Q11" s="20"/>
      <c r="AG11" s="21"/>
      <c r="AI11" s="18"/>
    </row>
    <row r="12" spans="1:39" ht="18" customHeight="1">
      <c r="A12" s="27"/>
      <c r="B12" s="28"/>
      <c r="C12" s="30"/>
      <c r="D12" s="27"/>
      <c r="E12" s="27" t="s">
        <v>4467</v>
      </c>
      <c r="F12" s="27" t="s">
        <v>4487</v>
      </c>
      <c r="G12" s="27" t="s">
        <v>4478</v>
      </c>
      <c r="H12" s="29" t="s">
        <v>5985</v>
      </c>
      <c r="I12" s="27"/>
      <c r="J12" s="27"/>
      <c r="K12" s="27"/>
      <c r="L12" s="27" t="s">
        <v>4444</v>
      </c>
      <c r="M12" s="43"/>
      <c r="N12" s="27" t="s">
        <v>4467</v>
      </c>
      <c r="O12" s="27" t="s">
        <v>94</v>
      </c>
      <c r="P12" s="42"/>
      <c r="Q12" s="20"/>
      <c r="AG12" s="21"/>
      <c r="AI12" s="18"/>
    </row>
    <row r="13" spans="1:39" ht="16.149999999999999" customHeight="1">
      <c r="A13" s="27"/>
      <c r="B13" s="28"/>
      <c r="C13" s="30"/>
      <c r="D13" s="27"/>
      <c r="E13" s="27" t="s">
        <v>4474</v>
      </c>
      <c r="F13" s="27" t="s">
        <v>4490</v>
      </c>
      <c r="G13" s="27" t="s">
        <v>566</v>
      </c>
      <c r="H13" s="29" t="s">
        <v>5986</v>
      </c>
      <c r="I13" s="27"/>
      <c r="J13" s="27"/>
      <c r="K13" s="27"/>
      <c r="L13" s="27" t="s">
        <v>4444</v>
      </c>
      <c r="M13" s="43"/>
      <c r="N13" s="27" t="s">
        <v>4467</v>
      </c>
      <c r="O13" s="27" t="s">
        <v>94</v>
      </c>
      <c r="P13" s="42"/>
      <c r="Q13" s="20"/>
      <c r="AG13" s="21"/>
      <c r="AI13" s="18"/>
    </row>
    <row r="14" spans="1:39" ht="16.149999999999999" customHeight="1">
      <c r="A14" s="26" t="s">
        <v>4474</v>
      </c>
      <c r="B14" s="39" t="s">
        <v>5987</v>
      </c>
      <c r="C14" s="40" t="s">
        <v>5988</v>
      </c>
      <c r="D14" s="26" t="s">
        <v>4474</v>
      </c>
      <c r="E14" s="26"/>
      <c r="F14" s="26"/>
      <c r="G14" s="26"/>
      <c r="H14" s="41"/>
      <c r="I14" s="26"/>
      <c r="J14" s="26"/>
      <c r="K14" s="26"/>
      <c r="L14" s="26"/>
      <c r="M14" s="26"/>
      <c r="N14" s="26"/>
      <c r="O14" s="26"/>
      <c r="P14" s="38"/>
      <c r="Q14" s="20"/>
      <c r="AG14" s="21"/>
      <c r="AI14" s="18"/>
    </row>
    <row r="15" spans="1:39" ht="16.149999999999999" customHeight="1">
      <c r="A15" s="27"/>
      <c r="B15" s="28"/>
      <c r="C15" s="30"/>
      <c r="D15" s="27"/>
      <c r="E15" s="27" t="s">
        <v>94</v>
      </c>
      <c r="F15" s="27" t="s">
        <v>4477</v>
      </c>
      <c r="G15" s="27" t="s">
        <v>94</v>
      </c>
      <c r="H15" s="29" t="s">
        <v>5989</v>
      </c>
      <c r="I15" s="27"/>
      <c r="J15" s="27"/>
      <c r="K15" s="27"/>
      <c r="L15" s="27" t="s">
        <v>4444</v>
      </c>
      <c r="M15" s="27"/>
      <c r="N15" s="27" t="s">
        <v>4467</v>
      </c>
      <c r="O15" s="27" t="s">
        <v>94</v>
      </c>
      <c r="P15" s="42"/>
      <c r="Q15" s="20"/>
      <c r="AG15" s="21"/>
      <c r="AI15" s="18"/>
    </row>
    <row r="16" spans="1:39" ht="18" customHeight="1">
      <c r="A16" s="27"/>
      <c r="B16" s="28"/>
      <c r="C16" s="30"/>
      <c r="D16" s="27"/>
      <c r="E16" s="27" t="s">
        <v>4467</v>
      </c>
      <c r="F16" s="27" t="s">
        <v>4487</v>
      </c>
      <c r="G16" s="27" t="s">
        <v>4478</v>
      </c>
      <c r="H16" s="29" t="s">
        <v>5990</v>
      </c>
      <c r="I16" s="27"/>
      <c r="J16" s="27"/>
      <c r="K16" s="27"/>
      <c r="L16" s="27" t="s">
        <v>4444</v>
      </c>
      <c r="M16" s="27"/>
      <c r="N16" s="27" t="s">
        <v>4467</v>
      </c>
      <c r="O16" s="27" t="s">
        <v>94</v>
      </c>
      <c r="P16" s="42"/>
      <c r="Q16" s="20"/>
      <c r="AG16" s="21"/>
      <c r="AI16" s="18"/>
    </row>
  </sheetData>
  <sheetProtection formatCells="0" formatColumns="0" formatRows="0"/>
  <mergeCells count="21">
    <mergeCell ref="P8:P9"/>
    <mergeCell ref="L8:L9"/>
    <mergeCell ref="M8:M9"/>
    <mergeCell ref="N8:N9"/>
    <mergeCell ref="O8:O9"/>
    <mergeCell ref="F8:F9"/>
    <mergeCell ref="H8:H9"/>
    <mergeCell ref="I8:I9"/>
    <mergeCell ref="J8:J9"/>
    <mergeCell ref="K8:K9"/>
    <mergeCell ref="G8:G9"/>
    <mergeCell ref="A8:A9"/>
    <mergeCell ref="B8:B9"/>
    <mergeCell ref="C8:C9"/>
    <mergeCell ref="D8:D9"/>
    <mergeCell ref="E8:E9"/>
    <mergeCell ref="A2:O2"/>
    <mergeCell ref="A3:O3"/>
    <mergeCell ref="A5:P5"/>
    <mergeCell ref="B6:P6"/>
    <mergeCell ref="A7:O7"/>
  </mergeCells>
  <phoneticPr fontId="28" type="noConversion"/>
  <conditionalFormatting sqref="E8">
    <cfRule type="cellIs" dxfId="5" priority="1" stopIfTrue="1" operator="equal">
      <formula>"tbd"</formula>
    </cfRule>
  </conditionalFormatting>
  <hyperlinks>
    <hyperlink ref="A1" location="_0x2A" display="Return" xr:uid="{00000000-0004-0000-0F00-000000000000}"/>
  </hyperlinks>
  <pageMargins left="0.69930555555555596" right="0.69930555555555596" top="0.75" bottom="0.75" header="0.3" footer="0.3"/>
  <pageSetup paperSize="9" orientation="portrait" r:id="rId1"/>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Cover!$X$1:$X$5</xm:f>
          </x14:formula1>
          <xm:sqref>L2:L3 L5:L7 L10:L1048576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工作表18"/>
  <dimension ref="A1:R3"/>
  <sheetViews>
    <sheetView zoomScale="160" zoomScaleNormal="160" workbookViewId="0">
      <selection activeCell="I7" sqref="I7"/>
    </sheetView>
  </sheetViews>
  <sheetFormatPr defaultColWidth="9" defaultRowHeight="15"/>
  <cols>
    <col min="1" max="16384" width="9" style="142"/>
  </cols>
  <sheetData>
    <row r="1" spans="1:18" ht="31.5" customHeight="1">
      <c r="A1" s="944" t="s">
        <v>5991</v>
      </c>
      <c r="B1" s="945"/>
      <c r="C1" s="945"/>
      <c r="D1" s="945"/>
      <c r="E1" s="945"/>
      <c r="F1" s="945"/>
      <c r="G1" s="945"/>
      <c r="H1" s="945"/>
      <c r="I1" s="945"/>
      <c r="J1" s="945"/>
      <c r="K1" s="945"/>
      <c r="L1" s="945"/>
      <c r="M1" s="945"/>
      <c r="N1" s="945"/>
      <c r="O1" s="945"/>
      <c r="P1" s="945"/>
      <c r="Q1" s="945"/>
      <c r="R1" s="945"/>
    </row>
    <row r="2" spans="1:18" ht="14.25" customHeight="1">
      <c r="A2" s="141"/>
      <c r="B2" s="141"/>
      <c r="C2" s="141"/>
      <c r="D2" s="141"/>
      <c r="E2" s="141"/>
      <c r="F2" s="141"/>
      <c r="G2" s="141"/>
      <c r="H2" s="141"/>
      <c r="I2" s="141"/>
      <c r="J2" s="141"/>
      <c r="K2" s="141"/>
      <c r="L2" s="141"/>
      <c r="M2" s="141"/>
      <c r="N2" s="141"/>
      <c r="O2" s="141"/>
      <c r="P2" s="141"/>
      <c r="Q2" s="141"/>
      <c r="R2" s="141"/>
    </row>
    <row r="3" spans="1:18" ht="17.25" customHeight="1">
      <c r="A3" s="141"/>
      <c r="B3" s="141"/>
      <c r="C3" s="141"/>
      <c r="D3" s="141"/>
      <c r="E3" s="141"/>
      <c r="F3" s="141"/>
      <c r="G3" s="141"/>
      <c r="H3" s="141"/>
      <c r="I3" s="141"/>
      <c r="J3" s="141"/>
      <c r="K3" s="141"/>
      <c r="L3" s="141"/>
      <c r="M3" s="141"/>
      <c r="N3" s="141"/>
      <c r="O3" s="141"/>
      <c r="P3" s="141"/>
      <c r="Q3" s="141"/>
      <c r="R3" s="141"/>
    </row>
  </sheetData>
  <sheetProtection formatCells="0" formatColumns="0" formatRows="0"/>
  <mergeCells count="1">
    <mergeCell ref="A1:R1"/>
  </mergeCells>
  <phoneticPr fontId="45" type="noConversion"/>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6FB47-A9FE-43F8-A944-14D13125DBE7}">
  <sheetPr codeName="工作表19"/>
  <dimension ref="A1:N463"/>
  <sheetViews>
    <sheetView topLeftCell="A445" zoomScale="115" zoomScaleNormal="115" workbookViewId="0">
      <selection activeCell="G456" sqref="G456"/>
    </sheetView>
  </sheetViews>
  <sheetFormatPr defaultColWidth="9" defaultRowHeight="15"/>
  <cols>
    <col min="1" max="1" width="9" style="142"/>
    <col min="2" max="2" width="9.375" style="142" customWidth="1"/>
    <col min="3" max="3" width="41.625" style="142" customWidth="1"/>
    <col min="4" max="4" width="36.125" style="142" bestFit="1" customWidth="1"/>
    <col min="5" max="5" width="30.25" style="142" bestFit="1" customWidth="1"/>
    <col min="6" max="6" width="22.5" style="142" customWidth="1"/>
    <col min="7" max="7" width="40.375" style="142" customWidth="1"/>
    <col min="8" max="8" width="35.625" style="142" customWidth="1"/>
    <col min="9" max="9" width="9" style="142"/>
    <col min="10" max="10" width="16" style="142" bestFit="1" customWidth="1"/>
    <col min="11" max="12" width="14.5" style="142" bestFit="1" customWidth="1"/>
    <col min="13" max="14" width="19.5" style="142" bestFit="1" customWidth="1"/>
    <col min="15" max="16384" width="9" style="142"/>
  </cols>
  <sheetData>
    <row r="1" spans="1:9">
      <c r="A1" s="1006" t="s">
        <v>5992</v>
      </c>
      <c r="B1" s="1006"/>
      <c r="C1" s="1006"/>
      <c r="D1" s="1006"/>
      <c r="E1" s="1006"/>
      <c r="F1" s="147"/>
      <c r="G1" s="147"/>
      <c r="H1" s="147"/>
      <c r="I1" s="147"/>
    </row>
    <row r="3" spans="1:9" ht="15.75">
      <c r="B3" s="961" t="s">
        <v>5993</v>
      </c>
      <c r="C3" s="961"/>
      <c r="D3" s="961"/>
      <c r="E3" s="961"/>
    </row>
    <row r="4" spans="1:9" ht="15.75">
      <c r="B4" s="143" t="s">
        <v>5994</v>
      </c>
      <c r="C4" s="143" t="s">
        <v>5995</v>
      </c>
      <c r="D4" s="143" t="s">
        <v>5996</v>
      </c>
      <c r="E4" s="143" t="s">
        <v>5997</v>
      </c>
    </row>
    <row r="5" spans="1:9" ht="30">
      <c r="B5" s="144" t="s">
        <v>5340</v>
      </c>
      <c r="C5" s="145" t="s">
        <v>5998</v>
      </c>
      <c r="D5" s="146"/>
      <c r="E5" s="146"/>
    </row>
    <row r="6" spans="1:9">
      <c r="B6" s="976">
        <v>2</v>
      </c>
      <c r="C6" s="1007" t="s">
        <v>5999</v>
      </c>
      <c r="D6" s="146" t="s">
        <v>6000</v>
      </c>
      <c r="E6" s="146" t="s">
        <v>6001</v>
      </c>
    </row>
    <row r="7" spans="1:9">
      <c r="B7" s="976"/>
      <c r="C7" s="1007"/>
      <c r="D7" s="146" t="s">
        <v>6002</v>
      </c>
      <c r="E7" s="146"/>
    </row>
    <row r="8" spans="1:9">
      <c r="B8" s="976"/>
      <c r="C8" s="1007"/>
      <c r="D8" s="146" t="s">
        <v>6003</v>
      </c>
      <c r="E8" s="146" t="s">
        <v>6004</v>
      </c>
    </row>
    <row r="9" spans="1:9">
      <c r="B9" s="976"/>
      <c r="C9" s="1007"/>
      <c r="D9" s="146" t="s">
        <v>6005</v>
      </c>
      <c r="E9" s="146"/>
    </row>
    <row r="10" spans="1:9">
      <c r="B10" s="976"/>
      <c r="C10" s="1007"/>
      <c r="D10" s="146" t="s">
        <v>6006</v>
      </c>
      <c r="E10" s="146" t="s">
        <v>6007</v>
      </c>
    </row>
    <row r="11" spans="1:9">
      <c r="B11" s="976"/>
      <c r="C11" s="1007"/>
      <c r="D11" s="146" t="s">
        <v>6008</v>
      </c>
      <c r="E11" s="146"/>
    </row>
    <row r="12" spans="1:9">
      <c r="B12" s="976" t="s">
        <v>5335</v>
      </c>
      <c r="C12" s="1007" t="s">
        <v>6009</v>
      </c>
      <c r="D12" s="146" t="s">
        <v>6010</v>
      </c>
      <c r="E12" s="146"/>
    </row>
    <row r="13" spans="1:9">
      <c r="B13" s="976"/>
      <c r="C13" s="1007"/>
      <c r="D13" s="146" t="s">
        <v>6011</v>
      </c>
      <c r="E13" s="146"/>
    </row>
    <row r="14" spans="1:9">
      <c r="B14" s="144" t="s">
        <v>5469</v>
      </c>
      <c r="C14" s="145" t="s">
        <v>6012</v>
      </c>
      <c r="D14" s="146" t="s">
        <v>6013</v>
      </c>
      <c r="E14" s="146"/>
    </row>
    <row r="15" spans="1:9">
      <c r="B15" s="144" t="s">
        <v>5400</v>
      </c>
      <c r="C15" s="145" t="s">
        <v>6014</v>
      </c>
      <c r="D15" s="146"/>
      <c r="E15" s="146"/>
    </row>
    <row r="19" spans="2:8" s="177" customFormat="1" ht="14.25"/>
    <row r="20" spans="2:8" s="177" customFormat="1" ht="16.5">
      <c r="B20" s="990" t="s">
        <v>6015</v>
      </c>
      <c r="C20" s="991"/>
      <c r="D20" s="991"/>
      <c r="E20" s="991"/>
      <c r="F20" s="991"/>
      <c r="G20" s="991"/>
      <c r="H20" s="991"/>
    </row>
    <row r="21" spans="2:8" s="177" customFormat="1" ht="16.5">
      <c r="B21" s="178" t="s">
        <v>6016</v>
      </c>
      <c r="C21" s="179" t="s">
        <v>6017</v>
      </c>
      <c r="D21" s="180" t="s">
        <v>6018</v>
      </c>
      <c r="E21" s="992" t="s">
        <v>6019</v>
      </c>
      <c r="F21" s="993"/>
      <c r="G21" s="994"/>
      <c r="H21" s="181" t="s">
        <v>6020</v>
      </c>
    </row>
    <row r="22" spans="2:8" s="177" customFormat="1" ht="16.5">
      <c r="B22" s="182" t="s">
        <v>5340</v>
      </c>
      <c r="C22" s="183" t="s">
        <v>6021</v>
      </c>
      <c r="D22" s="184" t="s">
        <v>6022</v>
      </c>
      <c r="E22" s="995"/>
      <c r="F22" s="996"/>
      <c r="G22" s="997"/>
      <c r="H22" s="185"/>
    </row>
    <row r="23" spans="2:8" s="177" customFormat="1" ht="16.5">
      <c r="B23" s="182" t="s">
        <v>36</v>
      </c>
      <c r="C23" s="183" t="s">
        <v>6023</v>
      </c>
      <c r="D23" s="184" t="s">
        <v>6024</v>
      </c>
      <c r="E23" s="995"/>
      <c r="F23" s="996"/>
      <c r="G23" s="997"/>
      <c r="H23" s="186"/>
    </row>
    <row r="24" spans="2:8" s="177" customFormat="1" ht="15.75">
      <c r="B24" s="998" t="s">
        <v>6025</v>
      </c>
      <c r="C24" s="1000" t="s">
        <v>6026</v>
      </c>
      <c r="D24" s="1001" t="s">
        <v>6027</v>
      </c>
      <c r="E24" s="179" t="s">
        <v>6028</v>
      </c>
      <c r="F24" s="179" t="s">
        <v>172</v>
      </c>
      <c r="G24" s="187" t="s">
        <v>6029</v>
      </c>
      <c r="H24" s="1004" t="s">
        <v>6030</v>
      </c>
    </row>
    <row r="25" spans="2:8" s="177" customFormat="1" ht="15.75">
      <c r="B25" s="999"/>
      <c r="C25" s="1000"/>
      <c r="D25" s="1002"/>
      <c r="E25" s="179" t="s">
        <v>6031</v>
      </c>
      <c r="F25" s="179" t="s">
        <v>175</v>
      </c>
      <c r="G25" s="187" t="s">
        <v>6032</v>
      </c>
      <c r="H25" s="1005"/>
    </row>
    <row r="26" spans="2:8" s="177" customFormat="1" ht="15.75">
      <c r="B26" s="998" t="s">
        <v>40</v>
      </c>
      <c r="C26" s="1000"/>
      <c r="D26" s="1002"/>
      <c r="E26" s="179" t="s">
        <v>6028</v>
      </c>
      <c r="F26" s="179" t="s">
        <v>172</v>
      </c>
      <c r="G26" s="187" t="s">
        <v>6033</v>
      </c>
      <c r="H26" s="981" t="s">
        <v>6034</v>
      </c>
    </row>
    <row r="27" spans="2:8" s="177" customFormat="1" ht="15.75">
      <c r="B27" s="999"/>
      <c r="C27" s="1000"/>
      <c r="D27" s="1002"/>
      <c r="E27" s="179" t="s">
        <v>6031</v>
      </c>
      <c r="F27" s="179" t="s">
        <v>175</v>
      </c>
      <c r="G27" s="187" t="s">
        <v>6035</v>
      </c>
      <c r="H27" s="982"/>
    </row>
    <row r="28" spans="2:8" s="177" customFormat="1" ht="15.75">
      <c r="B28" s="998" t="s">
        <v>42</v>
      </c>
      <c r="C28" s="1000"/>
      <c r="D28" s="1002"/>
      <c r="E28" s="179" t="s">
        <v>6028</v>
      </c>
      <c r="F28" s="179" t="s">
        <v>172</v>
      </c>
      <c r="G28" s="187" t="s">
        <v>6036</v>
      </c>
      <c r="H28" s="981" t="s">
        <v>6037</v>
      </c>
    </row>
    <row r="29" spans="2:8" s="177" customFormat="1" ht="15.75">
      <c r="B29" s="999"/>
      <c r="C29" s="1000"/>
      <c r="D29" s="1002"/>
      <c r="E29" s="179" t="s">
        <v>6031</v>
      </c>
      <c r="F29" s="179" t="s">
        <v>175</v>
      </c>
      <c r="G29" s="187" t="s">
        <v>6038</v>
      </c>
      <c r="H29" s="982"/>
    </row>
    <row r="30" spans="2:8" s="177" customFormat="1" ht="31.5">
      <c r="B30" s="998" t="s">
        <v>44</v>
      </c>
      <c r="C30" s="1000"/>
      <c r="D30" s="1002"/>
      <c r="E30" s="179" t="s">
        <v>6028</v>
      </c>
      <c r="F30" s="179" t="s">
        <v>172</v>
      </c>
      <c r="G30" s="188" t="s">
        <v>6039</v>
      </c>
      <c r="H30" s="185" t="s">
        <v>6040</v>
      </c>
    </row>
    <row r="31" spans="2:8" s="177" customFormat="1" ht="33">
      <c r="B31" s="999"/>
      <c r="C31" s="1000"/>
      <c r="D31" s="1002"/>
      <c r="E31" s="179" t="s">
        <v>6031</v>
      </c>
      <c r="F31" s="179" t="s">
        <v>175</v>
      </c>
      <c r="G31" s="187" t="s">
        <v>6041</v>
      </c>
      <c r="H31" s="189" t="s">
        <v>6042</v>
      </c>
    </row>
    <row r="32" spans="2:8" s="177" customFormat="1" ht="31.5">
      <c r="B32" s="998" t="s">
        <v>46</v>
      </c>
      <c r="C32" s="1000"/>
      <c r="D32" s="1002"/>
      <c r="E32" s="179" t="s">
        <v>6028</v>
      </c>
      <c r="F32" s="179" t="s">
        <v>172</v>
      </c>
      <c r="G32" s="188" t="s">
        <v>6043</v>
      </c>
      <c r="H32" s="185" t="s">
        <v>6044</v>
      </c>
    </row>
    <row r="33" spans="2:14" s="177" customFormat="1" ht="33">
      <c r="B33" s="999"/>
      <c r="C33" s="1000"/>
      <c r="D33" s="1002"/>
      <c r="E33" s="179" t="s">
        <v>6031</v>
      </c>
      <c r="F33" s="179" t="s">
        <v>175</v>
      </c>
      <c r="G33" s="187" t="s">
        <v>6045</v>
      </c>
      <c r="H33" s="189" t="s">
        <v>6046</v>
      </c>
    </row>
    <row r="34" spans="2:14" s="177" customFormat="1" ht="31.5">
      <c r="B34" s="998" t="s">
        <v>1847</v>
      </c>
      <c r="C34" s="1000"/>
      <c r="D34" s="1002"/>
      <c r="E34" s="179" t="s">
        <v>6028</v>
      </c>
      <c r="F34" s="179" t="s">
        <v>172</v>
      </c>
      <c r="G34" s="188" t="s">
        <v>6047</v>
      </c>
      <c r="H34" s="185" t="s">
        <v>6048</v>
      </c>
    </row>
    <row r="35" spans="2:14" s="177" customFormat="1" ht="33">
      <c r="B35" s="999"/>
      <c r="C35" s="1000"/>
      <c r="D35" s="1002"/>
      <c r="E35" s="179" t="s">
        <v>6031</v>
      </c>
      <c r="F35" s="179" t="s">
        <v>175</v>
      </c>
      <c r="G35" s="187" t="s">
        <v>6049</v>
      </c>
      <c r="H35" s="189" t="s">
        <v>6050</v>
      </c>
    </row>
    <row r="36" spans="2:14" s="177" customFormat="1" ht="31.5">
      <c r="B36" s="998" t="s">
        <v>1850</v>
      </c>
      <c r="C36" s="1000"/>
      <c r="D36" s="1002"/>
      <c r="E36" s="179" t="s">
        <v>6028</v>
      </c>
      <c r="F36" s="179" t="s">
        <v>172</v>
      </c>
      <c r="G36" s="188" t="s">
        <v>6051</v>
      </c>
      <c r="H36" s="185" t="s">
        <v>6052</v>
      </c>
    </row>
    <row r="37" spans="2:14" s="177" customFormat="1" ht="16.5">
      <c r="B37" s="999"/>
      <c r="C37" s="1000"/>
      <c r="D37" s="1002"/>
      <c r="E37" s="179" t="s">
        <v>6031</v>
      </c>
      <c r="F37" s="179" t="s">
        <v>175</v>
      </c>
      <c r="G37" s="187" t="s">
        <v>6053</v>
      </c>
      <c r="H37" s="189" t="s">
        <v>6054</v>
      </c>
    </row>
    <row r="38" spans="2:14" s="177" customFormat="1" ht="15.75">
      <c r="B38" s="998" t="s">
        <v>1861</v>
      </c>
      <c r="C38" s="1000"/>
      <c r="D38" s="1002"/>
      <c r="E38" s="179" t="s">
        <v>6028</v>
      </c>
      <c r="F38" s="179" t="s">
        <v>172</v>
      </c>
      <c r="G38" s="187" t="s">
        <v>6055</v>
      </c>
      <c r="H38" s="1004" t="s">
        <v>6056</v>
      </c>
    </row>
    <row r="39" spans="2:14" s="177" customFormat="1" ht="15.75">
      <c r="B39" s="999"/>
      <c r="C39" s="1000"/>
      <c r="D39" s="1003"/>
      <c r="E39" s="179" t="s">
        <v>6031</v>
      </c>
      <c r="F39" s="179" t="s">
        <v>175</v>
      </c>
      <c r="G39" s="187" t="s">
        <v>6057</v>
      </c>
      <c r="H39" s="1005"/>
    </row>
    <row r="40" spans="2:14" s="177" customFormat="1" ht="17.25" thickBot="1">
      <c r="B40" s="190" t="s">
        <v>5452</v>
      </c>
      <c r="C40" s="191"/>
      <c r="D40" s="192" t="s">
        <v>6058</v>
      </c>
      <c r="E40" s="1008"/>
      <c r="F40" s="1009"/>
      <c r="G40" s="1010"/>
      <c r="H40" s="193"/>
    </row>
    <row r="41" spans="2:14" s="177" customFormat="1" ht="14.25"/>
    <row r="42" spans="2:14" s="177" customFormat="1" ht="14.25"/>
    <row r="43" spans="2:14" s="177" customFormat="1" ht="14.25"/>
    <row r="44" spans="2:14" s="177" customFormat="1" ht="14.25">
      <c r="B44" s="986" t="s">
        <v>6059</v>
      </c>
      <c r="C44" s="986"/>
      <c r="D44" s="986"/>
      <c r="E44" s="986"/>
      <c r="F44" s="986"/>
      <c r="G44" s="986"/>
      <c r="H44" s="986"/>
    </row>
    <row r="45" spans="2:14" s="177" customFormat="1" ht="16.5">
      <c r="B45" s="194" t="s">
        <v>6060</v>
      </c>
      <c r="C45" s="179" t="s">
        <v>6017</v>
      </c>
      <c r="D45" s="187" t="s">
        <v>6061</v>
      </c>
      <c r="E45" s="987" t="s">
        <v>6062</v>
      </c>
      <c r="F45" s="988"/>
      <c r="G45" s="989"/>
      <c r="H45" s="179" t="s">
        <v>6063</v>
      </c>
      <c r="J45" s="195" t="s">
        <v>6064</v>
      </c>
      <c r="K45" s="195" t="s">
        <v>6065</v>
      </c>
      <c r="L45" s="195" t="s">
        <v>6065</v>
      </c>
      <c r="M45" s="195" t="s">
        <v>6066</v>
      </c>
      <c r="N45" s="195" t="s">
        <v>6066</v>
      </c>
    </row>
    <row r="46" spans="2:14" s="177" customFormat="1" ht="31.5">
      <c r="B46" s="196">
        <v>1</v>
      </c>
      <c r="C46" s="197" t="s">
        <v>6067</v>
      </c>
      <c r="D46" s="187" t="s">
        <v>6068</v>
      </c>
      <c r="E46" s="983"/>
      <c r="F46" s="983"/>
      <c r="G46" s="983"/>
      <c r="H46" s="179"/>
      <c r="J46" s="195" t="s">
        <v>6069</v>
      </c>
      <c r="K46" s="195" t="s">
        <v>6070</v>
      </c>
      <c r="L46" s="195" t="s">
        <v>6071</v>
      </c>
      <c r="M46" s="195" t="s">
        <v>6070</v>
      </c>
      <c r="N46" s="195" t="s">
        <v>6071</v>
      </c>
    </row>
    <row r="47" spans="2:14" s="177" customFormat="1" ht="33">
      <c r="B47" s="984">
        <v>2</v>
      </c>
      <c r="C47" s="981" t="s">
        <v>6072</v>
      </c>
      <c r="D47" s="980" t="s">
        <v>6073</v>
      </c>
      <c r="E47" s="179" t="s">
        <v>6028</v>
      </c>
      <c r="F47" s="179" t="s">
        <v>172</v>
      </c>
      <c r="G47" s="179" t="s">
        <v>6029</v>
      </c>
      <c r="H47" s="981" t="s">
        <v>6074</v>
      </c>
      <c r="J47" s="195" t="s">
        <v>6075</v>
      </c>
      <c r="K47" s="198" t="s">
        <v>6076</v>
      </c>
      <c r="L47" s="198" t="s">
        <v>6077</v>
      </c>
      <c r="M47" s="198" t="s">
        <v>6078</v>
      </c>
      <c r="N47" s="198" t="s">
        <v>6079</v>
      </c>
    </row>
    <row r="48" spans="2:14" s="177" customFormat="1" ht="16.5">
      <c r="B48" s="984"/>
      <c r="C48" s="985"/>
      <c r="D48" s="980"/>
      <c r="E48" s="179" t="s">
        <v>6031</v>
      </c>
      <c r="F48" s="179" t="s">
        <v>175</v>
      </c>
      <c r="G48" s="179" t="s">
        <v>6032</v>
      </c>
      <c r="H48" s="982"/>
      <c r="J48" s="978" t="s">
        <v>6080</v>
      </c>
      <c r="K48" s="198" t="s">
        <v>6081</v>
      </c>
      <c r="L48" s="198" t="s">
        <v>6081</v>
      </c>
      <c r="M48" s="198" t="s">
        <v>6081</v>
      </c>
      <c r="N48" s="198" t="s">
        <v>6081</v>
      </c>
    </row>
    <row r="49" spans="2:14" s="177" customFormat="1" ht="82.5">
      <c r="B49" s="984"/>
      <c r="C49" s="985"/>
      <c r="D49" s="980" t="s">
        <v>6082</v>
      </c>
      <c r="E49" s="179" t="s">
        <v>6028</v>
      </c>
      <c r="F49" s="179" t="s">
        <v>172</v>
      </c>
      <c r="G49" s="179" t="s">
        <v>6033</v>
      </c>
      <c r="H49" s="981" t="s">
        <v>6034</v>
      </c>
      <c r="J49" s="979"/>
      <c r="K49" s="199" t="s">
        <v>6083</v>
      </c>
      <c r="L49" s="199" t="s">
        <v>6083</v>
      </c>
      <c r="M49" s="199" t="s">
        <v>6083</v>
      </c>
      <c r="N49" s="199" t="s">
        <v>6083</v>
      </c>
    </row>
    <row r="50" spans="2:14" s="177" customFormat="1" ht="33">
      <c r="B50" s="984"/>
      <c r="C50" s="985"/>
      <c r="D50" s="980"/>
      <c r="E50" s="179" t="s">
        <v>6031</v>
      </c>
      <c r="F50" s="179" t="s">
        <v>175</v>
      </c>
      <c r="G50" s="179" t="s">
        <v>6035</v>
      </c>
      <c r="H50" s="982"/>
      <c r="J50" s="978" t="s">
        <v>6084</v>
      </c>
      <c r="K50" s="195" t="s">
        <v>6085</v>
      </c>
      <c r="L50" s="200" t="s">
        <v>6086</v>
      </c>
      <c r="M50" s="195" t="s">
        <v>6085</v>
      </c>
      <c r="N50" s="200" t="s">
        <v>6086</v>
      </c>
    </row>
    <row r="51" spans="2:14" s="177" customFormat="1" ht="82.5">
      <c r="B51" s="984"/>
      <c r="C51" s="985"/>
      <c r="D51" s="980" t="s">
        <v>6087</v>
      </c>
      <c r="E51" s="179" t="s">
        <v>6028</v>
      </c>
      <c r="F51" s="179" t="s">
        <v>172</v>
      </c>
      <c r="G51" s="179" t="s">
        <v>6036</v>
      </c>
      <c r="H51" s="981" t="s">
        <v>6037</v>
      </c>
      <c r="J51" s="979"/>
      <c r="K51" s="199" t="s">
        <v>6088</v>
      </c>
      <c r="L51" s="199" t="s">
        <v>6089</v>
      </c>
      <c r="M51" s="201" t="s">
        <v>6088</v>
      </c>
      <c r="N51" s="199" t="s">
        <v>6089</v>
      </c>
    </row>
    <row r="52" spans="2:14" s="177" customFormat="1" ht="16.5">
      <c r="B52" s="984"/>
      <c r="C52" s="985"/>
      <c r="D52" s="980"/>
      <c r="E52" s="179" t="s">
        <v>6031</v>
      </c>
      <c r="F52" s="179" t="s">
        <v>175</v>
      </c>
      <c r="G52" s="179" t="s">
        <v>6038</v>
      </c>
      <c r="H52" s="982"/>
      <c r="J52" s="978" t="s">
        <v>6090</v>
      </c>
      <c r="K52" s="202" t="s">
        <v>6091</v>
      </c>
      <c r="L52" s="203" t="s">
        <v>6092</v>
      </c>
      <c r="M52" s="203" t="s">
        <v>6091</v>
      </c>
      <c r="N52" s="203" t="s">
        <v>6092</v>
      </c>
    </row>
    <row r="53" spans="2:14" s="177" customFormat="1" ht="141.75">
      <c r="B53" s="984"/>
      <c r="C53" s="985"/>
      <c r="D53" s="980" t="s">
        <v>6093</v>
      </c>
      <c r="E53" s="179" t="s">
        <v>6028</v>
      </c>
      <c r="F53" s="179" t="s">
        <v>172</v>
      </c>
      <c r="G53" s="188" t="s">
        <v>6094</v>
      </c>
      <c r="H53" s="981" t="s">
        <v>6095</v>
      </c>
      <c r="J53" s="979"/>
      <c r="K53" s="199" t="s">
        <v>6096</v>
      </c>
      <c r="L53" s="199" t="s">
        <v>6097</v>
      </c>
      <c r="M53" s="199" t="s">
        <v>6096</v>
      </c>
      <c r="N53" s="199" t="s">
        <v>6097</v>
      </c>
    </row>
    <row r="54" spans="2:14" s="177" customFormat="1" ht="15.75">
      <c r="B54" s="984"/>
      <c r="C54" s="985"/>
      <c r="D54" s="980"/>
      <c r="E54" s="179" t="s">
        <v>6031</v>
      </c>
      <c r="F54" s="179" t="s">
        <v>175</v>
      </c>
      <c r="G54" s="179" t="s">
        <v>6098</v>
      </c>
      <c r="H54" s="982"/>
    </row>
    <row r="55" spans="2:14" s="177" customFormat="1" ht="15.75">
      <c r="B55" s="984"/>
      <c r="C55" s="985"/>
      <c r="D55" s="980" t="s">
        <v>6099</v>
      </c>
      <c r="E55" s="179" t="s">
        <v>6028</v>
      </c>
      <c r="F55" s="179" t="s">
        <v>172</v>
      </c>
      <c r="G55" s="179" t="s">
        <v>6100</v>
      </c>
      <c r="H55" s="981" t="s">
        <v>6101</v>
      </c>
    </row>
    <row r="56" spans="2:14" s="177" customFormat="1" ht="141.75">
      <c r="B56" s="984"/>
      <c r="C56" s="985"/>
      <c r="D56" s="980"/>
      <c r="E56" s="179" t="s">
        <v>6031</v>
      </c>
      <c r="F56" s="179" t="s">
        <v>175</v>
      </c>
      <c r="G56" s="197" t="s">
        <v>6102</v>
      </c>
      <c r="H56" s="982"/>
    </row>
    <row r="57" spans="2:14" s="177" customFormat="1" ht="78.75">
      <c r="B57" s="984"/>
      <c r="C57" s="985"/>
      <c r="D57" s="980" t="s">
        <v>6103</v>
      </c>
      <c r="E57" s="179" t="s">
        <v>6028</v>
      </c>
      <c r="F57" s="179" t="s">
        <v>172</v>
      </c>
      <c r="G57" s="197" t="s">
        <v>6104</v>
      </c>
      <c r="H57" s="981" t="s">
        <v>6105</v>
      </c>
    </row>
    <row r="58" spans="2:14" s="177" customFormat="1" ht="15.75">
      <c r="B58" s="984"/>
      <c r="C58" s="985"/>
      <c r="D58" s="980"/>
      <c r="E58" s="179" t="s">
        <v>6031</v>
      </c>
      <c r="F58" s="179" t="s">
        <v>175</v>
      </c>
      <c r="G58" s="179" t="s">
        <v>6106</v>
      </c>
      <c r="H58" s="982"/>
    </row>
    <row r="59" spans="2:14" s="177" customFormat="1" ht="15.75">
      <c r="B59" s="984"/>
      <c r="C59" s="985"/>
      <c r="D59" s="980" t="s">
        <v>6107</v>
      </c>
      <c r="E59" s="179" t="s">
        <v>6028</v>
      </c>
      <c r="F59" s="179" t="s">
        <v>172</v>
      </c>
      <c r="G59" s="179" t="s">
        <v>6108</v>
      </c>
      <c r="H59" s="981" t="s">
        <v>6109</v>
      </c>
    </row>
    <row r="60" spans="2:14" s="177" customFormat="1" ht="78.75">
      <c r="B60" s="984"/>
      <c r="C60" s="985"/>
      <c r="D60" s="980"/>
      <c r="E60" s="179" t="s">
        <v>6031</v>
      </c>
      <c r="F60" s="179" t="s">
        <v>175</v>
      </c>
      <c r="G60" s="197" t="s">
        <v>6110</v>
      </c>
      <c r="H60" s="982"/>
    </row>
    <row r="61" spans="2:14" s="177" customFormat="1" ht="78.75">
      <c r="B61" s="984"/>
      <c r="C61" s="985"/>
      <c r="D61" s="980" t="s">
        <v>6111</v>
      </c>
      <c r="E61" s="179" t="s">
        <v>6028</v>
      </c>
      <c r="F61" s="179" t="s">
        <v>172</v>
      </c>
      <c r="G61" s="197" t="s">
        <v>6112</v>
      </c>
      <c r="H61" s="981" t="s">
        <v>6113</v>
      </c>
      <c r="J61" s="204"/>
      <c r="K61" s="204"/>
      <c r="L61" s="204"/>
      <c r="M61" s="204"/>
      <c r="N61" s="204"/>
    </row>
    <row r="62" spans="2:14" s="177" customFormat="1" ht="18.75">
      <c r="B62" s="984"/>
      <c r="C62" s="985"/>
      <c r="D62" s="980"/>
      <c r="E62" s="179" t="s">
        <v>6031</v>
      </c>
      <c r="F62" s="179" t="s">
        <v>175</v>
      </c>
      <c r="G62" s="179" t="s">
        <v>6114</v>
      </c>
      <c r="H62" s="982"/>
      <c r="J62" s="204"/>
      <c r="K62" s="204"/>
      <c r="L62" s="204"/>
      <c r="M62" s="204"/>
      <c r="N62" s="204"/>
    </row>
    <row r="63" spans="2:14" s="177" customFormat="1" ht="18.75">
      <c r="B63" s="984"/>
      <c r="C63" s="985"/>
      <c r="D63" s="980" t="s">
        <v>6115</v>
      </c>
      <c r="E63" s="179" t="s">
        <v>6028</v>
      </c>
      <c r="F63" s="179" t="s">
        <v>172</v>
      </c>
      <c r="G63" s="179" t="s">
        <v>6116</v>
      </c>
      <c r="H63" s="981" t="s">
        <v>6117</v>
      </c>
      <c r="J63" s="204"/>
      <c r="K63" s="205"/>
      <c r="L63" s="205"/>
      <c r="M63" s="205"/>
      <c r="N63" s="205"/>
    </row>
    <row r="64" spans="2:14" s="177" customFormat="1" ht="78.75">
      <c r="B64" s="984"/>
      <c r="C64" s="982"/>
      <c r="D64" s="980"/>
      <c r="E64" s="179" t="s">
        <v>6031</v>
      </c>
      <c r="F64" s="179" t="s">
        <v>175</v>
      </c>
      <c r="G64" s="197" t="s">
        <v>6118</v>
      </c>
      <c r="H64" s="982"/>
      <c r="J64" s="206"/>
      <c r="K64" s="207"/>
      <c r="L64" s="207"/>
      <c r="M64" s="207"/>
      <c r="N64" s="207"/>
    </row>
    <row r="65" spans="2:14" s="177" customFormat="1" ht="14.25">
      <c r="J65" s="206"/>
      <c r="K65" s="208"/>
      <c r="L65" s="206"/>
      <c r="M65" s="208"/>
      <c r="N65" s="206"/>
    </row>
    <row r="66" spans="2:14" s="177" customFormat="1" ht="14.25">
      <c r="B66" s="206"/>
      <c r="C66" s="209"/>
      <c r="D66" s="210"/>
      <c r="E66" s="210"/>
      <c r="F66" s="210"/>
    </row>
    <row r="67" spans="2:14" s="177" customFormat="1" ht="14.25">
      <c r="B67" s="210"/>
      <c r="C67" s="209"/>
      <c r="D67" s="210"/>
      <c r="E67" s="210"/>
      <c r="F67" s="210"/>
    </row>
    <row r="68" spans="2:14" s="177" customFormat="1" ht="14.25"/>
    <row r="69" spans="2:14" s="177" customFormat="1" ht="14.25"/>
    <row r="70" spans="2:14" s="177" customFormat="1" ht="14.25"/>
    <row r="71" spans="2:14" s="177" customFormat="1" ht="14.25"/>
    <row r="72" spans="2:14" s="177" customFormat="1" ht="14.25"/>
    <row r="73" spans="2:14" s="177" customFormat="1" ht="14.25"/>
    <row r="74" spans="2:14" s="177" customFormat="1" ht="14.25"/>
    <row r="75" spans="2:14" s="177" customFormat="1" ht="14.25"/>
    <row r="76" spans="2:14" s="177" customFormat="1" ht="14.25"/>
    <row r="77" spans="2:14" s="177" customFormat="1" ht="14.25"/>
    <row r="78" spans="2:14" s="177" customFormat="1" ht="14.25"/>
    <row r="79" spans="2:14" s="177" customFormat="1" ht="14.25"/>
    <row r="80" spans="2:14" s="177" customFormat="1" ht="14.25"/>
    <row r="81" spans="2:5" s="177" customFormat="1" ht="14.25"/>
    <row r="82" spans="2:5" s="177" customFormat="1" ht="14.25"/>
    <row r="83" spans="2:5" s="177" customFormat="1" ht="14.25"/>
    <row r="84" spans="2:5" s="177" customFormat="1" ht="14.25"/>
    <row r="85" spans="2:5" s="177" customFormat="1" ht="14.25"/>
    <row r="86" spans="2:5" s="177" customFormat="1" ht="14.25"/>
    <row r="87" spans="2:5" s="177" customFormat="1" ht="14.25"/>
    <row r="88" spans="2:5" s="177" customFormat="1" ht="14.25"/>
    <row r="89" spans="2:5" s="177" customFormat="1" ht="15.75">
      <c r="B89" s="961" t="s">
        <v>6119</v>
      </c>
      <c r="C89" s="961"/>
      <c r="D89" s="961"/>
      <c r="E89" s="961"/>
    </row>
    <row r="90" spans="2:5" s="177" customFormat="1" ht="16.5">
      <c r="B90" s="143" t="s">
        <v>6120</v>
      </c>
      <c r="C90" s="143" t="s">
        <v>6121</v>
      </c>
      <c r="D90" s="143" t="s">
        <v>6122</v>
      </c>
      <c r="E90" s="143" t="s">
        <v>6123</v>
      </c>
    </row>
    <row r="91" spans="2:5" s="177" customFormat="1" ht="79.5">
      <c r="B91" s="144" t="s">
        <v>5340</v>
      </c>
      <c r="C91" s="211" t="s">
        <v>6124</v>
      </c>
      <c r="D91" s="146"/>
      <c r="E91" s="146"/>
    </row>
    <row r="92" spans="2:5" s="177" customFormat="1" ht="30">
      <c r="B92" s="976">
        <v>2</v>
      </c>
      <c r="C92" s="977" t="s">
        <v>6125</v>
      </c>
      <c r="D92" s="213" t="s">
        <v>6126</v>
      </c>
      <c r="E92" s="213" t="s">
        <v>6127</v>
      </c>
    </row>
    <row r="93" spans="2:5" s="177" customFormat="1" ht="30">
      <c r="B93" s="976"/>
      <c r="C93" s="977"/>
      <c r="D93" s="213" t="s">
        <v>6128</v>
      </c>
      <c r="E93" s="213" t="s">
        <v>6129</v>
      </c>
    </row>
    <row r="94" spans="2:5" s="177" customFormat="1">
      <c r="B94" s="976"/>
      <c r="C94" s="977"/>
      <c r="D94" s="214" t="s">
        <v>6130</v>
      </c>
      <c r="E94" s="213" t="s">
        <v>6131</v>
      </c>
    </row>
    <row r="95" spans="2:5" s="177" customFormat="1">
      <c r="B95" s="976"/>
      <c r="C95" s="977"/>
      <c r="D95" s="213" t="s">
        <v>6132</v>
      </c>
      <c r="E95" s="213" t="s">
        <v>6133</v>
      </c>
    </row>
    <row r="96" spans="2:5" s="177" customFormat="1">
      <c r="B96" s="976"/>
      <c r="C96" s="977"/>
      <c r="D96" s="215" t="s">
        <v>6134</v>
      </c>
      <c r="E96" s="215" t="s">
        <v>6135</v>
      </c>
    </row>
    <row r="97" spans="2:7" s="177" customFormat="1">
      <c r="B97" s="976"/>
      <c r="C97" s="977"/>
      <c r="D97" s="215" t="s">
        <v>6136</v>
      </c>
      <c r="E97" s="215" t="s">
        <v>6137</v>
      </c>
    </row>
    <row r="98" spans="2:7" s="177" customFormat="1">
      <c r="B98" s="976"/>
      <c r="C98" s="977"/>
      <c r="D98" s="215" t="s">
        <v>6138</v>
      </c>
      <c r="E98" s="215" t="s">
        <v>6139</v>
      </c>
    </row>
    <row r="99" spans="2:7" s="177" customFormat="1">
      <c r="B99" s="976"/>
      <c r="C99" s="977"/>
      <c r="D99" s="215" t="s">
        <v>6140</v>
      </c>
      <c r="E99" s="213" t="s">
        <v>6131</v>
      </c>
    </row>
    <row r="100" spans="2:7" s="177" customFormat="1">
      <c r="B100" s="976"/>
      <c r="C100" s="977"/>
      <c r="D100" s="213" t="s">
        <v>6141</v>
      </c>
      <c r="E100" s="213" t="s">
        <v>6133</v>
      </c>
    </row>
    <row r="101" spans="2:7" s="177" customFormat="1" ht="30">
      <c r="B101" s="974">
        <v>3</v>
      </c>
      <c r="C101" s="975" t="s">
        <v>6142</v>
      </c>
      <c r="D101" s="213" t="s">
        <v>6143</v>
      </c>
      <c r="E101" s="213" t="s">
        <v>6144</v>
      </c>
    </row>
    <row r="102" spans="2:7" s="177" customFormat="1">
      <c r="B102" s="974"/>
      <c r="C102" s="974"/>
      <c r="D102" s="215" t="s">
        <v>6145</v>
      </c>
      <c r="E102" s="213" t="s">
        <v>6131</v>
      </c>
    </row>
    <row r="103" spans="2:7" s="177" customFormat="1">
      <c r="B103" s="974"/>
      <c r="C103" s="974"/>
      <c r="D103" s="215" t="s">
        <v>6146</v>
      </c>
      <c r="E103" s="213" t="s">
        <v>6133</v>
      </c>
    </row>
    <row r="104" spans="2:7" s="177" customFormat="1">
      <c r="B104" s="974">
        <v>4</v>
      </c>
      <c r="C104" s="975" t="s">
        <v>6147</v>
      </c>
      <c r="D104" s="215" t="s">
        <v>6148</v>
      </c>
      <c r="E104" s="215" t="s">
        <v>6149</v>
      </c>
    </row>
    <row r="105" spans="2:7" s="177" customFormat="1" ht="30">
      <c r="B105" s="974"/>
      <c r="C105" s="974"/>
      <c r="D105" s="213" t="s">
        <v>6150</v>
      </c>
      <c r="E105" s="213" t="s">
        <v>6131</v>
      </c>
    </row>
    <row r="106" spans="2:7" s="177" customFormat="1">
      <c r="B106" s="974"/>
      <c r="C106" s="974"/>
      <c r="D106" s="213" t="s">
        <v>6151</v>
      </c>
      <c r="E106" s="213" t="s">
        <v>6133</v>
      </c>
    </row>
    <row r="107" spans="2:7" s="177" customFormat="1" ht="31.5">
      <c r="B107" s="144" t="s">
        <v>5400</v>
      </c>
      <c r="C107" s="212" t="s">
        <v>6152</v>
      </c>
      <c r="D107" s="217"/>
      <c r="E107" s="217"/>
    </row>
    <row r="108" spans="2:7" s="177" customFormat="1" ht="14.25"/>
    <row r="109" spans="2:7" s="177" customFormat="1" ht="14.25"/>
    <row r="110" spans="2:7" s="177" customFormat="1" ht="16.5">
      <c r="B110" s="971" t="s">
        <v>6153</v>
      </c>
      <c r="C110" s="970"/>
      <c r="D110" s="970"/>
      <c r="E110" s="970"/>
      <c r="F110" s="219"/>
      <c r="G110" s="219"/>
    </row>
    <row r="111" spans="2:7" s="177" customFormat="1" ht="16.5">
      <c r="B111" s="218" t="s">
        <v>6154</v>
      </c>
      <c r="C111" s="970" t="s">
        <v>6155</v>
      </c>
      <c r="D111" s="970"/>
      <c r="E111" s="218" t="s">
        <v>6156</v>
      </c>
      <c r="F111" s="219"/>
      <c r="G111" s="219"/>
    </row>
    <row r="112" spans="2:7" s="177" customFormat="1" ht="16.5">
      <c r="B112" s="965" t="s">
        <v>6157</v>
      </c>
      <c r="C112" s="220" t="s">
        <v>6158</v>
      </c>
      <c r="D112" s="221" t="s">
        <v>6159</v>
      </c>
      <c r="E112" s="221" t="s">
        <v>6160</v>
      </c>
      <c r="F112" s="219"/>
      <c r="G112" s="219"/>
    </row>
    <row r="113" spans="2:7" s="177" customFormat="1" ht="16.5">
      <c r="B113" s="965"/>
      <c r="C113" s="220" t="s">
        <v>6161</v>
      </c>
      <c r="D113" s="221" t="s">
        <v>6162</v>
      </c>
      <c r="E113" s="221"/>
      <c r="F113" s="219"/>
      <c r="G113" s="219"/>
    </row>
    <row r="114" spans="2:7" s="177" customFormat="1" ht="16.5">
      <c r="B114" s="965" t="s">
        <v>6163</v>
      </c>
      <c r="C114" s="220" t="s">
        <v>6158</v>
      </c>
      <c r="D114" s="221" t="s">
        <v>6164</v>
      </c>
      <c r="E114" s="221" t="s">
        <v>6165</v>
      </c>
      <c r="F114" s="219"/>
      <c r="G114" s="219"/>
    </row>
    <row r="115" spans="2:7" s="177" customFormat="1" ht="16.5">
      <c r="B115" s="965"/>
      <c r="C115" s="220" t="s">
        <v>6161</v>
      </c>
      <c r="D115" s="221" t="s">
        <v>6166</v>
      </c>
      <c r="E115" s="221"/>
      <c r="F115" s="219"/>
      <c r="G115" s="219"/>
    </row>
    <row r="116" spans="2:7" s="177" customFormat="1" ht="16.5">
      <c r="B116" s="965"/>
      <c r="C116" s="220" t="s">
        <v>6158</v>
      </c>
      <c r="D116" s="221" t="s">
        <v>6167</v>
      </c>
      <c r="E116" s="221" t="s">
        <v>6168</v>
      </c>
      <c r="F116" s="219"/>
      <c r="G116" s="219"/>
    </row>
    <row r="117" spans="2:7" s="177" customFormat="1" ht="16.5">
      <c r="B117" s="965"/>
      <c r="C117" s="220" t="s">
        <v>6161</v>
      </c>
      <c r="D117" s="221" t="s">
        <v>6169</v>
      </c>
      <c r="E117" s="221"/>
      <c r="F117" s="219"/>
      <c r="G117" s="219"/>
    </row>
    <row r="118" spans="2:7" s="177" customFormat="1" ht="16.5">
      <c r="B118" s="965" t="s">
        <v>6170</v>
      </c>
      <c r="C118" s="220" t="s">
        <v>6158</v>
      </c>
      <c r="D118" s="221" t="s">
        <v>6171</v>
      </c>
      <c r="E118" s="221"/>
      <c r="F118" s="219"/>
      <c r="G118" s="219"/>
    </row>
    <row r="119" spans="2:7" s="177" customFormat="1" ht="16.5">
      <c r="B119" s="965"/>
      <c r="C119" s="220" t="s">
        <v>6161</v>
      </c>
      <c r="D119" s="221"/>
      <c r="E119" s="221"/>
      <c r="F119" s="219"/>
      <c r="G119" s="219"/>
    </row>
    <row r="120" spans="2:7" s="177" customFormat="1" ht="49.5">
      <c r="B120" s="965" t="s">
        <v>6172</v>
      </c>
      <c r="C120" s="220" t="s">
        <v>6158</v>
      </c>
      <c r="D120" s="221" t="s">
        <v>6173</v>
      </c>
      <c r="E120" s="220" t="s">
        <v>6174</v>
      </c>
      <c r="F120" s="222" t="s">
        <v>6175</v>
      </c>
      <c r="G120" s="219"/>
    </row>
    <row r="121" spans="2:7" s="177" customFormat="1" ht="16.5">
      <c r="B121" s="965"/>
      <c r="C121" s="220" t="s">
        <v>6161</v>
      </c>
      <c r="D121" s="221" t="s">
        <v>6176</v>
      </c>
      <c r="E121" s="223" t="s">
        <v>6177</v>
      </c>
      <c r="F121" s="219"/>
      <c r="G121" s="219"/>
    </row>
    <row r="122" spans="2:7" s="177" customFormat="1" ht="49.5">
      <c r="B122" s="220" t="s">
        <v>6178</v>
      </c>
      <c r="C122" s="220"/>
      <c r="D122" s="221"/>
      <c r="E122" s="221" t="s">
        <v>6179</v>
      </c>
      <c r="F122" s="219"/>
      <c r="G122" s="219"/>
    </row>
    <row r="123" spans="2:7" s="177" customFormat="1" ht="66">
      <c r="B123" s="220" t="s">
        <v>6180</v>
      </c>
      <c r="C123" s="220"/>
      <c r="D123" s="221"/>
      <c r="E123" s="221" t="s">
        <v>6181</v>
      </c>
      <c r="F123" s="219"/>
      <c r="G123" s="219"/>
    </row>
    <row r="124" spans="2:7" s="177" customFormat="1" ht="49.5">
      <c r="B124" s="965" t="s">
        <v>6182</v>
      </c>
      <c r="C124" s="220" t="s">
        <v>6158</v>
      </c>
      <c r="D124" s="221" t="s">
        <v>6183</v>
      </c>
      <c r="E124" s="224" t="s">
        <v>6184</v>
      </c>
      <c r="F124" s="222" t="s">
        <v>6185</v>
      </c>
      <c r="G124" s="219"/>
    </row>
    <row r="125" spans="2:7" s="177" customFormat="1" ht="66">
      <c r="B125" s="965"/>
      <c r="C125" s="220" t="s">
        <v>6161</v>
      </c>
      <c r="D125" s="221" t="s">
        <v>6186</v>
      </c>
      <c r="E125" s="220" t="s">
        <v>6187</v>
      </c>
      <c r="F125" s="219"/>
      <c r="G125" s="219"/>
    </row>
    <row r="126" spans="2:7" s="177" customFormat="1" ht="16.5">
      <c r="B126" s="965" t="s">
        <v>6188</v>
      </c>
      <c r="C126" s="220" t="s">
        <v>6158</v>
      </c>
      <c r="D126" s="221" t="s">
        <v>6189</v>
      </c>
      <c r="E126" s="965" t="s">
        <v>6190</v>
      </c>
      <c r="F126" s="219"/>
      <c r="G126" s="219"/>
    </row>
    <row r="127" spans="2:7" s="177" customFormat="1" ht="16.5">
      <c r="B127" s="965"/>
      <c r="C127" s="220" t="s">
        <v>6161</v>
      </c>
      <c r="D127" s="221" t="s">
        <v>6191</v>
      </c>
      <c r="E127" s="965"/>
      <c r="F127" s="219"/>
      <c r="G127" s="219"/>
    </row>
    <row r="128" spans="2:7" s="177" customFormat="1" ht="49.5">
      <c r="B128" s="965" t="s">
        <v>6192</v>
      </c>
      <c r="C128" s="220" t="s">
        <v>6158</v>
      </c>
      <c r="D128" s="221" t="s">
        <v>6193</v>
      </c>
      <c r="E128" s="224" t="s">
        <v>6194</v>
      </c>
      <c r="F128" s="222" t="s">
        <v>6195</v>
      </c>
      <c r="G128" s="219"/>
    </row>
    <row r="129" spans="2:7" s="177" customFormat="1" ht="66">
      <c r="B129" s="965"/>
      <c r="C129" s="220" t="s">
        <v>6161</v>
      </c>
      <c r="D129" s="221" t="s">
        <v>6196</v>
      </c>
      <c r="E129" s="220" t="s">
        <v>6187</v>
      </c>
      <c r="F129" s="219"/>
      <c r="G129" s="219"/>
    </row>
    <row r="130" spans="2:7" s="177" customFormat="1" ht="16.5">
      <c r="B130" s="965" t="s">
        <v>6197</v>
      </c>
      <c r="C130" s="220" t="s">
        <v>6158</v>
      </c>
      <c r="D130" s="221" t="s">
        <v>6198</v>
      </c>
      <c r="E130" s="965" t="s">
        <v>6199</v>
      </c>
      <c r="F130" s="219"/>
      <c r="G130" s="219"/>
    </row>
    <row r="131" spans="2:7" s="177" customFormat="1" ht="16.5">
      <c r="B131" s="965"/>
      <c r="C131" s="220" t="s">
        <v>6161</v>
      </c>
      <c r="D131" s="221" t="s">
        <v>6200</v>
      </c>
      <c r="E131" s="965"/>
      <c r="F131" s="219"/>
      <c r="G131" s="219"/>
    </row>
    <row r="132" spans="2:7" s="177" customFormat="1" ht="14.25"/>
    <row r="133" spans="2:7" s="177" customFormat="1" ht="14.25"/>
    <row r="134" spans="2:7" s="177" customFormat="1" ht="14.25"/>
    <row r="135" spans="2:7" s="177" customFormat="1" ht="16.5">
      <c r="B135" s="971" t="s">
        <v>6201</v>
      </c>
      <c r="C135" s="970"/>
      <c r="D135" s="970"/>
      <c r="E135" s="970"/>
    </row>
    <row r="136" spans="2:7" s="177" customFormat="1" ht="16.5">
      <c r="B136" s="218" t="s">
        <v>6154</v>
      </c>
      <c r="C136" s="970" t="s">
        <v>6155</v>
      </c>
      <c r="D136" s="970"/>
      <c r="E136" s="218" t="s">
        <v>6156</v>
      </c>
    </row>
    <row r="137" spans="2:7" s="177" customFormat="1" ht="16.5">
      <c r="B137" s="965" t="s">
        <v>6157</v>
      </c>
      <c r="C137" s="220" t="s">
        <v>6158</v>
      </c>
      <c r="D137" s="221" t="s">
        <v>6159</v>
      </c>
      <c r="E137" s="221" t="s">
        <v>6160</v>
      </c>
    </row>
    <row r="138" spans="2:7" s="177" customFormat="1" ht="16.5">
      <c r="B138" s="965"/>
      <c r="C138" s="220" t="s">
        <v>6161</v>
      </c>
      <c r="D138" s="221" t="s">
        <v>6162</v>
      </c>
      <c r="E138" s="221"/>
    </row>
    <row r="139" spans="2:7" s="177" customFormat="1" ht="16.5">
      <c r="B139" s="965" t="s">
        <v>6163</v>
      </c>
      <c r="C139" s="220" t="s">
        <v>6158</v>
      </c>
      <c r="D139" s="221" t="s">
        <v>6164</v>
      </c>
      <c r="E139" s="221" t="s">
        <v>6165</v>
      </c>
    </row>
    <row r="140" spans="2:7" s="177" customFormat="1" ht="16.5">
      <c r="B140" s="965"/>
      <c r="C140" s="220" t="s">
        <v>6161</v>
      </c>
      <c r="D140" s="221" t="s">
        <v>6166</v>
      </c>
      <c r="E140" s="221"/>
    </row>
    <row r="141" spans="2:7" s="177" customFormat="1" ht="16.5">
      <c r="B141" s="965"/>
      <c r="C141" s="220" t="s">
        <v>6158</v>
      </c>
      <c r="D141" s="221" t="s">
        <v>6167</v>
      </c>
      <c r="E141" s="221" t="s">
        <v>6168</v>
      </c>
    </row>
    <row r="142" spans="2:7" s="177" customFormat="1" ht="16.5">
      <c r="B142" s="965"/>
      <c r="C142" s="220" t="s">
        <v>6161</v>
      </c>
      <c r="D142" s="221" t="s">
        <v>6169</v>
      </c>
      <c r="E142" s="221"/>
    </row>
    <row r="143" spans="2:7" s="177" customFormat="1" ht="16.5">
      <c r="B143" s="965" t="s">
        <v>6170</v>
      </c>
      <c r="C143" s="220" t="s">
        <v>6158</v>
      </c>
      <c r="D143" s="221" t="s">
        <v>6171</v>
      </c>
      <c r="E143" s="221"/>
    </row>
    <row r="144" spans="2:7" s="177" customFormat="1" ht="16.5">
      <c r="B144" s="965"/>
      <c r="C144" s="220" t="s">
        <v>6161</v>
      </c>
      <c r="D144" s="221"/>
      <c r="E144" s="221"/>
    </row>
    <row r="145" spans="2:7" s="177" customFormat="1" ht="49.5">
      <c r="B145" s="965" t="s">
        <v>6202</v>
      </c>
      <c r="C145" s="220" t="s">
        <v>6158</v>
      </c>
      <c r="D145" s="221" t="s">
        <v>6203</v>
      </c>
      <c r="E145" s="220" t="s">
        <v>6204</v>
      </c>
      <c r="F145" s="225" t="s">
        <v>6205</v>
      </c>
    </row>
    <row r="146" spans="2:7" s="177" customFormat="1" ht="66">
      <c r="B146" s="965"/>
      <c r="C146" s="226" t="s">
        <v>6206</v>
      </c>
      <c r="D146" s="227" t="s">
        <v>6207</v>
      </c>
      <c r="E146" s="226" t="s">
        <v>6208</v>
      </c>
      <c r="F146" s="219"/>
    </row>
    <row r="147" spans="2:7" s="177" customFormat="1" ht="16.5">
      <c r="B147" s="965"/>
      <c r="C147" s="220" t="s">
        <v>6161</v>
      </c>
      <c r="D147" s="221" t="s">
        <v>6176</v>
      </c>
      <c r="E147" s="221" t="s">
        <v>6209</v>
      </c>
      <c r="F147" s="219"/>
    </row>
    <row r="148" spans="2:7" s="177" customFormat="1" ht="49.5">
      <c r="B148" s="220" t="s">
        <v>6178</v>
      </c>
      <c r="C148" s="220"/>
      <c r="D148" s="221"/>
      <c r="E148" s="221" t="s">
        <v>6179</v>
      </c>
      <c r="F148" s="219"/>
    </row>
    <row r="149" spans="2:7" s="177" customFormat="1" ht="66">
      <c r="B149" s="220" t="s">
        <v>6180</v>
      </c>
      <c r="C149" s="220"/>
      <c r="D149" s="221"/>
      <c r="E149" s="221" t="s">
        <v>6181</v>
      </c>
      <c r="F149" s="219"/>
    </row>
    <row r="150" spans="2:7" s="177" customFormat="1" ht="49.5">
      <c r="B150" s="965" t="s">
        <v>6182</v>
      </c>
      <c r="C150" s="220" t="s">
        <v>6158</v>
      </c>
      <c r="D150" s="221" t="s">
        <v>6183</v>
      </c>
      <c r="E150" s="224" t="s">
        <v>6210</v>
      </c>
      <c r="F150" s="225" t="s">
        <v>6211</v>
      </c>
    </row>
    <row r="151" spans="2:7" s="177" customFormat="1" ht="66">
      <c r="B151" s="965"/>
      <c r="C151" s="220" t="s">
        <v>6161</v>
      </c>
      <c r="D151" s="221" t="s">
        <v>6186</v>
      </c>
      <c r="E151" s="224" t="s">
        <v>6212</v>
      </c>
      <c r="F151" s="219"/>
    </row>
    <row r="152" spans="2:7" s="177" customFormat="1" ht="33">
      <c r="B152" s="965" t="s">
        <v>6188</v>
      </c>
      <c r="C152" s="220" t="s">
        <v>6158</v>
      </c>
      <c r="D152" s="221" t="s">
        <v>6189</v>
      </c>
      <c r="E152" s="224" t="s">
        <v>6213</v>
      </c>
      <c r="F152" s="219"/>
    </row>
    <row r="153" spans="2:7" s="177" customFormat="1" ht="16.5">
      <c r="B153" s="965"/>
      <c r="C153" s="220" t="s">
        <v>6161</v>
      </c>
      <c r="D153" s="221" t="s">
        <v>6191</v>
      </c>
      <c r="E153" s="224"/>
      <c r="F153" s="219"/>
    </row>
    <row r="154" spans="2:7" s="177" customFormat="1" ht="49.5">
      <c r="B154" s="965" t="s">
        <v>6192</v>
      </c>
      <c r="C154" s="220" t="s">
        <v>6158</v>
      </c>
      <c r="D154" s="221" t="s">
        <v>6193</v>
      </c>
      <c r="E154" s="224" t="s">
        <v>6214</v>
      </c>
      <c r="F154" s="225" t="s">
        <v>6215</v>
      </c>
    </row>
    <row r="155" spans="2:7" s="177" customFormat="1" ht="66">
      <c r="B155" s="965"/>
      <c r="C155" s="220" t="s">
        <v>6161</v>
      </c>
      <c r="D155" s="221" t="s">
        <v>6196</v>
      </c>
      <c r="E155" s="224" t="s">
        <v>6212</v>
      </c>
      <c r="F155" s="219"/>
    </row>
    <row r="156" spans="2:7" s="177" customFormat="1" ht="49.5">
      <c r="B156" s="965" t="s">
        <v>6197</v>
      </c>
      <c r="C156" s="220" t="s">
        <v>6158</v>
      </c>
      <c r="D156" s="221" t="s">
        <v>6198</v>
      </c>
      <c r="E156" s="224" t="s">
        <v>6216</v>
      </c>
    </row>
    <row r="157" spans="2:7" s="177" customFormat="1" ht="16.5">
      <c r="B157" s="965"/>
      <c r="C157" s="220" t="s">
        <v>6161</v>
      </c>
      <c r="D157" s="221" t="s">
        <v>6200</v>
      </c>
      <c r="E157" s="224"/>
    </row>
    <row r="158" spans="2:7" s="177" customFormat="1" ht="16.5">
      <c r="B158" s="228"/>
      <c r="C158" s="228"/>
      <c r="D158" s="229"/>
      <c r="E158" s="228"/>
    </row>
    <row r="159" spans="2:7" s="177" customFormat="1" ht="16.5">
      <c r="B159" s="971" t="s">
        <v>6217</v>
      </c>
      <c r="C159" s="970"/>
      <c r="D159" s="970"/>
      <c r="E159" s="970"/>
      <c r="F159" s="219"/>
      <c r="G159" s="219"/>
    </row>
    <row r="160" spans="2:7" s="177" customFormat="1" ht="16.5">
      <c r="B160" s="218" t="s">
        <v>6154</v>
      </c>
      <c r="C160" s="970" t="s">
        <v>6155</v>
      </c>
      <c r="D160" s="970"/>
      <c r="E160" s="218" t="s">
        <v>6156</v>
      </c>
      <c r="F160" s="219"/>
      <c r="G160" s="219"/>
    </row>
    <row r="161" spans="2:7" s="177" customFormat="1" ht="16.5">
      <c r="B161" s="965" t="s">
        <v>6157</v>
      </c>
      <c r="C161" s="220" t="s">
        <v>6158</v>
      </c>
      <c r="D161" s="221" t="s">
        <v>6159</v>
      </c>
      <c r="E161" s="221" t="s">
        <v>6160</v>
      </c>
      <c r="F161" s="219"/>
      <c r="G161" s="219"/>
    </row>
    <row r="162" spans="2:7" s="177" customFormat="1" ht="16.5">
      <c r="B162" s="965"/>
      <c r="C162" s="220" t="s">
        <v>6161</v>
      </c>
      <c r="D162" s="221" t="s">
        <v>6162</v>
      </c>
      <c r="E162" s="221"/>
      <c r="F162" s="219"/>
      <c r="G162" s="219"/>
    </row>
    <row r="163" spans="2:7" s="177" customFormat="1" ht="16.5">
      <c r="B163" s="965" t="s">
        <v>6163</v>
      </c>
      <c r="C163" s="220" t="s">
        <v>6158</v>
      </c>
      <c r="D163" s="221" t="s">
        <v>6164</v>
      </c>
      <c r="E163" s="221" t="s">
        <v>6165</v>
      </c>
      <c r="F163" s="219"/>
      <c r="G163" s="219"/>
    </row>
    <row r="164" spans="2:7" s="177" customFormat="1" ht="16.5">
      <c r="B164" s="965"/>
      <c r="C164" s="220" t="s">
        <v>6161</v>
      </c>
      <c r="D164" s="221" t="s">
        <v>6166</v>
      </c>
      <c r="E164" s="221"/>
      <c r="F164" s="219"/>
      <c r="G164" s="219"/>
    </row>
    <row r="165" spans="2:7" s="177" customFormat="1" ht="16.5">
      <c r="B165" s="965"/>
      <c r="C165" s="220" t="s">
        <v>6158</v>
      </c>
      <c r="D165" s="221" t="s">
        <v>6167</v>
      </c>
      <c r="E165" s="221" t="s">
        <v>6168</v>
      </c>
      <c r="F165" s="219"/>
      <c r="G165" s="219"/>
    </row>
    <row r="166" spans="2:7" s="177" customFormat="1" ht="16.5">
      <c r="B166" s="965"/>
      <c r="C166" s="220" t="s">
        <v>6161</v>
      </c>
      <c r="D166" s="221" t="s">
        <v>6169</v>
      </c>
      <c r="E166" s="221"/>
      <c r="F166" s="219"/>
      <c r="G166" s="219"/>
    </row>
    <row r="167" spans="2:7" s="177" customFormat="1" ht="16.5">
      <c r="B167" s="965" t="s">
        <v>6170</v>
      </c>
      <c r="C167" s="220" t="s">
        <v>6158</v>
      </c>
      <c r="D167" s="221" t="s">
        <v>6171</v>
      </c>
      <c r="E167" s="221"/>
      <c r="F167" s="219"/>
      <c r="G167" s="219"/>
    </row>
    <row r="168" spans="2:7" s="177" customFormat="1" ht="16.5">
      <c r="B168" s="965"/>
      <c r="C168" s="220" t="s">
        <v>6161</v>
      </c>
      <c r="D168" s="221"/>
      <c r="E168" s="221"/>
      <c r="F168" s="219"/>
      <c r="G168" s="219"/>
    </row>
    <row r="169" spans="2:7" s="177" customFormat="1" ht="49.5">
      <c r="B169" s="965" t="s">
        <v>6172</v>
      </c>
      <c r="C169" s="220" t="s">
        <v>6158</v>
      </c>
      <c r="D169" s="221" t="s">
        <v>6173</v>
      </c>
      <c r="E169" s="220" t="s">
        <v>6218</v>
      </c>
      <c r="F169" s="222" t="s">
        <v>6219</v>
      </c>
      <c r="G169" s="219"/>
    </row>
    <row r="170" spans="2:7" s="177" customFormat="1" ht="16.5">
      <c r="B170" s="965"/>
      <c r="C170" s="220" t="s">
        <v>6161</v>
      </c>
      <c r="D170" s="221" t="s">
        <v>6176</v>
      </c>
      <c r="E170" s="221" t="s">
        <v>6209</v>
      </c>
      <c r="F170" s="219"/>
      <c r="G170" s="219"/>
    </row>
    <row r="171" spans="2:7" s="177" customFormat="1" ht="49.5">
      <c r="B171" s="220" t="s">
        <v>6178</v>
      </c>
      <c r="C171" s="220"/>
      <c r="D171" s="221"/>
      <c r="E171" s="221" t="s">
        <v>6179</v>
      </c>
      <c r="F171" s="219"/>
      <c r="G171" s="219"/>
    </row>
    <row r="172" spans="2:7" s="177" customFormat="1" ht="66">
      <c r="B172" s="220" t="s">
        <v>6180</v>
      </c>
      <c r="C172" s="220"/>
      <c r="D172" s="221"/>
      <c r="E172" s="221" t="s">
        <v>6181</v>
      </c>
      <c r="F172" s="219"/>
      <c r="G172" s="219"/>
    </row>
    <row r="173" spans="2:7" s="177" customFormat="1" ht="33">
      <c r="B173" s="965" t="s">
        <v>6182</v>
      </c>
      <c r="C173" s="220" t="s">
        <v>6158</v>
      </c>
      <c r="D173" s="221" t="s">
        <v>6183</v>
      </c>
      <c r="E173" s="220" t="s">
        <v>6220</v>
      </c>
      <c r="F173" s="222" t="s">
        <v>6221</v>
      </c>
      <c r="G173" s="219"/>
    </row>
    <row r="174" spans="2:7" s="177" customFormat="1" ht="66">
      <c r="B174" s="965"/>
      <c r="C174" s="220" t="s">
        <v>6161</v>
      </c>
      <c r="D174" s="221" t="s">
        <v>6186</v>
      </c>
      <c r="E174" s="220" t="s">
        <v>6187</v>
      </c>
      <c r="F174" s="219"/>
      <c r="G174" s="219"/>
    </row>
    <row r="175" spans="2:7" s="177" customFormat="1" ht="16.5">
      <c r="B175" s="965" t="s">
        <v>6188</v>
      </c>
      <c r="C175" s="220" t="s">
        <v>6158</v>
      </c>
      <c r="D175" s="221" t="s">
        <v>6189</v>
      </c>
      <c r="E175" s="972" t="s">
        <v>6190</v>
      </c>
      <c r="F175" s="219"/>
      <c r="G175" s="219"/>
    </row>
    <row r="176" spans="2:7" s="177" customFormat="1" ht="16.5">
      <c r="B176" s="965"/>
      <c r="C176" s="220" t="s">
        <v>6161</v>
      </c>
      <c r="D176" s="221" t="s">
        <v>6191</v>
      </c>
      <c r="E176" s="973"/>
      <c r="F176" s="219"/>
      <c r="G176" s="219"/>
    </row>
    <row r="177" spans="2:7" s="177" customFormat="1" ht="33">
      <c r="B177" s="965" t="s">
        <v>6192</v>
      </c>
      <c r="C177" s="220" t="s">
        <v>6158</v>
      </c>
      <c r="D177" s="221" t="s">
        <v>6193</v>
      </c>
      <c r="E177" s="220" t="s">
        <v>6222</v>
      </c>
      <c r="F177" s="222" t="s">
        <v>6223</v>
      </c>
      <c r="G177" s="219"/>
    </row>
    <row r="178" spans="2:7" s="177" customFormat="1" ht="66">
      <c r="B178" s="965"/>
      <c r="C178" s="220" t="s">
        <v>6161</v>
      </c>
      <c r="D178" s="221" t="s">
        <v>6196</v>
      </c>
      <c r="E178" s="220" t="s">
        <v>6187</v>
      </c>
      <c r="F178" s="219"/>
      <c r="G178" s="219"/>
    </row>
    <row r="179" spans="2:7" s="177" customFormat="1" ht="16.5">
      <c r="B179" s="965" t="s">
        <v>6197</v>
      </c>
      <c r="C179" s="220" t="s">
        <v>6158</v>
      </c>
      <c r="D179" s="221" t="s">
        <v>6198</v>
      </c>
      <c r="E179" s="972" t="s">
        <v>6199</v>
      </c>
      <c r="F179" s="219"/>
      <c r="G179" s="219"/>
    </row>
    <row r="180" spans="2:7" s="177" customFormat="1" ht="16.5">
      <c r="B180" s="965"/>
      <c r="C180" s="220" t="s">
        <v>6161</v>
      </c>
      <c r="D180" s="221" t="s">
        <v>6200</v>
      </c>
      <c r="E180" s="973"/>
      <c r="F180" s="219"/>
      <c r="G180" s="219"/>
    </row>
    <row r="181" spans="2:7" s="177" customFormat="1" ht="14.25"/>
    <row r="182" spans="2:7" s="177" customFormat="1" ht="16.5">
      <c r="B182" s="971" t="s">
        <v>6224</v>
      </c>
      <c r="C182" s="970"/>
      <c r="D182" s="970"/>
      <c r="E182" s="970"/>
      <c r="F182" s="219"/>
    </row>
    <row r="183" spans="2:7" s="177" customFormat="1" ht="16.5">
      <c r="B183" s="218" t="s">
        <v>6154</v>
      </c>
      <c r="C183" s="970" t="s">
        <v>6155</v>
      </c>
      <c r="D183" s="970"/>
      <c r="E183" s="218" t="s">
        <v>6156</v>
      </c>
      <c r="F183" s="219"/>
    </row>
    <row r="184" spans="2:7" s="177" customFormat="1" ht="16.5">
      <c r="B184" s="965" t="s">
        <v>6157</v>
      </c>
      <c r="C184" s="220" t="s">
        <v>6158</v>
      </c>
      <c r="D184" s="221" t="s">
        <v>6159</v>
      </c>
      <c r="E184" s="221" t="s">
        <v>6160</v>
      </c>
      <c r="F184" s="219"/>
    </row>
    <row r="185" spans="2:7" s="177" customFormat="1" ht="16.5">
      <c r="B185" s="965"/>
      <c r="C185" s="220" t="s">
        <v>6161</v>
      </c>
      <c r="D185" s="221" t="s">
        <v>6162</v>
      </c>
      <c r="E185" s="221"/>
      <c r="F185" s="219"/>
    </row>
    <row r="186" spans="2:7" s="177" customFormat="1" ht="16.5">
      <c r="B186" s="965" t="s">
        <v>6163</v>
      </c>
      <c r="C186" s="220" t="s">
        <v>6158</v>
      </c>
      <c r="D186" s="221" t="s">
        <v>6164</v>
      </c>
      <c r="E186" s="221" t="s">
        <v>6165</v>
      </c>
      <c r="F186" s="219"/>
    </row>
    <row r="187" spans="2:7" s="177" customFormat="1" ht="16.5">
      <c r="B187" s="965"/>
      <c r="C187" s="220" t="s">
        <v>6161</v>
      </c>
      <c r="D187" s="221" t="s">
        <v>6166</v>
      </c>
      <c r="E187" s="221"/>
      <c r="F187" s="219"/>
    </row>
    <row r="188" spans="2:7" s="177" customFormat="1" ht="16.5">
      <c r="B188" s="965"/>
      <c r="C188" s="220" t="s">
        <v>6158</v>
      </c>
      <c r="D188" s="221" t="s">
        <v>6167</v>
      </c>
      <c r="E188" s="221" t="s">
        <v>6168</v>
      </c>
      <c r="F188" s="219"/>
    </row>
    <row r="189" spans="2:7" s="177" customFormat="1" ht="16.5">
      <c r="B189" s="965"/>
      <c r="C189" s="220" t="s">
        <v>6161</v>
      </c>
      <c r="D189" s="221" t="s">
        <v>6169</v>
      </c>
      <c r="E189" s="221"/>
      <c r="F189" s="219"/>
    </row>
    <row r="190" spans="2:7" s="177" customFormat="1" ht="16.5">
      <c r="B190" s="965" t="s">
        <v>6170</v>
      </c>
      <c r="C190" s="220" t="s">
        <v>6158</v>
      </c>
      <c r="D190" s="221" t="s">
        <v>6171</v>
      </c>
      <c r="E190" s="221"/>
      <c r="F190" s="219"/>
    </row>
    <row r="191" spans="2:7" s="177" customFormat="1" ht="16.5">
      <c r="B191" s="965"/>
      <c r="C191" s="220" t="s">
        <v>6161</v>
      </c>
      <c r="D191" s="221"/>
      <c r="E191" s="221"/>
      <c r="F191" s="219"/>
    </row>
    <row r="192" spans="2:7" s="177" customFormat="1" ht="66">
      <c r="B192" s="965" t="s">
        <v>6172</v>
      </c>
      <c r="C192" s="220" t="s">
        <v>6158</v>
      </c>
      <c r="D192" s="221" t="s">
        <v>6173</v>
      </c>
      <c r="E192" s="220" t="s">
        <v>6225</v>
      </c>
      <c r="F192" s="225" t="s">
        <v>6226</v>
      </c>
    </row>
    <row r="193" spans="2:6" s="177" customFormat="1" ht="66">
      <c r="B193" s="965"/>
      <c r="C193" s="230" t="s">
        <v>6206</v>
      </c>
      <c r="D193" s="231" t="s">
        <v>6207</v>
      </c>
      <c r="E193" s="230" t="s">
        <v>6208</v>
      </c>
      <c r="F193" s="225"/>
    </row>
    <row r="194" spans="2:6" s="177" customFormat="1" ht="16.5">
      <c r="B194" s="965"/>
      <c r="C194" s="220" t="s">
        <v>6161</v>
      </c>
      <c r="D194" s="221" t="s">
        <v>6176</v>
      </c>
      <c r="E194" s="221" t="s">
        <v>6209</v>
      </c>
      <c r="F194" s="219"/>
    </row>
    <row r="195" spans="2:6" s="177" customFormat="1" ht="49.5">
      <c r="B195" s="220" t="s">
        <v>6178</v>
      </c>
      <c r="C195" s="220"/>
      <c r="D195" s="221"/>
      <c r="E195" s="221" t="s">
        <v>6179</v>
      </c>
      <c r="F195" s="219"/>
    </row>
    <row r="196" spans="2:6" s="177" customFormat="1" ht="66">
      <c r="B196" s="220" t="s">
        <v>6180</v>
      </c>
      <c r="C196" s="220"/>
      <c r="D196" s="221"/>
      <c r="E196" s="221" t="s">
        <v>6181</v>
      </c>
      <c r="F196" s="219"/>
    </row>
    <row r="197" spans="2:6" s="177" customFormat="1" ht="49.5">
      <c r="B197" s="965" t="s">
        <v>6182</v>
      </c>
      <c r="C197" s="220" t="s">
        <v>6158</v>
      </c>
      <c r="D197" s="221" t="s">
        <v>6183</v>
      </c>
      <c r="E197" s="220" t="s">
        <v>6227</v>
      </c>
      <c r="F197" s="222" t="s">
        <v>6228</v>
      </c>
    </row>
    <row r="198" spans="2:6" s="177" customFormat="1" ht="66">
      <c r="B198" s="965"/>
      <c r="C198" s="220" t="s">
        <v>6161</v>
      </c>
      <c r="D198" s="221" t="s">
        <v>6186</v>
      </c>
      <c r="E198" s="220" t="s">
        <v>6187</v>
      </c>
      <c r="F198" s="219"/>
    </row>
    <row r="199" spans="2:6" s="177" customFormat="1" ht="16.5">
      <c r="B199" s="965" t="s">
        <v>6188</v>
      </c>
      <c r="C199" s="220" t="s">
        <v>6158</v>
      </c>
      <c r="D199" s="221" t="s">
        <v>6189</v>
      </c>
      <c r="E199" s="965" t="s">
        <v>6190</v>
      </c>
      <c r="F199" s="219"/>
    </row>
    <row r="200" spans="2:6" s="177" customFormat="1" ht="16.5">
      <c r="B200" s="965"/>
      <c r="C200" s="220" t="s">
        <v>6161</v>
      </c>
      <c r="D200" s="221" t="s">
        <v>6191</v>
      </c>
      <c r="E200" s="965"/>
      <c r="F200" s="219"/>
    </row>
    <row r="201" spans="2:6" s="177" customFormat="1" ht="49.5">
      <c r="B201" s="965" t="s">
        <v>6192</v>
      </c>
      <c r="C201" s="220" t="s">
        <v>6158</v>
      </c>
      <c r="D201" s="221" t="s">
        <v>6193</v>
      </c>
      <c r="E201" s="220" t="s">
        <v>6229</v>
      </c>
      <c r="F201" s="222" t="s">
        <v>6230</v>
      </c>
    </row>
    <row r="202" spans="2:6" s="177" customFormat="1" ht="66">
      <c r="B202" s="965"/>
      <c r="C202" s="220" t="s">
        <v>6161</v>
      </c>
      <c r="D202" s="221" t="s">
        <v>6196</v>
      </c>
      <c r="E202" s="220" t="s">
        <v>6187</v>
      </c>
      <c r="F202" s="219"/>
    </row>
    <row r="203" spans="2:6" s="177" customFormat="1" ht="16.5">
      <c r="B203" s="965" t="s">
        <v>6197</v>
      </c>
      <c r="C203" s="220" t="s">
        <v>6158</v>
      </c>
      <c r="D203" s="221" t="s">
        <v>6198</v>
      </c>
      <c r="E203" s="965" t="s">
        <v>6199</v>
      </c>
    </row>
    <row r="204" spans="2:6" s="177" customFormat="1" ht="16.5">
      <c r="B204" s="965"/>
      <c r="C204" s="220" t="s">
        <v>6161</v>
      </c>
      <c r="D204" s="221" t="s">
        <v>6200</v>
      </c>
      <c r="E204" s="965"/>
    </row>
    <row r="205" spans="2:6" s="177" customFormat="1" ht="14.25"/>
    <row r="206" spans="2:6" s="177" customFormat="1" ht="14.25"/>
    <row r="207" spans="2:6" s="177" customFormat="1" ht="14.25"/>
    <row r="208" spans="2:6" s="177" customFormat="1" ht="16.5">
      <c r="B208" s="967" t="s">
        <v>6231</v>
      </c>
      <c r="C208" s="968"/>
      <c r="D208" s="968"/>
      <c r="E208" s="969"/>
      <c r="F208" s="219"/>
    </row>
    <row r="209" spans="2:9" s="177" customFormat="1" ht="16.5">
      <c r="B209" s="218" t="s">
        <v>6154</v>
      </c>
      <c r="C209" s="970" t="s">
        <v>6155</v>
      </c>
      <c r="D209" s="970"/>
      <c r="E209" s="218" t="s">
        <v>6156</v>
      </c>
      <c r="F209" s="219"/>
    </row>
    <row r="210" spans="2:9" s="177" customFormat="1" ht="16.5">
      <c r="B210" s="965" t="s">
        <v>6157</v>
      </c>
      <c r="C210" s="220" t="s">
        <v>6158</v>
      </c>
      <c r="D210" s="221" t="s">
        <v>6159</v>
      </c>
      <c r="E210" s="221" t="s">
        <v>6160</v>
      </c>
      <c r="F210" s="219"/>
    </row>
    <row r="211" spans="2:9" s="177" customFormat="1" ht="16.5">
      <c r="B211" s="965"/>
      <c r="C211" s="220" t="s">
        <v>6161</v>
      </c>
      <c r="D211" s="221" t="s">
        <v>6162</v>
      </c>
      <c r="E211" s="221"/>
      <c r="F211" s="219"/>
    </row>
    <row r="212" spans="2:9" s="177" customFormat="1" ht="16.5">
      <c r="B212" s="965" t="s">
        <v>6163</v>
      </c>
      <c r="C212" s="220" t="s">
        <v>6158</v>
      </c>
      <c r="D212" s="221" t="s">
        <v>6164</v>
      </c>
      <c r="E212" s="221" t="s">
        <v>6165</v>
      </c>
      <c r="F212" s="219"/>
    </row>
    <row r="213" spans="2:9" s="177" customFormat="1" ht="16.5">
      <c r="B213" s="965"/>
      <c r="C213" s="220" t="s">
        <v>6161</v>
      </c>
      <c r="D213" s="221" t="s">
        <v>6166</v>
      </c>
      <c r="E213" s="221"/>
      <c r="F213" s="219"/>
    </row>
    <row r="214" spans="2:9" s="177" customFormat="1" ht="16.5">
      <c r="B214" s="965"/>
      <c r="C214" s="220" t="s">
        <v>6158</v>
      </c>
      <c r="D214" s="221" t="s">
        <v>6167</v>
      </c>
      <c r="E214" s="221" t="s">
        <v>6168</v>
      </c>
      <c r="F214" s="219"/>
    </row>
    <row r="215" spans="2:9" s="177" customFormat="1" ht="16.5">
      <c r="B215" s="965"/>
      <c r="C215" s="220" t="s">
        <v>6161</v>
      </c>
      <c r="D215" s="221" t="s">
        <v>6169</v>
      </c>
      <c r="E215" s="221"/>
      <c r="F215" s="219"/>
    </row>
    <row r="216" spans="2:9" s="177" customFormat="1" ht="16.5">
      <c r="B216" s="965" t="s">
        <v>6170</v>
      </c>
      <c r="C216" s="220" t="s">
        <v>6158</v>
      </c>
      <c r="D216" s="221" t="s">
        <v>6171</v>
      </c>
      <c r="E216" s="221"/>
      <c r="F216" s="219"/>
    </row>
    <row r="217" spans="2:9" s="177" customFormat="1" ht="16.5">
      <c r="B217" s="965"/>
      <c r="C217" s="220" t="s">
        <v>6161</v>
      </c>
      <c r="D217" s="221"/>
      <c r="E217" s="221"/>
      <c r="F217" s="219"/>
    </row>
    <row r="218" spans="2:9" s="177" customFormat="1" ht="49.5">
      <c r="B218" s="965" t="s">
        <v>6172</v>
      </c>
      <c r="C218" s="220" t="s">
        <v>6158</v>
      </c>
      <c r="D218" s="221" t="s">
        <v>6173</v>
      </c>
      <c r="E218" s="220" t="s">
        <v>6232</v>
      </c>
      <c r="F218" s="225" t="s">
        <v>6233</v>
      </c>
    </row>
    <row r="219" spans="2:9" s="177" customFormat="1" ht="16.5">
      <c r="B219" s="965"/>
      <c r="C219" s="220" t="s">
        <v>6161</v>
      </c>
      <c r="D219" s="221" t="s">
        <v>6176</v>
      </c>
      <c r="E219" s="223" t="s">
        <v>6177</v>
      </c>
      <c r="F219" s="219"/>
    </row>
    <row r="220" spans="2:9" s="177" customFormat="1" ht="49.5">
      <c r="B220" s="220" t="s">
        <v>6178</v>
      </c>
      <c r="C220" s="220"/>
      <c r="D220" s="221"/>
      <c r="E220" s="221" t="s">
        <v>6179</v>
      </c>
      <c r="F220" s="219"/>
    </row>
    <row r="221" spans="2:9" s="177" customFormat="1" ht="66">
      <c r="B221" s="220" t="s">
        <v>6180</v>
      </c>
      <c r="C221" s="220"/>
      <c r="D221" s="221"/>
      <c r="E221" s="221" t="s">
        <v>6181</v>
      </c>
      <c r="F221" s="219"/>
    </row>
    <row r="222" spans="2:9" s="177" customFormat="1" ht="49.5">
      <c r="B222" s="965" t="s">
        <v>6182</v>
      </c>
      <c r="C222" s="220" t="s">
        <v>6158</v>
      </c>
      <c r="D222" s="221" t="s">
        <v>6183</v>
      </c>
      <c r="E222" s="224" t="s">
        <v>6234</v>
      </c>
      <c r="F222" s="225" t="s">
        <v>6235</v>
      </c>
    </row>
    <row r="223" spans="2:9" s="177" customFormat="1" ht="66">
      <c r="B223" s="965"/>
      <c r="C223" s="220" t="s">
        <v>6161</v>
      </c>
      <c r="D223" s="221" t="s">
        <v>6186</v>
      </c>
      <c r="E223" s="220" t="s">
        <v>6187</v>
      </c>
      <c r="F223" s="219"/>
      <c r="G223" s="219"/>
      <c r="H223" s="219"/>
      <c r="I223" s="219"/>
    </row>
    <row r="224" spans="2:9" s="177" customFormat="1" ht="16.5">
      <c r="B224" s="965" t="s">
        <v>6188</v>
      </c>
      <c r="C224" s="220" t="s">
        <v>6158</v>
      </c>
      <c r="D224" s="221" t="s">
        <v>6189</v>
      </c>
      <c r="E224" s="965" t="s">
        <v>6190</v>
      </c>
      <c r="F224" s="219"/>
      <c r="G224" s="219"/>
      <c r="H224" s="219"/>
      <c r="I224" s="219"/>
    </row>
    <row r="225" spans="2:9" s="177" customFormat="1" ht="16.5">
      <c r="B225" s="965"/>
      <c r="C225" s="220" t="s">
        <v>6161</v>
      </c>
      <c r="D225" s="221" t="s">
        <v>6191</v>
      </c>
      <c r="E225" s="965"/>
      <c r="F225" s="219"/>
      <c r="G225" s="219"/>
      <c r="H225" s="219"/>
      <c r="I225" s="219"/>
    </row>
    <row r="226" spans="2:9" s="177" customFormat="1" ht="49.5">
      <c r="B226" s="965" t="s">
        <v>6172</v>
      </c>
      <c r="C226" s="220" t="s">
        <v>6158</v>
      </c>
      <c r="D226" s="221" t="s">
        <v>6198</v>
      </c>
      <c r="E226" s="220" t="s">
        <v>6236</v>
      </c>
      <c r="F226" s="225" t="s">
        <v>6237</v>
      </c>
      <c r="G226" s="219"/>
      <c r="H226" s="219"/>
      <c r="I226" s="219"/>
    </row>
    <row r="227" spans="2:9" s="177" customFormat="1" ht="16.5">
      <c r="B227" s="965"/>
      <c r="C227" s="220" t="s">
        <v>6161</v>
      </c>
      <c r="D227" s="221" t="s">
        <v>6200</v>
      </c>
      <c r="E227" s="223" t="s">
        <v>6238</v>
      </c>
      <c r="F227" s="219"/>
      <c r="G227" s="219"/>
      <c r="H227" s="219"/>
      <c r="I227" s="219"/>
    </row>
    <row r="228" spans="2:9" s="177" customFormat="1" ht="49.5">
      <c r="B228" s="220" t="s">
        <v>6178</v>
      </c>
      <c r="C228" s="220"/>
      <c r="D228" s="221"/>
      <c r="E228" s="223" t="s">
        <v>6239</v>
      </c>
      <c r="F228" s="219"/>
      <c r="G228" s="219"/>
      <c r="H228" s="219"/>
      <c r="I228" s="219"/>
    </row>
    <row r="229" spans="2:9" s="177" customFormat="1" ht="66">
      <c r="B229" s="220" t="s">
        <v>6180</v>
      </c>
      <c r="C229" s="220"/>
      <c r="D229" s="221"/>
      <c r="E229" s="223" t="s">
        <v>6240</v>
      </c>
      <c r="F229" s="219"/>
      <c r="G229" s="219"/>
      <c r="H229" s="219"/>
      <c r="I229" s="219"/>
    </row>
    <row r="230" spans="2:9" s="177" customFormat="1" ht="49.5">
      <c r="B230" s="965" t="s">
        <v>6182</v>
      </c>
      <c r="C230" s="220" t="s">
        <v>6158</v>
      </c>
      <c r="D230" s="221" t="s">
        <v>6241</v>
      </c>
      <c r="E230" s="224" t="s">
        <v>6242</v>
      </c>
      <c r="F230" s="225" t="s">
        <v>6243</v>
      </c>
      <c r="G230" s="219"/>
      <c r="H230" s="219"/>
      <c r="I230" s="219"/>
    </row>
    <row r="231" spans="2:9" s="177" customFormat="1" ht="66">
      <c r="B231" s="965"/>
      <c r="C231" s="220" t="s">
        <v>6161</v>
      </c>
      <c r="D231" s="221" t="s">
        <v>6244</v>
      </c>
      <c r="E231" s="224" t="s">
        <v>6212</v>
      </c>
      <c r="F231" s="219"/>
      <c r="G231" s="219"/>
      <c r="H231" s="219"/>
      <c r="I231" s="219"/>
    </row>
    <row r="232" spans="2:9" s="177" customFormat="1" ht="16.5">
      <c r="B232" s="965" t="s">
        <v>6188</v>
      </c>
      <c r="C232" s="220" t="s">
        <v>6158</v>
      </c>
      <c r="D232" s="221" t="s">
        <v>6245</v>
      </c>
      <c r="E232" s="966" t="s">
        <v>6246</v>
      </c>
      <c r="F232" s="219"/>
      <c r="G232" s="219"/>
      <c r="H232" s="219"/>
      <c r="I232" s="219"/>
    </row>
    <row r="233" spans="2:9" s="177" customFormat="1" ht="16.5">
      <c r="B233" s="965"/>
      <c r="C233" s="220" t="s">
        <v>6161</v>
      </c>
      <c r="D233" s="221" t="s">
        <v>6247</v>
      </c>
      <c r="E233" s="966"/>
      <c r="F233" s="219"/>
      <c r="G233" s="219"/>
      <c r="H233" s="219"/>
      <c r="I233" s="219"/>
    </row>
    <row r="234" spans="2:9" s="177" customFormat="1" ht="49.5">
      <c r="B234" s="965" t="s">
        <v>6172</v>
      </c>
      <c r="C234" s="220" t="s">
        <v>6158</v>
      </c>
      <c r="D234" s="221" t="s">
        <v>6248</v>
      </c>
      <c r="E234" s="224" t="s">
        <v>6249</v>
      </c>
      <c r="F234" s="225" t="s">
        <v>6250</v>
      </c>
      <c r="G234" s="219"/>
      <c r="H234" s="219"/>
      <c r="I234" s="219"/>
    </row>
    <row r="235" spans="2:9" s="177" customFormat="1" ht="16.5">
      <c r="B235" s="965"/>
      <c r="C235" s="220" t="s">
        <v>6161</v>
      </c>
      <c r="D235" s="221" t="s">
        <v>6251</v>
      </c>
      <c r="E235" s="223" t="s">
        <v>6252</v>
      </c>
      <c r="F235" s="219"/>
      <c r="G235" s="219"/>
      <c r="H235" s="219"/>
      <c r="I235" s="219"/>
    </row>
    <row r="236" spans="2:9" s="177" customFormat="1" ht="49.5">
      <c r="B236" s="220" t="s">
        <v>6178</v>
      </c>
      <c r="C236" s="220"/>
      <c r="D236" s="221"/>
      <c r="E236" s="223" t="s">
        <v>6239</v>
      </c>
      <c r="F236" s="219"/>
      <c r="G236" s="219"/>
      <c r="H236" s="219"/>
      <c r="I236" s="219"/>
    </row>
    <row r="237" spans="2:9" s="177" customFormat="1" ht="66">
      <c r="B237" s="220" t="s">
        <v>6180</v>
      </c>
      <c r="C237" s="220"/>
      <c r="D237" s="221"/>
      <c r="E237" s="223" t="s">
        <v>6240</v>
      </c>
      <c r="F237" s="219"/>
      <c r="G237" s="219"/>
      <c r="H237" s="219"/>
      <c r="I237" s="219"/>
    </row>
    <row r="238" spans="2:9" s="177" customFormat="1" ht="49.5">
      <c r="B238" s="965" t="s">
        <v>6182</v>
      </c>
      <c r="C238" s="220" t="s">
        <v>6158</v>
      </c>
      <c r="D238" s="221" t="s">
        <v>6253</v>
      </c>
      <c r="E238" s="224" t="s">
        <v>6254</v>
      </c>
      <c r="F238" s="225" t="s">
        <v>6255</v>
      </c>
      <c r="G238" s="219"/>
      <c r="H238" s="219"/>
      <c r="I238" s="219"/>
    </row>
    <row r="239" spans="2:9" s="177" customFormat="1" ht="66">
      <c r="B239" s="965"/>
      <c r="C239" s="220" t="s">
        <v>6161</v>
      </c>
      <c r="D239" s="221" t="s">
        <v>6256</v>
      </c>
      <c r="E239" s="224" t="s">
        <v>6212</v>
      </c>
      <c r="F239" s="219"/>
      <c r="G239" s="219"/>
      <c r="H239" s="219"/>
      <c r="I239" s="219"/>
    </row>
    <row r="240" spans="2:9" s="177" customFormat="1" ht="16.5">
      <c r="B240" s="965" t="s">
        <v>6188</v>
      </c>
      <c r="C240" s="220" t="s">
        <v>6158</v>
      </c>
      <c r="D240" s="221" t="s">
        <v>6257</v>
      </c>
      <c r="E240" s="966" t="s">
        <v>6258</v>
      </c>
      <c r="F240" s="219"/>
      <c r="G240" s="219"/>
      <c r="H240" s="219"/>
      <c r="I240" s="219"/>
    </row>
    <row r="241" spans="2:6" s="177" customFormat="1" ht="16.5">
      <c r="B241" s="965"/>
      <c r="C241" s="220" t="s">
        <v>6161</v>
      </c>
      <c r="D241" s="221" t="s">
        <v>6259</v>
      </c>
      <c r="E241" s="966"/>
      <c r="F241" s="219"/>
    </row>
    <row r="242" spans="2:6" s="177" customFormat="1" ht="14.25"/>
    <row r="243" spans="2:6" s="177" customFormat="1" ht="14.25"/>
    <row r="244" spans="2:6" s="177" customFormat="1" ht="14.25"/>
    <row r="245" spans="2:6" s="177" customFormat="1" ht="16.5">
      <c r="B245" s="967" t="s">
        <v>6260</v>
      </c>
      <c r="C245" s="968"/>
      <c r="D245" s="968"/>
      <c r="E245" s="969"/>
      <c r="F245" s="219"/>
    </row>
    <row r="246" spans="2:6" s="177" customFormat="1" ht="16.5">
      <c r="B246" s="218" t="s">
        <v>6154</v>
      </c>
      <c r="C246" s="970" t="s">
        <v>6155</v>
      </c>
      <c r="D246" s="970"/>
      <c r="E246" s="218" t="s">
        <v>6156</v>
      </c>
      <c r="F246" s="219"/>
    </row>
    <row r="247" spans="2:6" s="177" customFormat="1" ht="16.5">
      <c r="B247" s="965" t="s">
        <v>6157</v>
      </c>
      <c r="C247" s="220" t="s">
        <v>6158</v>
      </c>
      <c r="D247" s="221" t="s">
        <v>6159</v>
      </c>
      <c r="E247" s="221" t="s">
        <v>6160</v>
      </c>
      <c r="F247" s="219"/>
    </row>
    <row r="248" spans="2:6" s="177" customFormat="1" ht="16.5">
      <c r="B248" s="965"/>
      <c r="C248" s="220" t="s">
        <v>6161</v>
      </c>
      <c r="D248" s="221" t="s">
        <v>6162</v>
      </c>
      <c r="E248" s="221"/>
      <c r="F248" s="219"/>
    </row>
    <row r="249" spans="2:6" s="177" customFormat="1" ht="16.5">
      <c r="B249" s="965" t="s">
        <v>6163</v>
      </c>
      <c r="C249" s="220" t="s">
        <v>6158</v>
      </c>
      <c r="D249" s="221" t="s">
        <v>6164</v>
      </c>
      <c r="E249" s="221" t="s">
        <v>6165</v>
      </c>
      <c r="F249" s="219"/>
    </row>
    <row r="250" spans="2:6" s="177" customFormat="1" ht="16.5">
      <c r="B250" s="965"/>
      <c r="C250" s="220" t="s">
        <v>6161</v>
      </c>
      <c r="D250" s="221" t="s">
        <v>6166</v>
      </c>
      <c r="E250" s="221"/>
      <c r="F250" s="219"/>
    </row>
    <row r="251" spans="2:6" s="177" customFormat="1" ht="16.5">
      <c r="B251" s="965"/>
      <c r="C251" s="220" t="s">
        <v>6158</v>
      </c>
      <c r="D251" s="221" t="s">
        <v>6167</v>
      </c>
      <c r="E251" s="221" t="s">
        <v>6168</v>
      </c>
      <c r="F251" s="219"/>
    </row>
    <row r="252" spans="2:6" s="177" customFormat="1" ht="16.5">
      <c r="B252" s="965"/>
      <c r="C252" s="220" t="s">
        <v>6161</v>
      </c>
      <c r="D252" s="221" t="s">
        <v>6169</v>
      </c>
      <c r="E252" s="221"/>
      <c r="F252" s="219"/>
    </row>
    <row r="253" spans="2:6" s="177" customFormat="1" ht="16.5">
      <c r="B253" s="965" t="s">
        <v>6170</v>
      </c>
      <c r="C253" s="220" t="s">
        <v>6158</v>
      </c>
      <c r="D253" s="221" t="s">
        <v>6171</v>
      </c>
      <c r="E253" s="221"/>
      <c r="F253" s="219"/>
    </row>
    <row r="254" spans="2:6" s="177" customFormat="1" ht="16.5">
      <c r="B254" s="965"/>
      <c r="C254" s="220" t="s">
        <v>6161</v>
      </c>
      <c r="D254" s="221"/>
      <c r="E254" s="221"/>
      <c r="F254" s="219"/>
    </row>
    <row r="255" spans="2:6" s="177" customFormat="1" ht="49.5">
      <c r="B255" s="965" t="s">
        <v>6172</v>
      </c>
      <c r="C255" s="220" t="s">
        <v>6158</v>
      </c>
      <c r="D255" s="221" t="s">
        <v>6173</v>
      </c>
      <c r="E255" s="220" t="s">
        <v>6261</v>
      </c>
      <c r="F255" s="225" t="s">
        <v>6262</v>
      </c>
    </row>
    <row r="256" spans="2:6" s="177" customFormat="1" ht="16.5">
      <c r="B256" s="965"/>
      <c r="C256" s="220" t="s">
        <v>6161</v>
      </c>
      <c r="D256" s="221" t="s">
        <v>6176</v>
      </c>
      <c r="E256" s="223" t="s">
        <v>6263</v>
      </c>
      <c r="F256" s="219"/>
    </row>
    <row r="257" spans="2:6" s="177" customFormat="1" ht="49.5">
      <c r="B257" s="220" t="s">
        <v>6178</v>
      </c>
      <c r="C257" s="220"/>
      <c r="D257" s="221"/>
      <c r="E257" s="223" t="s">
        <v>6239</v>
      </c>
      <c r="F257" s="219"/>
    </row>
    <row r="258" spans="2:6" s="177" customFormat="1" ht="66">
      <c r="B258" s="220" t="s">
        <v>6180</v>
      </c>
      <c r="C258" s="220"/>
      <c r="D258" s="221"/>
      <c r="E258" s="223" t="s">
        <v>6240</v>
      </c>
      <c r="F258" s="219"/>
    </row>
    <row r="259" spans="2:6" s="177" customFormat="1" ht="49.5">
      <c r="B259" s="965" t="s">
        <v>6182</v>
      </c>
      <c r="C259" s="220" t="s">
        <v>6158</v>
      </c>
      <c r="D259" s="221" t="s">
        <v>6183</v>
      </c>
      <c r="E259" s="224" t="s">
        <v>6264</v>
      </c>
      <c r="F259" s="225" t="s">
        <v>6265</v>
      </c>
    </row>
    <row r="260" spans="2:6" s="177" customFormat="1" ht="66">
      <c r="B260" s="965"/>
      <c r="C260" s="220" t="s">
        <v>6161</v>
      </c>
      <c r="D260" s="221" t="s">
        <v>6186</v>
      </c>
      <c r="E260" s="224" t="s">
        <v>6212</v>
      </c>
      <c r="F260" s="219"/>
    </row>
    <row r="261" spans="2:6" s="177" customFormat="1" ht="16.5">
      <c r="B261" s="965" t="s">
        <v>6188</v>
      </c>
      <c r="C261" s="220" t="s">
        <v>6158</v>
      </c>
      <c r="D261" s="221" t="s">
        <v>6189</v>
      </c>
      <c r="E261" s="966" t="s">
        <v>6213</v>
      </c>
      <c r="F261" s="219"/>
    </row>
    <row r="262" spans="2:6" s="177" customFormat="1" ht="16.5">
      <c r="B262" s="965"/>
      <c r="C262" s="220" t="s">
        <v>6161</v>
      </c>
      <c r="D262" s="221" t="s">
        <v>6191</v>
      </c>
      <c r="E262" s="966"/>
      <c r="F262" s="219"/>
    </row>
    <row r="263" spans="2:6" s="177" customFormat="1" ht="14.25"/>
    <row r="264" spans="2:6" s="177" customFormat="1" ht="14.25"/>
    <row r="265" spans="2:6" s="177" customFormat="1" ht="14.25"/>
    <row r="266" spans="2:6" s="177" customFormat="1" ht="16.5">
      <c r="B266" s="967" t="s">
        <v>6266</v>
      </c>
      <c r="C266" s="968"/>
      <c r="D266" s="968"/>
      <c r="E266" s="969"/>
      <c r="F266" s="219"/>
    </row>
    <row r="267" spans="2:6" s="177" customFormat="1" ht="16.5">
      <c r="B267" s="218" t="s">
        <v>6267</v>
      </c>
      <c r="C267" s="970" t="s">
        <v>6268</v>
      </c>
      <c r="D267" s="970"/>
      <c r="E267" s="218" t="s">
        <v>6269</v>
      </c>
      <c r="F267" s="219"/>
    </row>
    <row r="268" spans="2:6" s="177" customFormat="1" ht="16.5">
      <c r="B268" s="965" t="s">
        <v>6270</v>
      </c>
      <c r="C268" s="220" t="s">
        <v>6271</v>
      </c>
      <c r="D268" s="221" t="s">
        <v>6272</v>
      </c>
      <c r="E268" s="221" t="s">
        <v>6273</v>
      </c>
      <c r="F268" s="219"/>
    </row>
    <row r="269" spans="2:6" s="177" customFormat="1" ht="16.5">
      <c r="B269" s="965"/>
      <c r="C269" s="220" t="s">
        <v>6274</v>
      </c>
      <c r="D269" s="221" t="s">
        <v>6275</v>
      </c>
      <c r="E269" s="221"/>
      <c r="F269" s="219"/>
    </row>
    <row r="270" spans="2:6" s="177" customFormat="1" ht="16.5">
      <c r="B270" s="965" t="s">
        <v>6276</v>
      </c>
      <c r="C270" s="220" t="s">
        <v>6271</v>
      </c>
      <c r="D270" s="221" t="s">
        <v>6277</v>
      </c>
      <c r="E270" s="221" t="s">
        <v>6278</v>
      </c>
      <c r="F270" s="219"/>
    </row>
    <row r="271" spans="2:6" s="177" customFormat="1" ht="16.5">
      <c r="B271" s="965"/>
      <c r="C271" s="220" t="s">
        <v>6274</v>
      </c>
      <c r="D271" s="221" t="s">
        <v>6279</v>
      </c>
      <c r="E271" s="221"/>
      <c r="F271" s="219"/>
    </row>
    <row r="272" spans="2:6" s="177" customFormat="1" ht="16.5">
      <c r="B272" s="965"/>
      <c r="C272" s="220" t="s">
        <v>6271</v>
      </c>
      <c r="D272" s="221" t="s">
        <v>6280</v>
      </c>
      <c r="E272" s="221" t="s">
        <v>6281</v>
      </c>
      <c r="F272" s="219"/>
    </row>
    <row r="273" spans="2:7" s="177" customFormat="1" ht="16.5">
      <c r="B273" s="965"/>
      <c r="C273" s="220" t="s">
        <v>6274</v>
      </c>
      <c r="D273" s="221" t="s">
        <v>6282</v>
      </c>
      <c r="E273" s="221"/>
      <c r="F273" s="219"/>
    </row>
    <row r="274" spans="2:7" s="177" customFormat="1" ht="16.5">
      <c r="B274" s="965" t="s">
        <v>6283</v>
      </c>
      <c r="C274" s="220" t="s">
        <v>6271</v>
      </c>
      <c r="D274" s="221" t="s">
        <v>6284</v>
      </c>
      <c r="E274" s="221"/>
      <c r="F274" s="219"/>
    </row>
    <row r="275" spans="2:7" s="177" customFormat="1" ht="16.5">
      <c r="B275" s="965"/>
      <c r="C275" s="220" t="s">
        <v>6274</v>
      </c>
      <c r="D275" s="221"/>
      <c r="E275" s="221"/>
      <c r="F275" s="219"/>
    </row>
    <row r="276" spans="2:7" s="177" customFormat="1" ht="33">
      <c r="B276" s="965" t="s">
        <v>6285</v>
      </c>
      <c r="C276" s="220" t="s">
        <v>6271</v>
      </c>
      <c r="D276" s="221" t="s">
        <v>6286</v>
      </c>
      <c r="E276" s="224" t="s">
        <v>6287</v>
      </c>
      <c r="F276" s="297" t="s">
        <v>6288</v>
      </c>
    </row>
    <row r="277" spans="2:7" s="177" customFormat="1" ht="49.5">
      <c r="B277" s="965"/>
      <c r="C277" s="220" t="s">
        <v>6274</v>
      </c>
      <c r="D277" s="221" t="s">
        <v>6289</v>
      </c>
      <c r="E277" s="220" t="s">
        <v>6290</v>
      </c>
      <c r="F277" s="219"/>
    </row>
    <row r="278" spans="2:7" s="177" customFormat="1" ht="33" customHeight="1">
      <c r="B278" s="965" t="s">
        <v>6291</v>
      </c>
      <c r="C278" s="220" t="s">
        <v>6271</v>
      </c>
      <c r="D278" s="298" t="s">
        <v>6292</v>
      </c>
      <c r="E278" s="964" t="s">
        <v>6293</v>
      </c>
      <c r="F278" s="299" t="s">
        <v>6294</v>
      </c>
    </row>
    <row r="279" spans="2:7" s="177" customFormat="1" ht="45.75" customHeight="1">
      <c r="B279" s="965"/>
      <c r="C279" s="220" t="s">
        <v>6274</v>
      </c>
      <c r="D279" s="298" t="s">
        <v>6295</v>
      </c>
      <c r="E279" s="964"/>
    </row>
    <row r="280" spans="2:7" s="177" customFormat="1" ht="14.25"/>
    <row r="281" spans="2:7" s="177" customFormat="1" ht="14.25"/>
    <row r="282" spans="2:7" s="177" customFormat="1" ht="14.25"/>
    <row r="283" spans="2:7" s="177" customFormat="1" ht="14.25"/>
    <row r="284" spans="2:7" s="177" customFormat="1" ht="16.5">
      <c r="B284" s="962" t="s">
        <v>6296</v>
      </c>
      <c r="C284" s="963"/>
      <c r="D284" s="963"/>
      <c r="E284" s="963"/>
      <c r="F284" s="233"/>
      <c r="G284" s="233"/>
    </row>
    <row r="285" spans="2:7" s="177" customFormat="1" ht="16.5">
      <c r="B285" s="232" t="s">
        <v>6154</v>
      </c>
      <c r="C285" s="963" t="s">
        <v>6155</v>
      </c>
      <c r="D285" s="963"/>
      <c r="E285" s="232" t="s">
        <v>6156</v>
      </c>
      <c r="F285" s="233"/>
      <c r="G285" s="233"/>
    </row>
    <row r="286" spans="2:7" s="177" customFormat="1" ht="16.5">
      <c r="B286" s="960" t="s">
        <v>6157</v>
      </c>
      <c r="C286" s="234" t="s">
        <v>6158</v>
      </c>
      <c r="D286" s="235" t="s">
        <v>6297</v>
      </c>
      <c r="E286" s="235" t="s">
        <v>6160</v>
      </c>
      <c r="F286" s="233"/>
      <c r="G286" s="233"/>
    </row>
    <row r="287" spans="2:7" s="177" customFormat="1" ht="16.5">
      <c r="B287" s="960"/>
      <c r="C287" s="234" t="s">
        <v>6161</v>
      </c>
      <c r="D287" s="235" t="s">
        <v>6298</v>
      </c>
      <c r="E287" s="235"/>
      <c r="F287" s="233"/>
      <c r="G287" s="233"/>
    </row>
    <row r="288" spans="2:7" s="177" customFormat="1" ht="16.5">
      <c r="B288" s="960" t="s">
        <v>6163</v>
      </c>
      <c r="C288" s="234" t="s">
        <v>6158</v>
      </c>
      <c r="D288" s="235" t="s">
        <v>6164</v>
      </c>
      <c r="E288" s="235" t="s">
        <v>6165</v>
      </c>
      <c r="F288" s="233"/>
      <c r="G288" s="233"/>
    </row>
    <row r="289" spans="2:7" s="177" customFormat="1" ht="16.5">
      <c r="B289" s="960"/>
      <c r="C289" s="234" t="s">
        <v>6161</v>
      </c>
      <c r="D289" s="235" t="s">
        <v>6166</v>
      </c>
      <c r="E289" s="235"/>
      <c r="F289" s="233"/>
      <c r="G289" s="233"/>
    </row>
    <row r="290" spans="2:7" s="177" customFormat="1" ht="16.5">
      <c r="B290" s="960"/>
      <c r="C290" s="234" t="s">
        <v>6158</v>
      </c>
      <c r="D290" s="235" t="s">
        <v>6167</v>
      </c>
      <c r="E290" s="235" t="s">
        <v>6168</v>
      </c>
      <c r="F290" s="233"/>
      <c r="G290" s="233"/>
    </row>
    <row r="291" spans="2:7" s="177" customFormat="1" ht="16.5">
      <c r="B291" s="960"/>
      <c r="C291" s="234" t="s">
        <v>6161</v>
      </c>
      <c r="D291" s="235" t="s">
        <v>6169</v>
      </c>
      <c r="E291" s="235"/>
      <c r="F291" s="233"/>
      <c r="G291" s="233"/>
    </row>
    <row r="292" spans="2:7" s="177" customFormat="1" ht="16.5">
      <c r="B292" s="960" t="s">
        <v>6170</v>
      </c>
      <c r="C292" s="234" t="s">
        <v>6158</v>
      </c>
      <c r="D292" s="235" t="s">
        <v>6171</v>
      </c>
      <c r="E292" s="235"/>
      <c r="F292" s="233"/>
      <c r="G292" s="233"/>
    </row>
    <row r="293" spans="2:7" s="177" customFormat="1" ht="16.5">
      <c r="B293" s="960"/>
      <c r="C293" s="234" t="s">
        <v>6161</v>
      </c>
      <c r="D293" s="235"/>
      <c r="E293" s="235"/>
      <c r="F293" s="233"/>
      <c r="G293" s="233"/>
    </row>
    <row r="294" spans="2:7" s="177" customFormat="1" ht="49.5">
      <c r="B294" s="960" t="s">
        <v>6172</v>
      </c>
      <c r="C294" s="234" t="s">
        <v>6158</v>
      </c>
      <c r="D294" s="235" t="s">
        <v>6173</v>
      </c>
      <c r="E294" s="234" t="s">
        <v>6299</v>
      </c>
      <c r="F294" s="236" t="s">
        <v>6300</v>
      </c>
      <c r="G294" s="233"/>
    </row>
    <row r="295" spans="2:7" s="177" customFormat="1" ht="16.5">
      <c r="B295" s="960"/>
      <c r="C295" s="234" t="s">
        <v>6161</v>
      </c>
      <c r="D295" s="235" t="s">
        <v>6176</v>
      </c>
      <c r="E295" s="235" t="s">
        <v>6301</v>
      </c>
      <c r="F295" s="233"/>
      <c r="G295" s="233"/>
    </row>
    <row r="296" spans="2:7" s="177" customFormat="1" ht="49.5">
      <c r="B296" s="234" t="s">
        <v>6178</v>
      </c>
      <c r="C296" s="234"/>
      <c r="D296" s="235"/>
      <c r="E296" s="235" t="s">
        <v>6179</v>
      </c>
      <c r="F296" s="233"/>
      <c r="G296" s="233"/>
    </row>
    <row r="297" spans="2:7" s="177" customFormat="1" ht="66">
      <c r="B297" s="234" t="s">
        <v>6180</v>
      </c>
      <c r="C297" s="234"/>
      <c r="D297" s="235"/>
      <c r="E297" s="235" t="s">
        <v>6181</v>
      </c>
      <c r="F297" s="233"/>
      <c r="G297" s="233"/>
    </row>
    <row r="298" spans="2:7" s="177" customFormat="1" ht="49.5">
      <c r="B298" s="960" t="s">
        <v>6182</v>
      </c>
      <c r="C298" s="234" t="s">
        <v>6158</v>
      </c>
      <c r="D298" s="235" t="s">
        <v>6183</v>
      </c>
      <c r="E298" s="234" t="s">
        <v>6302</v>
      </c>
      <c r="F298" s="236" t="s">
        <v>6303</v>
      </c>
      <c r="G298" s="233"/>
    </row>
    <row r="299" spans="2:7" s="177" customFormat="1" ht="66">
      <c r="B299" s="960"/>
      <c r="C299" s="234" t="s">
        <v>6161</v>
      </c>
      <c r="D299" s="235" t="s">
        <v>6186</v>
      </c>
      <c r="E299" s="234" t="s">
        <v>6187</v>
      </c>
      <c r="F299" s="233"/>
      <c r="G299" s="233"/>
    </row>
    <row r="300" spans="2:7" s="177" customFormat="1" ht="16.5">
      <c r="B300" s="960" t="s">
        <v>6188</v>
      </c>
      <c r="C300" s="234" t="s">
        <v>6158</v>
      </c>
      <c r="D300" s="235" t="s">
        <v>6189</v>
      </c>
      <c r="E300" s="960" t="s">
        <v>6190</v>
      </c>
      <c r="F300" s="233"/>
      <c r="G300" s="233"/>
    </row>
    <row r="301" spans="2:7" s="177" customFormat="1" ht="16.5">
      <c r="B301" s="960"/>
      <c r="C301" s="234" t="s">
        <v>6161</v>
      </c>
      <c r="D301" s="235" t="s">
        <v>6191</v>
      </c>
      <c r="E301" s="960"/>
      <c r="F301" s="233"/>
      <c r="G301" s="233"/>
    </row>
    <row r="302" spans="2:7" s="177" customFormat="1" ht="49.5">
      <c r="B302" s="960" t="s">
        <v>6304</v>
      </c>
      <c r="C302" s="234" t="s">
        <v>6158</v>
      </c>
      <c r="D302" s="235" t="s">
        <v>6193</v>
      </c>
      <c r="E302" s="234" t="s">
        <v>6305</v>
      </c>
      <c r="F302" s="236" t="s">
        <v>6306</v>
      </c>
      <c r="G302" s="233"/>
    </row>
    <row r="303" spans="2:7" s="177" customFormat="1" ht="66">
      <c r="B303" s="960"/>
      <c r="C303" s="234" t="s">
        <v>6161</v>
      </c>
      <c r="D303" s="235" t="s">
        <v>6196</v>
      </c>
      <c r="E303" s="234" t="s">
        <v>6187</v>
      </c>
      <c r="F303" s="233"/>
      <c r="G303" s="233"/>
    </row>
    <row r="304" spans="2:7" s="177" customFormat="1" ht="16.5">
      <c r="B304" s="960" t="s">
        <v>6307</v>
      </c>
      <c r="C304" s="234" t="s">
        <v>6158</v>
      </c>
      <c r="D304" s="235" t="s">
        <v>6198</v>
      </c>
      <c r="E304" s="960" t="s">
        <v>6308</v>
      </c>
      <c r="F304" s="233"/>
      <c r="G304" s="233"/>
    </row>
    <row r="305" spans="2:7" s="177" customFormat="1" ht="16.5">
      <c r="B305" s="960"/>
      <c r="C305" s="234" t="s">
        <v>6161</v>
      </c>
      <c r="D305" s="235" t="s">
        <v>6200</v>
      </c>
      <c r="E305" s="960"/>
      <c r="F305" s="233"/>
      <c r="G305" s="233"/>
    </row>
    <row r="306" spans="2:7" s="177" customFormat="1" ht="14.25">
      <c r="B306" s="237"/>
      <c r="C306" s="237"/>
      <c r="D306" s="237"/>
      <c r="E306" s="237"/>
      <c r="F306" s="237"/>
      <c r="G306" s="237"/>
    </row>
    <row r="307" spans="2:7" s="177" customFormat="1" ht="14.25">
      <c r="B307" s="237"/>
      <c r="C307" s="237"/>
      <c r="D307" s="237"/>
      <c r="E307" s="237"/>
      <c r="F307" s="237"/>
      <c r="G307" s="237"/>
    </row>
    <row r="308" spans="2:7" s="177" customFormat="1" ht="16.5">
      <c r="B308" s="962" t="s">
        <v>6309</v>
      </c>
      <c r="C308" s="963"/>
      <c r="D308" s="963"/>
      <c r="E308" s="963"/>
      <c r="F308" s="233"/>
      <c r="G308" s="233"/>
    </row>
    <row r="309" spans="2:7" s="177" customFormat="1" ht="16.5">
      <c r="B309" s="232" t="s">
        <v>6154</v>
      </c>
      <c r="C309" s="963" t="s">
        <v>6155</v>
      </c>
      <c r="D309" s="963"/>
      <c r="E309" s="232" t="s">
        <v>6156</v>
      </c>
      <c r="F309" s="233"/>
      <c r="G309" s="233"/>
    </row>
    <row r="310" spans="2:7" s="177" customFormat="1" ht="16.5">
      <c r="B310" s="960" t="s">
        <v>6157</v>
      </c>
      <c r="C310" s="234" t="s">
        <v>6158</v>
      </c>
      <c r="D310" s="235" t="s">
        <v>6297</v>
      </c>
      <c r="E310" s="235" t="s">
        <v>6160</v>
      </c>
      <c r="F310" s="233"/>
      <c r="G310" s="233"/>
    </row>
    <row r="311" spans="2:7" s="177" customFormat="1" ht="16.5">
      <c r="B311" s="960"/>
      <c r="C311" s="234" t="s">
        <v>6161</v>
      </c>
      <c r="D311" s="235" t="s">
        <v>6298</v>
      </c>
      <c r="E311" s="235"/>
      <c r="F311" s="233"/>
      <c r="G311" s="233"/>
    </row>
    <row r="312" spans="2:7" s="177" customFormat="1" ht="16.5">
      <c r="B312" s="960" t="s">
        <v>6163</v>
      </c>
      <c r="C312" s="234" t="s">
        <v>6158</v>
      </c>
      <c r="D312" s="235" t="s">
        <v>6164</v>
      </c>
      <c r="E312" s="235" t="s">
        <v>6165</v>
      </c>
      <c r="F312" s="233"/>
      <c r="G312" s="233"/>
    </row>
    <row r="313" spans="2:7" s="177" customFormat="1" ht="16.5">
      <c r="B313" s="960"/>
      <c r="C313" s="234" t="s">
        <v>6161</v>
      </c>
      <c r="D313" s="235" t="s">
        <v>6166</v>
      </c>
      <c r="E313" s="235"/>
      <c r="F313" s="233"/>
      <c r="G313" s="233"/>
    </row>
    <row r="314" spans="2:7" s="177" customFormat="1" ht="16.5">
      <c r="B314" s="960"/>
      <c r="C314" s="234" t="s">
        <v>6158</v>
      </c>
      <c r="D314" s="235" t="s">
        <v>6167</v>
      </c>
      <c r="E314" s="235" t="s">
        <v>6168</v>
      </c>
      <c r="F314" s="233"/>
      <c r="G314" s="233"/>
    </row>
    <row r="315" spans="2:7" s="177" customFormat="1" ht="16.5">
      <c r="B315" s="960"/>
      <c r="C315" s="234" t="s">
        <v>6161</v>
      </c>
      <c r="D315" s="235" t="s">
        <v>6169</v>
      </c>
      <c r="E315" s="235"/>
      <c r="F315" s="233"/>
      <c r="G315" s="233"/>
    </row>
    <row r="316" spans="2:7" s="177" customFormat="1" ht="16.5">
      <c r="B316" s="960" t="s">
        <v>6170</v>
      </c>
      <c r="C316" s="234" t="s">
        <v>6158</v>
      </c>
      <c r="D316" s="235" t="s">
        <v>6171</v>
      </c>
      <c r="E316" s="235"/>
      <c r="F316" s="233"/>
      <c r="G316" s="233"/>
    </row>
    <row r="317" spans="2:7" s="177" customFormat="1" ht="16.5">
      <c r="B317" s="960"/>
      <c r="C317" s="234" t="s">
        <v>6161</v>
      </c>
      <c r="D317" s="235"/>
      <c r="E317" s="235"/>
      <c r="F317" s="233"/>
      <c r="G317" s="233"/>
    </row>
    <row r="318" spans="2:7" s="177" customFormat="1" ht="49.5">
      <c r="B318" s="960" t="s">
        <v>6172</v>
      </c>
      <c r="C318" s="234" t="s">
        <v>6158</v>
      </c>
      <c r="D318" s="235" t="s">
        <v>6173</v>
      </c>
      <c r="E318" s="234" t="s">
        <v>6310</v>
      </c>
      <c r="F318" s="236" t="s">
        <v>6311</v>
      </c>
      <c r="G318" s="233"/>
    </row>
    <row r="319" spans="2:7" s="177" customFormat="1" ht="16.5">
      <c r="B319" s="960"/>
      <c r="C319" s="234" t="s">
        <v>6161</v>
      </c>
      <c r="D319" s="235" t="s">
        <v>6176</v>
      </c>
      <c r="E319" s="235" t="s">
        <v>6312</v>
      </c>
      <c r="F319" s="233"/>
      <c r="G319" s="233"/>
    </row>
    <row r="320" spans="2:7" s="177" customFormat="1" ht="49.5">
      <c r="B320" s="234" t="s">
        <v>6178</v>
      </c>
      <c r="C320" s="234"/>
      <c r="D320" s="235"/>
      <c r="E320" s="235" t="s">
        <v>6179</v>
      </c>
      <c r="F320" s="233"/>
      <c r="G320" s="233"/>
    </row>
    <row r="321" spans="2:7" s="177" customFormat="1" ht="66">
      <c r="B321" s="234" t="s">
        <v>6180</v>
      </c>
      <c r="C321" s="234"/>
      <c r="D321" s="235"/>
      <c r="E321" s="235" t="s">
        <v>6181</v>
      </c>
      <c r="F321" s="233"/>
      <c r="G321" s="233"/>
    </row>
    <row r="322" spans="2:7" s="177" customFormat="1" ht="49.5">
      <c r="B322" s="960" t="s">
        <v>6182</v>
      </c>
      <c r="C322" s="234" t="s">
        <v>6158</v>
      </c>
      <c r="D322" s="235" t="s">
        <v>6183</v>
      </c>
      <c r="E322" s="234" t="s">
        <v>6313</v>
      </c>
      <c r="F322" s="236" t="s">
        <v>6314</v>
      </c>
      <c r="G322" s="233"/>
    </row>
    <row r="323" spans="2:7" s="177" customFormat="1" ht="66">
      <c r="B323" s="960"/>
      <c r="C323" s="234" t="s">
        <v>6161</v>
      </c>
      <c r="D323" s="235" t="s">
        <v>6186</v>
      </c>
      <c r="E323" s="234" t="s">
        <v>6187</v>
      </c>
      <c r="F323" s="233"/>
      <c r="G323" s="233"/>
    </row>
    <row r="324" spans="2:7" s="177" customFormat="1" ht="16.5">
      <c r="B324" s="960" t="s">
        <v>6188</v>
      </c>
      <c r="C324" s="234" t="s">
        <v>6158</v>
      </c>
      <c r="D324" s="235" t="s">
        <v>6189</v>
      </c>
      <c r="E324" s="960" t="s">
        <v>6190</v>
      </c>
      <c r="F324" s="233"/>
      <c r="G324" s="233"/>
    </row>
    <row r="325" spans="2:7" s="177" customFormat="1" ht="16.5">
      <c r="B325" s="960"/>
      <c r="C325" s="234" t="s">
        <v>6161</v>
      </c>
      <c r="D325" s="235" t="s">
        <v>6191</v>
      </c>
      <c r="E325" s="960"/>
      <c r="F325" s="233"/>
      <c r="G325" s="233"/>
    </row>
    <row r="326" spans="2:7" s="177" customFormat="1" ht="49.5">
      <c r="B326" s="960" t="s">
        <v>6304</v>
      </c>
      <c r="C326" s="234" t="s">
        <v>6158</v>
      </c>
      <c r="D326" s="235" t="s">
        <v>6193</v>
      </c>
      <c r="E326" s="234" t="s">
        <v>6315</v>
      </c>
      <c r="F326" s="236" t="s">
        <v>6316</v>
      </c>
      <c r="G326" s="233"/>
    </row>
    <row r="327" spans="2:7" s="177" customFormat="1" ht="66">
      <c r="B327" s="960"/>
      <c r="C327" s="234" t="s">
        <v>6161</v>
      </c>
      <c r="D327" s="235" t="s">
        <v>6196</v>
      </c>
      <c r="E327" s="234" t="s">
        <v>6187</v>
      </c>
      <c r="F327" s="233"/>
      <c r="G327" s="233"/>
    </row>
    <row r="328" spans="2:7" s="177" customFormat="1" ht="16.5">
      <c r="B328" s="960" t="s">
        <v>6307</v>
      </c>
      <c r="C328" s="234" t="s">
        <v>6158</v>
      </c>
      <c r="D328" s="235" t="s">
        <v>6198</v>
      </c>
      <c r="E328" s="960" t="s">
        <v>6308</v>
      </c>
      <c r="F328" s="233"/>
      <c r="G328" s="233"/>
    </row>
    <row r="329" spans="2:7" s="177" customFormat="1" ht="16.5">
      <c r="B329" s="960"/>
      <c r="C329" s="234" t="s">
        <v>6161</v>
      </c>
      <c r="D329" s="235" t="s">
        <v>6200</v>
      </c>
      <c r="E329" s="960"/>
      <c r="F329" s="233"/>
      <c r="G329" s="233"/>
    </row>
    <row r="330" spans="2:7" s="177" customFormat="1" ht="14.25">
      <c r="B330" s="237"/>
      <c r="C330" s="237"/>
      <c r="D330" s="237"/>
      <c r="E330" s="237"/>
      <c r="F330" s="237"/>
      <c r="G330" s="237"/>
    </row>
    <row r="331" spans="2:7" s="177" customFormat="1" ht="14.25">
      <c r="B331" s="237"/>
      <c r="C331" s="237"/>
      <c r="D331" s="237"/>
      <c r="E331" s="237"/>
      <c r="F331" s="237"/>
      <c r="G331" s="237"/>
    </row>
    <row r="332" spans="2:7" s="177" customFormat="1" ht="16.5">
      <c r="B332" s="962" t="s">
        <v>6317</v>
      </c>
      <c r="C332" s="963"/>
      <c r="D332" s="963"/>
      <c r="E332" s="963"/>
      <c r="F332" s="233"/>
      <c r="G332" s="233"/>
    </row>
    <row r="333" spans="2:7" s="177" customFormat="1" ht="16.5">
      <c r="B333" s="232" t="s">
        <v>6154</v>
      </c>
      <c r="C333" s="963" t="s">
        <v>6155</v>
      </c>
      <c r="D333" s="963"/>
      <c r="E333" s="232" t="s">
        <v>6156</v>
      </c>
      <c r="F333" s="233"/>
      <c r="G333" s="233"/>
    </row>
    <row r="334" spans="2:7" s="177" customFormat="1" ht="16.5">
      <c r="B334" s="960" t="s">
        <v>6157</v>
      </c>
      <c r="C334" s="234" t="s">
        <v>6158</v>
      </c>
      <c r="D334" s="235" t="s">
        <v>6297</v>
      </c>
      <c r="E334" s="235" t="s">
        <v>6160</v>
      </c>
      <c r="F334" s="233"/>
      <c r="G334" s="233"/>
    </row>
    <row r="335" spans="2:7" s="177" customFormat="1" ht="16.5">
      <c r="B335" s="960"/>
      <c r="C335" s="234" t="s">
        <v>6161</v>
      </c>
      <c r="D335" s="235" t="s">
        <v>6298</v>
      </c>
      <c r="E335" s="235"/>
      <c r="F335" s="233"/>
      <c r="G335" s="233"/>
    </row>
    <row r="336" spans="2:7" s="177" customFormat="1" ht="16.5">
      <c r="B336" s="960" t="s">
        <v>6163</v>
      </c>
      <c r="C336" s="234" t="s">
        <v>6158</v>
      </c>
      <c r="D336" s="235" t="s">
        <v>6164</v>
      </c>
      <c r="E336" s="235" t="s">
        <v>6165</v>
      </c>
      <c r="F336" s="233"/>
      <c r="G336" s="233"/>
    </row>
    <row r="337" spans="2:7" s="177" customFormat="1" ht="16.5">
      <c r="B337" s="960"/>
      <c r="C337" s="234" t="s">
        <v>6161</v>
      </c>
      <c r="D337" s="235" t="s">
        <v>6166</v>
      </c>
      <c r="E337" s="235"/>
      <c r="F337" s="233"/>
      <c r="G337" s="233"/>
    </row>
    <row r="338" spans="2:7" s="177" customFormat="1" ht="16.5">
      <c r="B338" s="960"/>
      <c r="C338" s="234" t="s">
        <v>6158</v>
      </c>
      <c r="D338" s="235" t="s">
        <v>6167</v>
      </c>
      <c r="E338" s="235" t="s">
        <v>6168</v>
      </c>
      <c r="F338" s="233"/>
      <c r="G338" s="233"/>
    </row>
    <row r="339" spans="2:7" s="177" customFormat="1" ht="16.5">
      <c r="B339" s="960"/>
      <c r="C339" s="234" t="s">
        <v>6161</v>
      </c>
      <c r="D339" s="235" t="s">
        <v>6169</v>
      </c>
      <c r="E339" s="235"/>
      <c r="F339" s="233"/>
      <c r="G339" s="233"/>
    </row>
    <row r="340" spans="2:7" s="177" customFormat="1" ht="16.5">
      <c r="B340" s="960" t="s">
        <v>6170</v>
      </c>
      <c r="C340" s="234" t="s">
        <v>6158</v>
      </c>
      <c r="D340" s="235" t="s">
        <v>6171</v>
      </c>
      <c r="E340" s="235"/>
      <c r="F340" s="233"/>
      <c r="G340" s="233"/>
    </row>
    <row r="341" spans="2:7" s="177" customFormat="1" ht="16.5">
      <c r="B341" s="960"/>
      <c r="C341" s="234" t="s">
        <v>6161</v>
      </c>
      <c r="D341" s="235"/>
      <c r="E341" s="235"/>
      <c r="F341" s="233"/>
      <c r="G341" s="233"/>
    </row>
    <row r="342" spans="2:7" s="177" customFormat="1" ht="49.5">
      <c r="B342" s="960" t="s">
        <v>6172</v>
      </c>
      <c r="C342" s="234" t="s">
        <v>6158</v>
      </c>
      <c r="D342" s="235" t="s">
        <v>6173</v>
      </c>
      <c r="E342" s="234" t="s">
        <v>6318</v>
      </c>
      <c r="F342" s="236" t="s">
        <v>6319</v>
      </c>
      <c r="G342" s="233"/>
    </row>
    <row r="343" spans="2:7" s="177" customFormat="1" ht="16.5">
      <c r="B343" s="960"/>
      <c r="C343" s="234" t="s">
        <v>6161</v>
      </c>
      <c r="D343" s="235" t="s">
        <v>6176</v>
      </c>
      <c r="E343" s="235" t="s">
        <v>6312</v>
      </c>
      <c r="F343" s="233"/>
      <c r="G343" s="233"/>
    </row>
    <row r="344" spans="2:7" s="177" customFormat="1" ht="49.5">
      <c r="B344" s="234" t="s">
        <v>6178</v>
      </c>
      <c r="C344" s="234"/>
      <c r="D344" s="235"/>
      <c r="E344" s="235" t="s">
        <v>6179</v>
      </c>
      <c r="F344" s="233"/>
      <c r="G344" s="233"/>
    </row>
    <row r="345" spans="2:7" s="177" customFormat="1" ht="66">
      <c r="B345" s="234" t="s">
        <v>6180</v>
      </c>
      <c r="C345" s="234"/>
      <c r="D345" s="235"/>
      <c r="E345" s="235" t="s">
        <v>6181</v>
      </c>
      <c r="F345" s="233"/>
      <c r="G345" s="233"/>
    </row>
    <row r="346" spans="2:7" s="177" customFormat="1" ht="49.5">
      <c r="B346" s="960" t="s">
        <v>6182</v>
      </c>
      <c r="C346" s="234" t="s">
        <v>6158</v>
      </c>
      <c r="D346" s="235" t="s">
        <v>6183</v>
      </c>
      <c r="E346" s="234" t="s">
        <v>6320</v>
      </c>
      <c r="F346" s="236" t="s">
        <v>6321</v>
      </c>
      <c r="G346" s="233"/>
    </row>
    <row r="347" spans="2:7" s="177" customFormat="1" ht="66">
      <c r="B347" s="960"/>
      <c r="C347" s="234" t="s">
        <v>6161</v>
      </c>
      <c r="D347" s="235" t="s">
        <v>6186</v>
      </c>
      <c r="E347" s="234" t="s">
        <v>6187</v>
      </c>
      <c r="F347" s="233"/>
      <c r="G347" s="233"/>
    </row>
    <row r="348" spans="2:7" s="177" customFormat="1" ht="16.5">
      <c r="B348" s="960" t="s">
        <v>6188</v>
      </c>
      <c r="C348" s="234" t="s">
        <v>6158</v>
      </c>
      <c r="D348" s="235" t="s">
        <v>6189</v>
      </c>
      <c r="E348" s="960" t="s">
        <v>6190</v>
      </c>
      <c r="F348" s="233"/>
      <c r="G348" s="233"/>
    </row>
    <row r="349" spans="2:7" s="177" customFormat="1" ht="16.5">
      <c r="B349" s="960"/>
      <c r="C349" s="234" t="s">
        <v>6161</v>
      </c>
      <c r="D349" s="235" t="s">
        <v>6191</v>
      </c>
      <c r="E349" s="960"/>
      <c r="F349" s="233"/>
      <c r="G349" s="233"/>
    </row>
    <row r="350" spans="2:7" s="177" customFormat="1" ht="49.5">
      <c r="B350" s="960" t="s">
        <v>6304</v>
      </c>
      <c r="C350" s="234" t="s">
        <v>6158</v>
      </c>
      <c r="D350" s="235" t="s">
        <v>6193</v>
      </c>
      <c r="E350" s="234" t="s">
        <v>6322</v>
      </c>
      <c r="F350" s="236" t="s">
        <v>6323</v>
      </c>
      <c r="G350" s="233"/>
    </row>
    <row r="351" spans="2:7" s="177" customFormat="1" ht="66">
      <c r="B351" s="960"/>
      <c r="C351" s="234" t="s">
        <v>6161</v>
      </c>
      <c r="D351" s="235" t="s">
        <v>6196</v>
      </c>
      <c r="E351" s="234" t="s">
        <v>6187</v>
      </c>
      <c r="F351" s="233"/>
      <c r="G351" s="233"/>
    </row>
    <row r="352" spans="2:7" s="177" customFormat="1" ht="16.5">
      <c r="B352" s="960" t="s">
        <v>6307</v>
      </c>
      <c r="C352" s="234" t="s">
        <v>6158</v>
      </c>
      <c r="D352" s="235" t="s">
        <v>6198</v>
      </c>
      <c r="E352" s="960" t="s">
        <v>6308</v>
      </c>
      <c r="F352" s="233"/>
      <c r="G352" s="233"/>
    </row>
    <row r="353" spans="2:7" s="177" customFormat="1" ht="16.5">
      <c r="B353" s="960"/>
      <c r="C353" s="234" t="s">
        <v>6161</v>
      </c>
      <c r="D353" s="235" t="s">
        <v>6200</v>
      </c>
      <c r="E353" s="960"/>
      <c r="F353" s="233"/>
      <c r="G353" s="233"/>
    </row>
    <row r="354" spans="2:7" s="177" customFormat="1" ht="14.25">
      <c r="B354" s="237"/>
      <c r="C354" s="237"/>
      <c r="D354" s="237"/>
      <c r="E354" s="237"/>
      <c r="F354" s="237"/>
      <c r="G354" s="237"/>
    </row>
    <row r="355" spans="2:7" s="177" customFormat="1" ht="14.25">
      <c r="B355" s="237"/>
      <c r="C355" s="237"/>
      <c r="D355" s="237"/>
      <c r="E355" s="237"/>
      <c r="F355" s="237"/>
      <c r="G355" s="237"/>
    </row>
    <row r="356" spans="2:7" s="177" customFormat="1" ht="14.25">
      <c r="B356" s="237"/>
      <c r="C356" s="237"/>
      <c r="D356" s="237"/>
      <c r="E356" s="237"/>
      <c r="F356" s="237"/>
      <c r="G356" s="237"/>
    </row>
    <row r="357" spans="2:7" s="177" customFormat="1" ht="16.5">
      <c r="B357" s="962" t="s">
        <v>6324</v>
      </c>
      <c r="C357" s="963"/>
      <c r="D357" s="963"/>
      <c r="E357" s="963"/>
      <c r="F357" s="233"/>
      <c r="G357" s="233"/>
    </row>
    <row r="358" spans="2:7" s="177" customFormat="1" ht="16.5">
      <c r="B358" s="232" t="s">
        <v>6154</v>
      </c>
      <c r="C358" s="963" t="s">
        <v>6155</v>
      </c>
      <c r="D358" s="963"/>
      <c r="E358" s="232" t="s">
        <v>6156</v>
      </c>
      <c r="F358" s="233"/>
      <c r="G358" s="233"/>
    </row>
    <row r="359" spans="2:7" s="177" customFormat="1" ht="16.5">
      <c r="B359" s="960" t="s">
        <v>6157</v>
      </c>
      <c r="C359" s="234" t="s">
        <v>6158</v>
      </c>
      <c r="D359" s="235" t="s">
        <v>6297</v>
      </c>
      <c r="E359" s="235" t="s">
        <v>6160</v>
      </c>
      <c r="F359" s="233"/>
      <c r="G359" s="233"/>
    </row>
    <row r="360" spans="2:7" s="177" customFormat="1" ht="16.5">
      <c r="B360" s="960"/>
      <c r="C360" s="234" t="s">
        <v>6161</v>
      </c>
      <c r="D360" s="235" t="s">
        <v>6298</v>
      </c>
      <c r="E360" s="235"/>
      <c r="F360" s="233"/>
      <c r="G360" s="233"/>
    </row>
    <row r="361" spans="2:7" s="177" customFormat="1" ht="16.5">
      <c r="B361" s="960" t="s">
        <v>6163</v>
      </c>
      <c r="C361" s="234" t="s">
        <v>6158</v>
      </c>
      <c r="D361" s="235" t="s">
        <v>6164</v>
      </c>
      <c r="E361" s="235" t="s">
        <v>6165</v>
      </c>
      <c r="F361" s="233"/>
      <c r="G361" s="233"/>
    </row>
    <row r="362" spans="2:7" s="177" customFormat="1" ht="16.5">
      <c r="B362" s="960"/>
      <c r="C362" s="234" t="s">
        <v>6161</v>
      </c>
      <c r="D362" s="235" t="s">
        <v>6166</v>
      </c>
      <c r="E362" s="235"/>
      <c r="F362" s="233"/>
      <c r="G362" s="233"/>
    </row>
    <row r="363" spans="2:7" s="177" customFormat="1" ht="16.5">
      <c r="B363" s="960"/>
      <c r="C363" s="234" t="s">
        <v>6158</v>
      </c>
      <c r="D363" s="235" t="s">
        <v>6167</v>
      </c>
      <c r="E363" s="235" t="s">
        <v>6168</v>
      </c>
      <c r="F363" s="233"/>
      <c r="G363" s="233"/>
    </row>
    <row r="364" spans="2:7" s="177" customFormat="1" ht="16.5">
      <c r="B364" s="960"/>
      <c r="C364" s="234" t="s">
        <v>6161</v>
      </c>
      <c r="D364" s="235" t="s">
        <v>6169</v>
      </c>
      <c r="E364" s="235"/>
      <c r="F364" s="233"/>
      <c r="G364" s="233"/>
    </row>
    <row r="365" spans="2:7" s="177" customFormat="1" ht="16.5">
      <c r="B365" s="960" t="s">
        <v>6170</v>
      </c>
      <c r="C365" s="234" t="s">
        <v>6158</v>
      </c>
      <c r="D365" s="235" t="s">
        <v>6171</v>
      </c>
      <c r="E365" s="235"/>
      <c r="F365" s="233"/>
      <c r="G365" s="233"/>
    </row>
    <row r="366" spans="2:7" s="177" customFormat="1" ht="16.5">
      <c r="B366" s="960"/>
      <c r="C366" s="234" t="s">
        <v>6161</v>
      </c>
      <c r="D366" s="235"/>
      <c r="E366" s="235"/>
      <c r="F366" s="233"/>
      <c r="G366" s="233"/>
    </row>
    <row r="367" spans="2:7" s="177" customFormat="1" ht="49.5">
      <c r="B367" s="960" t="s">
        <v>6172</v>
      </c>
      <c r="C367" s="234" t="s">
        <v>6158</v>
      </c>
      <c r="D367" s="235" t="s">
        <v>6173</v>
      </c>
      <c r="E367" s="234" t="s">
        <v>6325</v>
      </c>
      <c r="F367" s="236" t="s">
        <v>6326</v>
      </c>
      <c r="G367" s="233"/>
    </row>
    <row r="368" spans="2:7" s="177" customFormat="1" ht="16.5">
      <c r="B368" s="960"/>
      <c r="C368" s="234" t="s">
        <v>6161</v>
      </c>
      <c r="D368" s="235" t="s">
        <v>6176</v>
      </c>
      <c r="E368" s="235" t="s">
        <v>6312</v>
      </c>
      <c r="F368" s="233"/>
      <c r="G368" s="233"/>
    </row>
    <row r="369" spans="2:7" s="177" customFormat="1" ht="49.5">
      <c r="B369" s="234" t="s">
        <v>6178</v>
      </c>
      <c r="C369" s="234"/>
      <c r="D369" s="235"/>
      <c r="E369" s="235" t="s">
        <v>6179</v>
      </c>
      <c r="F369" s="233"/>
      <c r="G369" s="233"/>
    </row>
    <row r="370" spans="2:7" s="177" customFormat="1" ht="66">
      <c r="B370" s="234" t="s">
        <v>6180</v>
      </c>
      <c r="C370" s="234"/>
      <c r="D370" s="235"/>
      <c r="E370" s="235" t="s">
        <v>6181</v>
      </c>
      <c r="F370" s="233"/>
      <c r="G370" s="233"/>
    </row>
    <row r="371" spans="2:7" s="177" customFormat="1" ht="49.5">
      <c r="B371" s="960" t="s">
        <v>6182</v>
      </c>
      <c r="C371" s="234" t="s">
        <v>6158</v>
      </c>
      <c r="D371" s="235" t="s">
        <v>6183</v>
      </c>
      <c r="E371" s="234" t="s">
        <v>6327</v>
      </c>
      <c r="F371" s="236" t="s">
        <v>6328</v>
      </c>
      <c r="G371" s="233"/>
    </row>
    <row r="372" spans="2:7" s="177" customFormat="1" ht="66">
      <c r="B372" s="960"/>
      <c r="C372" s="234" t="s">
        <v>6161</v>
      </c>
      <c r="D372" s="235" t="s">
        <v>6186</v>
      </c>
      <c r="E372" s="234" t="s">
        <v>6187</v>
      </c>
      <c r="F372" s="233"/>
      <c r="G372" s="233"/>
    </row>
    <row r="373" spans="2:7" s="177" customFormat="1" ht="16.5">
      <c r="B373" s="960" t="s">
        <v>6188</v>
      </c>
      <c r="C373" s="234" t="s">
        <v>6158</v>
      </c>
      <c r="D373" s="235" t="s">
        <v>6189</v>
      </c>
      <c r="E373" s="960" t="s">
        <v>6190</v>
      </c>
      <c r="F373" s="233"/>
      <c r="G373" s="233"/>
    </row>
    <row r="374" spans="2:7" s="177" customFormat="1" ht="16.5">
      <c r="B374" s="960"/>
      <c r="C374" s="234" t="s">
        <v>6161</v>
      </c>
      <c r="D374" s="235" t="s">
        <v>6191</v>
      </c>
      <c r="E374" s="960"/>
      <c r="F374" s="233"/>
      <c r="G374" s="233"/>
    </row>
    <row r="375" spans="2:7" s="177" customFormat="1" ht="49.5">
      <c r="B375" s="960" t="s">
        <v>6304</v>
      </c>
      <c r="C375" s="234" t="s">
        <v>6158</v>
      </c>
      <c r="D375" s="235" t="s">
        <v>6193</v>
      </c>
      <c r="E375" s="234" t="s">
        <v>6329</v>
      </c>
      <c r="F375" s="236" t="s">
        <v>6330</v>
      </c>
      <c r="G375" s="233"/>
    </row>
    <row r="376" spans="2:7" s="177" customFormat="1" ht="66">
      <c r="B376" s="960"/>
      <c r="C376" s="234" t="s">
        <v>6161</v>
      </c>
      <c r="D376" s="235" t="s">
        <v>6196</v>
      </c>
      <c r="E376" s="234" t="s">
        <v>6187</v>
      </c>
      <c r="F376" s="233"/>
      <c r="G376" s="233"/>
    </row>
    <row r="377" spans="2:7" s="177" customFormat="1" ht="16.5">
      <c r="B377" s="960" t="s">
        <v>6307</v>
      </c>
      <c r="C377" s="234" t="s">
        <v>6158</v>
      </c>
      <c r="D377" s="235" t="s">
        <v>6198</v>
      </c>
      <c r="E377" s="960" t="s">
        <v>6308</v>
      </c>
      <c r="F377" s="233"/>
      <c r="G377" s="233"/>
    </row>
    <row r="378" spans="2:7" s="177" customFormat="1" ht="16.5">
      <c r="B378" s="960"/>
      <c r="C378" s="234" t="s">
        <v>6161</v>
      </c>
      <c r="D378" s="235" t="s">
        <v>6200</v>
      </c>
      <c r="E378" s="960"/>
      <c r="F378" s="233"/>
      <c r="G378" s="233"/>
    </row>
    <row r="379" spans="2:7" s="177" customFormat="1" ht="14.25">
      <c r="B379" s="237"/>
      <c r="C379" s="237"/>
      <c r="D379" s="237"/>
      <c r="E379" s="237"/>
      <c r="F379" s="237"/>
      <c r="G379" s="237"/>
    </row>
    <row r="380" spans="2:7" s="177" customFormat="1" ht="14.25">
      <c r="B380" s="237"/>
      <c r="C380" s="237"/>
      <c r="D380" s="237"/>
      <c r="E380" s="237"/>
      <c r="F380" s="237"/>
      <c r="G380" s="237"/>
    </row>
    <row r="381" spans="2:7" s="177" customFormat="1" ht="14.25"/>
    <row r="382" spans="2:7" s="177" customFormat="1" ht="14.25"/>
    <row r="383" spans="2:7" s="177" customFormat="1" ht="14.25"/>
    <row r="384" spans="2:7" s="177" customFormat="1" ht="14.25"/>
    <row r="385" spans="2:7" s="177" customFormat="1" ht="14.25"/>
    <row r="386" spans="2:7" s="177" customFormat="1" ht="16.5">
      <c r="B386" s="961" t="s">
        <v>6331</v>
      </c>
      <c r="C386" s="961"/>
      <c r="D386" s="961"/>
      <c r="E386" s="961"/>
      <c r="F386" s="961"/>
      <c r="G386" s="961"/>
    </row>
    <row r="387" spans="2:7" s="177" customFormat="1" ht="16.5">
      <c r="B387" s="143" t="s">
        <v>5994</v>
      </c>
      <c r="C387" s="238" t="s">
        <v>6332</v>
      </c>
      <c r="D387" s="191"/>
      <c r="E387" s="143" t="s">
        <v>6121</v>
      </c>
      <c r="F387" s="239" t="s">
        <v>6333</v>
      </c>
      <c r="G387" s="143" t="s">
        <v>6334</v>
      </c>
    </row>
    <row r="388" spans="2:7" s="177" customFormat="1" ht="78">
      <c r="B388" s="144" t="s">
        <v>5340</v>
      </c>
      <c r="C388" s="216" t="s">
        <v>6335</v>
      </c>
      <c r="D388" s="216"/>
      <c r="E388" s="240" t="s">
        <v>6336</v>
      </c>
      <c r="F388" s="145"/>
      <c r="G388" s="146"/>
    </row>
    <row r="389" spans="2:7" s="177" customFormat="1" ht="31.5">
      <c r="B389" s="956">
        <v>2</v>
      </c>
      <c r="C389" s="958" t="s">
        <v>6337</v>
      </c>
      <c r="D389" s="216" t="s">
        <v>6338</v>
      </c>
      <c r="E389" s="241" t="s">
        <v>6339</v>
      </c>
      <c r="F389" s="145" t="s">
        <v>6029</v>
      </c>
      <c r="G389" s="146" t="s">
        <v>6340</v>
      </c>
    </row>
    <row r="390" spans="2:7" s="177" customFormat="1" ht="31.5">
      <c r="B390" s="957"/>
      <c r="C390" s="959"/>
      <c r="D390" s="216" t="s">
        <v>6338</v>
      </c>
      <c r="E390" s="241" t="s">
        <v>6339</v>
      </c>
      <c r="F390" s="145" t="s">
        <v>6341</v>
      </c>
      <c r="G390" s="146" t="s">
        <v>6342</v>
      </c>
    </row>
    <row r="391" spans="2:7" s="177" customFormat="1" ht="31.5">
      <c r="B391" s="956" t="s">
        <v>6025</v>
      </c>
      <c r="C391" s="958" t="s">
        <v>4551</v>
      </c>
      <c r="D391" s="216" t="s">
        <v>6343</v>
      </c>
      <c r="E391" s="241" t="s">
        <v>6339</v>
      </c>
      <c r="F391" s="145" t="s">
        <v>6344</v>
      </c>
      <c r="G391" s="146" t="s">
        <v>6345</v>
      </c>
    </row>
    <row r="392" spans="2:7" s="177" customFormat="1" ht="45">
      <c r="B392" s="957"/>
      <c r="C392" s="959"/>
      <c r="D392" s="216" t="s">
        <v>6346</v>
      </c>
      <c r="E392" s="241"/>
      <c r="F392" s="145" t="s">
        <v>6347</v>
      </c>
      <c r="G392" s="146" t="s">
        <v>6348</v>
      </c>
    </row>
    <row r="393" spans="2:7" s="177" customFormat="1" ht="31.5">
      <c r="B393" s="144" t="s">
        <v>6349</v>
      </c>
      <c r="C393" s="216" t="s">
        <v>6337</v>
      </c>
      <c r="D393" s="216" t="s">
        <v>5885</v>
      </c>
      <c r="E393" s="241" t="s">
        <v>6339</v>
      </c>
      <c r="F393" s="145" t="s">
        <v>6033</v>
      </c>
      <c r="G393" s="244" t="s">
        <v>6350</v>
      </c>
    </row>
    <row r="394" spans="2:7" s="177" customFormat="1" ht="31.5">
      <c r="B394" s="144" t="s">
        <v>6351</v>
      </c>
      <c r="C394" s="216" t="s">
        <v>4551</v>
      </c>
      <c r="D394" s="216" t="s">
        <v>6352</v>
      </c>
      <c r="E394" s="241" t="s">
        <v>6339</v>
      </c>
      <c r="F394" s="145" t="s">
        <v>6353</v>
      </c>
      <c r="G394" s="146" t="s">
        <v>6354</v>
      </c>
    </row>
    <row r="395" spans="2:7" s="177" customFormat="1" ht="31.5">
      <c r="B395" s="144" t="s">
        <v>6355</v>
      </c>
      <c r="C395" s="216" t="s">
        <v>6337</v>
      </c>
      <c r="D395" s="216" t="s">
        <v>6356</v>
      </c>
      <c r="E395" s="241" t="s">
        <v>6339</v>
      </c>
      <c r="F395" s="145" t="s">
        <v>6357</v>
      </c>
      <c r="G395" s="146" t="s">
        <v>6358</v>
      </c>
    </row>
    <row r="396" spans="2:7" s="177" customFormat="1" ht="31.5">
      <c r="B396" s="956" t="s">
        <v>6359</v>
      </c>
      <c r="C396" s="958" t="s">
        <v>4551</v>
      </c>
      <c r="D396" s="216" t="s">
        <v>6343</v>
      </c>
      <c r="E396" s="241" t="s">
        <v>6339</v>
      </c>
      <c r="F396" s="145" t="s">
        <v>6360</v>
      </c>
      <c r="G396" s="146" t="s">
        <v>6361</v>
      </c>
    </row>
    <row r="397" spans="2:7" s="177" customFormat="1">
      <c r="B397" s="957"/>
      <c r="C397" s="959"/>
      <c r="D397" s="216" t="s">
        <v>6362</v>
      </c>
      <c r="E397" s="241"/>
      <c r="F397" s="145" t="s">
        <v>6363</v>
      </c>
      <c r="G397" s="146" t="s">
        <v>6348</v>
      </c>
    </row>
    <row r="398" spans="2:7" s="177" customFormat="1" ht="46.5">
      <c r="B398" s="144" t="s">
        <v>5351</v>
      </c>
      <c r="C398" s="216" t="s">
        <v>6337</v>
      </c>
      <c r="D398" s="216" t="s">
        <v>5885</v>
      </c>
      <c r="E398" s="241" t="s">
        <v>6364</v>
      </c>
      <c r="F398" s="145" t="s">
        <v>6365</v>
      </c>
      <c r="G398" s="244" t="s">
        <v>6366</v>
      </c>
    </row>
    <row r="399" spans="2:7" s="177" customFormat="1" ht="46.5">
      <c r="B399" s="956" t="s">
        <v>6367</v>
      </c>
      <c r="C399" s="216" t="s">
        <v>4551</v>
      </c>
      <c r="D399" s="216" t="s">
        <v>6368</v>
      </c>
      <c r="E399" s="241" t="s">
        <v>6364</v>
      </c>
      <c r="F399" s="145" t="s">
        <v>6369</v>
      </c>
      <c r="G399" s="244" t="s">
        <v>6345</v>
      </c>
    </row>
    <row r="400" spans="2:7" s="177" customFormat="1">
      <c r="B400" s="957"/>
      <c r="C400" s="216" t="s">
        <v>4551</v>
      </c>
      <c r="D400" s="216" t="s">
        <v>6362</v>
      </c>
      <c r="E400" s="245"/>
      <c r="F400" s="145" t="s">
        <v>6370</v>
      </c>
      <c r="G400" s="146" t="s">
        <v>6348</v>
      </c>
    </row>
    <row r="401" spans="2:7" s="177" customFormat="1" ht="31.5">
      <c r="B401" s="242" t="s">
        <v>5363</v>
      </c>
      <c r="C401" s="243" t="s">
        <v>6337</v>
      </c>
      <c r="D401" s="216"/>
      <c r="E401" s="246" t="s">
        <v>6371</v>
      </c>
      <c r="F401" s="145"/>
      <c r="G401" s="146" t="s">
        <v>6372</v>
      </c>
    </row>
    <row r="402" spans="2:7" s="177" customFormat="1" ht="30.75">
      <c r="B402" s="242" t="s">
        <v>5452</v>
      </c>
      <c r="C402" s="216" t="s">
        <v>6335</v>
      </c>
      <c r="D402" s="216"/>
      <c r="E402" s="145" t="s">
        <v>6373</v>
      </c>
      <c r="F402" s="145"/>
      <c r="G402" s="145"/>
    </row>
    <row r="403" spans="2:7" s="177" customFormat="1" ht="14.25"/>
    <row r="404" spans="2:7" s="177" customFormat="1" ht="14.25"/>
    <row r="405" spans="2:7" s="177" customFormat="1" ht="14.25"/>
    <row r="449" spans="2:5" ht="15.75">
      <c r="B449" s="952" t="s">
        <v>6374</v>
      </c>
      <c r="C449" s="952"/>
      <c r="D449" s="952"/>
      <c r="E449" s="952"/>
    </row>
    <row r="450" spans="2:5" ht="16.5">
      <c r="B450" s="300" t="s">
        <v>6120</v>
      </c>
      <c r="C450" s="300" t="s">
        <v>6121</v>
      </c>
      <c r="D450" s="300" t="s">
        <v>6122</v>
      </c>
      <c r="E450" s="300" t="s">
        <v>6123</v>
      </c>
    </row>
    <row r="451" spans="2:5" ht="49.5">
      <c r="B451" s="301" t="s">
        <v>5340</v>
      </c>
      <c r="C451" s="302" t="s">
        <v>6375</v>
      </c>
      <c r="D451" s="303"/>
      <c r="E451" s="303"/>
    </row>
    <row r="452" spans="2:5" ht="15" customHeight="1">
      <c r="B452" s="949">
        <v>2</v>
      </c>
      <c r="C452" s="946" t="s">
        <v>6376</v>
      </c>
      <c r="D452" s="304" t="s">
        <v>6126</v>
      </c>
      <c r="E452" s="304" t="s">
        <v>6377</v>
      </c>
    </row>
    <row r="453" spans="2:5" ht="15.75">
      <c r="B453" s="950"/>
      <c r="C453" s="947"/>
      <c r="D453" s="305" t="s">
        <v>6130</v>
      </c>
      <c r="E453" s="306" t="s">
        <v>6378</v>
      </c>
    </row>
    <row r="454" spans="2:5" ht="15.75">
      <c r="B454" s="950"/>
      <c r="C454" s="947"/>
      <c r="D454" s="304" t="s">
        <v>6132</v>
      </c>
      <c r="E454" s="306" t="s">
        <v>6379</v>
      </c>
    </row>
    <row r="455" spans="2:5" ht="15.75">
      <c r="B455" s="950"/>
      <c r="C455" s="947"/>
      <c r="D455" s="307" t="s">
        <v>6134</v>
      </c>
      <c r="E455" s="307" t="s">
        <v>6380</v>
      </c>
    </row>
    <row r="456" spans="2:5">
      <c r="B456" s="950"/>
      <c r="C456" s="947"/>
      <c r="D456" s="307" t="s">
        <v>6136</v>
      </c>
      <c r="E456" s="307" t="s">
        <v>6137</v>
      </c>
    </row>
    <row r="457" spans="2:5" ht="15.75">
      <c r="B457" s="950"/>
      <c r="C457" s="947"/>
      <c r="D457" s="307" t="s">
        <v>6138</v>
      </c>
      <c r="E457" s="307" t="s">
        <v>6381</v>
      </c>
    </row>
    <row r="458" spans="2:5" ht="15.75">
      <c r="B458" s="950"/>
      <c r="C458" s="947"/>
      <c r="D458" s="307" t="s">
        <v>6140</v>
      </c>
      <c r="E458" s="306" t="s">
        <v>6378</v>
      </c>
    </row>
    <row r="459" spans="2:5" ht="15.75">
      <c r="B459" s="951"/>
      <c r="C459" s="948"/>
      <c r="D459" s="304" t="s">
        <v>6141</v>
      </c>
      <c r="E459" s="306" t="s">
        <v>6379</v>
      </c>
    </row>
    <row r="460" spans="2:5" ht="15.75">
      <c r="B460" s="953">
        <v>3</v>
      </c>
      <c r="C460" s="954" t="s">
        <v>6382</v>
      </c>
      <c r="D460" s="307" t="s">
        <v>6383</v>
      </c>
      <c r="E460" s="307" t="s">
        <v>6384</v>
      </c>
    </row>
    <row r="461" spans="2:5" ht="31.5">
      <c r="B461" s="953"/>
      <c r="C461" s="955"/>
      <c r="D461" s="304" t="s">
        <v>6385</v>
      </c>
      <c r="E461" s="310" t="s">
        <v>6386</v>
      </c>
    </row>
    <row r="462" spans="2:5" ht="15.75">
      <c r="B462" s="953"/>
      <c r="C462" s="955"/>
      <c r="D462" s="304" t="s">
        <v>6151</v>
      </c>
      <c r="E462" s="306" t="s">
        <v>6379</v>
      </c>
    </row>
    <row r="463" spans="2:5" ht="15.75">
      <c r="B463" s="308">
        <v>4</v>
      </c>
      <c r="C463" s="309" t="s">
        <v>6387</v>
      </c>
      <c r="D463" s="304"/>
      <c r="E463" s="306"/>
    </row>
  </sheetData>
  <sheetProtection formatCells="0" formatColumns="0" formatRows="0"/>
  <mergeCells count="199">
    <mergeCell ref="A1:E1"/>
    <mergeCell ref="B6:B11"/>
    <mergeCell ref="C6:C11"/>
    <mergeCell ref="B12:B13"/>
    <mergeCell ref="C12:C13"/>
    <mergeCell ref="B3:E3"/>
    <mergeCell ref="B38:B39"/>
    <mergeCell ref="H38:H39"/>
    <mergeCell ref="E40:G40"/>
    <mergeCell ref="B44:H44"/>
    <mergeCell ref="E45:G45"/>
    <mergeCell ref="B20:H20"/>
    <mergeCell ref="E21:G21"/>
    <mergeCell ref="E22:G22"/>
    <mergeCell ref="E23:G23"/>
    <mergeCell ref="B24:B25"/>
    <mergeCell ref="C24:C39"/>
    <mergeCell ref="D24:D39"/>
    <mergeCell ref="H24:H25"/>
    <mergeCell ref="B26:B27"/>
    <mergeCell ref="H26:H27"/>
    <mergeCell ref="B28:B29"/>
    <mergeCell ref="H28:H29"/>
    <mergeCell ref="B30:B31"/>
    <mergeCell ref="B32:B33"/>
    <mergeCell ref="B34:B35"/>
    <mergeCell ref="B36:B37"/>
    <mergeCell ref="E46:G46"/>
    <mergeCell ref="B47:B64"/>
    <mergeCell ref="C47:C64"/>
    <mergeCell ref="D47:D48"/>
    <mergeCell ref="H47:H48"/>
    <mergeCell ref="D55:D56"/>
    <mergeCell ref="H55:H56"/>
    <mergeCell ref="D57:D58"/>
    <mergeCell ref="H57:H58"/>
    <mergeCell ref="D59:D60"/>
    <mergeCell ref="H59:H60"/>
    <mergeCell ref="D61:D62"/>
    <mergeCell ref="H61:H62"/>
    <mergeCell ref="D63:D64"/>
    <mergeCell ref="H63:H64"/>
    <mergeCell ref="B89:E89"/>
    <mergeCell ref="B92:B100"/>
    <mergeCell ref="C92:C100"/>
    <mergeCell ref="B101:B103"/>
    <mergeCell ref="C101:C103"/>
    <mergeCell ref="J48:J49"/>
    <mergeCell ref="D49:D50"/>
    <mergeCell ref="H49:H50"/>
    <mergeCell ref="J50:J51"/>
    <mergeCell ref="D51:D52"/>
    <mergeCell ref="H51:H52"/>
    <mergeCell ref="J52:J53"/>
    <mergeCell ref="D53:D54"/>
    <mergeCell ref="H53:H54"/>
    <mergeCell ref="B114:B117"/>
    <mergeCell ref="B118:B119"/>
    <mergeCell ref="B120:B121"/>
    <mergeCell ref="B124:B125"/>
    <mergeCell ref="B126:B127"/>
    <mergeCell ref="B104:B106"/>
    <mergeCell ref="C104:C106"/>
    <mergeCell ref="B110:E110"/>
    <mergeCell ref="C111:D111"/>
    <mergeCell ref="B112:B113"/>
    <mergeCell ref="C136:D136"/>
    <mergeCell ref="B137:B138"/>
    <mergeCell ref="B139:B142"/>
    <mergeCell ref="B143:B144"/>
    <mergeCell ref="B145:B147"/>
    <mergeCell ref="E126:E127"/>
    <mergeCell ref="B128:B129"/>
    <mergeCell ref="B130:B131"/>
    <mergeCell ref="E130:E131"/>
    <mergeCell ref="B135:E135"/>
    <mergeCell ref="C160:D160"/>
    <mergeCell ref="B161:B162"/>
    <mergeCell ref="B163:B166"/>
    <mergeCell ref="B167:B168"/>
    <mergeCell ref="B169:B170"/>
    <mergeCell ref="B150:B151"/>
    <mergeCell ref="B152:B153"/>
    <mergeCell ref="B154:B155"/>
    <mergeCell ref="B156:B157"/>
    <mergeCell ref="B159:E159"/>
    <mergeCell ref="B182:E182"/>
    <mergeCell ref="C183:D183"/>
    <mergeCell ref="B184:B185"/>
    <mergeCell ref="B186:B189"/>
    <mergeCell ref="B190:B191"/>
    <mergeCell ref="B173:B174"/>
    <mergeCell ref="B175:B176"/>
    <mergeCell ref="E175:E176"/>
    <mergeCell ref="B177:B178"/>
    <mergeCell ref="B179:B180"/>
    <mergeCell ref="E179:E180"/>
    <mergeCell ref="B203:B204"/>
    <mergeCell ref="E203:E204"/>
    <mergeCell ref="B208:E208"/>
    <mergeCell ref="C209:D209"/>
    <mergeCell ref="B210:B211"/>
    <mergeCell ref="B192:B194"/>
    <mergeCell ref="B197:B198"/>
    <mergeCell ref="B199:B200"/>
    <mergeCell ref="E199:E200"/>
    <mergeCell ref="B201:B202"/>
    <mergeCell ref="E224:E225"/>
    <mergeCell ref="B226:B227"/>
    <mergeCell ref="B230:B231"/>
    <mergeCell ref="B232:B233"/>
    <mergeCell ref="E232:E233"/>
    <mergeCell ref="B212:B215"/>
    <mergeCell ref="B216:B217"/>
    <mergeCell ref="B218:B219"/>
    <mergeCell ref="B222:B223"/>
    <mergeCell ref="B224:B225"/>
    <mergeCell ref="C246:D246"/>
    <mergeCell ref="B247:B248"/>
    <mergeCell ref="B249:B252"/>
    <mergeCell ref="B253:B254"/>
    <mergeCell ref="B255:B256"/>
    <mergeCell ref="B234:B235"/>
    <mergeCell ref="B238:B239"/>
    <mergeCell ref="B240:B241"/>
    <mergeCell ref="E240:E241"/>
    <mergeCell ref="B245:E245"/>
    <mergeCell ref="B268:B269"/>
    <mergeCell ref="B270:B273"/>
    <mergeCell ref="B274:B275"/>
    <mergeCell ref="B276:B277"/>
    <mergeCell ref="B278:B279"/>
    <mergeCell ref="B259:B260"/>
    <mergeCell ref="B261:B262"/>
    <mergeCell ref="E261:E262"/>
    <mergeCell ref="B266:E266"/>
    <mergeCell ref="C267:D267"/>
    <mergeCell ref="B292:B293"/>
    <mergeCell ref="B294:B295"/>
    <mergeCell ref="B298:B299"/>
    <mergeCell ref="B300:B301"/>
    <mergeCell ref="E300:E301"/>
    <mergeCell ref="E278:E279"/>
    <mergeCell ref="B284:E284"/>
    <mergeCell ref="C285:D285"/>
    <mergeCell ref="B286:B287"/>
    <mergeCell ref="B288:B291"/>
    <mergeCell ref="B310:B311"/>
    <mergeCell ref="B312:B315"/>
    <mergeCell ref="B316:B317"/>
    <mergeCell ref="B318:B319"/>
    <mergeCell ref="B322:B323"/>
    <mergeCell ref="B302:B303"/>
    <mergeCell ref="B304:B305"/>
    <mergeCell ref="E304:E305"/>
    <mergeCell ref="B308:E308"/>
    <mergeCell ref="C309:D309"/>
    <mergeCell ref="B332:E332"/>
    <mergeCell ref="C333:D333"/>
    <mergeCell ref="B334:B335"/>
    <mergeCell ref="B336:B339"/>
    <mergeCell ref="B340:B341"/>
    <mergeCell ref="B324:B325"/>
    <mergeCell ref="E324:E325"/>
    <mergeCell ref="B326:B327"/>
    <mergeCell ref="B328:B329"/>
    <mergeCell ref="E328:E329"/>
    <mergeCell ref="B352:B353"/>
    <mergeCell ref="E352:E353"/>
    <mergeCell ref="B357:E357"/>
    <mergeCell ref="C358:D358"/>
    <mergeCell ref="B359:B360"/>
    <mergeCell ref="B342:B343"/>
    <mergeCell ref="B346:B347"/>
    <mergeCell ref="B348:B349"/>
    <mergeCell ref="E348:E349"/>
    <mergeCell ref="B350:B351"/>
    <mergeCell ref="E373:E374"/>
    <mergeCell ref="B375:B376"/>
    <mergeCell ref="B377:B378"/>
    <mergeCell ref="E377:E378"/>
    <mergeCell ref="B386:G386"/>
    <mergeCell ref="B361:B364"/>
    <mergeCell ref="B365:B366"/>
    <mergeCell ref="B367:B368"/>
    <mergeCell ref="B371:B372"/>
    <mergeCell ref="B373:B374"/>
    <mergeCell ref="C452:C459"/>
    <mergeCell ref="B452:B459"/>
    <mergeCell ref="B449:E449"/>
    <mergeCell ref="B460:B462"/>
    <mergeCell ref="C460:C462"/>
    <mergeCell ref="B399:B400"/>
    <mergeCell ref="B389:B390"/>
    <mergeCell ref="C389:C390"/>
    <mergeCell ref="B391:B392"/>
    <mergeCell ref="C391:C392"/>
    <mergeCell ref="B396:B397"/>
    <mergeCell ref="C396:C397"/>
  </mergeCells>
  <phoneticPr fontId="45" type="noConversion"/>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3774A-A455-41D9-AED0-8D08F087E15E}">
  <sheetPr codeName="工作表20"/>
  <dimension ref="A1:N484"/>
  <sheetViews>
    <sheetView topLeftCell="A466" zoomScaleNormal="100" workbookViewId="0">
      <selection activeCell="D487" sqref="D487"/>
    </sheetView>
  </sheetViews>
  <sheetFormatPr defaultColWidth="9" defaultRowHeight="15"/>
  <cols>
    <col min="1" max="1" width="9" style="142"/>
    <col min="2" max="2" width="6" style="142" bestFit="1" customWidth="1"/>
    <col min="3" max="3" width="41.625" style="142" customWidth="1"/>
    <col min="4" max="4" width="36.125" style="142" bestFit="1" customWidth="1"/>
    <col min="5" max="5" width="30.25" style="142" bestFit="1" customWidth="1"/>
    <col min="6" max="6" width="29.625" style="142" customWidth="1"/>
    <col min="7" max="7" width="40.375" style="142" customWidth="1"/>
    <col min="8" max="8" width="35.625" style="142" customWidth="1"/>
    <col min="9" max="9" width="9" style="142"/>
    <col min="10" max="10" width="16" style="142" bestFit="1" customWidth="1"/>
    <col min="11" max="12" width="14.5" style="142" bestFit="1" customWidth="1"/>
    <col min="13" max="14" width="19.5" style="142" bestFit="1" customWidth="1"/>
    <col min="15" max="16384" width="9" style="142"/>
  </cols>
  <sheetData>
    <row r="1" spans="1:9">
      <c r="A1" s="1006" t="s">
        <v>5992</v>
      </c>
      <c r="B1" s="1006"/>
      <c r="C1" s="1006"/>
      <c r="D1" s="1006"/>
      <c r="E1" s="1006"/>
      <c r="F1" s="147"/>
      <c r="G1" s="147"/>
      <c r="H1" s="147"/>
      <c r="I1" s="147"/>
    </row>
    <row r="3" spans="1:9" ht="15.75">
      <c r="B3" s="961" t="s">
        <v>5993</v>
      </c>
      <c r="C3" s="961"/>
      <c r="D3" s="961"/>
      <c r="E3" s="961"/>
    </row>
    <row r="4" spans="1:9" ht="15.75">
      <c r="B4" s="143" t="s">
        <v>5994</v>
      </c>
      <c r="C4" s="143" t="s">
        <v>5995</v>
      </c>
      <c r="D4" s="143" t="s">
        <v>5996</v>
      </c>
      <c r="E4" s="143" t="s">
        <v>5997</v>
      </c>
    </row>
    <row r="5" spans="1:9" ht="30">
      <c r="B5" s="144" t="s">
        <v>5340</v>
      </c>
      <c r="C5" s="145" t="s">
        <v>5998</v>
      </c>
      <c r="D5" s="146"/>
      <c r="E5" s="146"/>
    </row>
    <row r="6" spans="1:9">
      <c r="B6" s="976">
        <v>2</v>
      </c>
      <c r="C6" s="1007" t="s">
        <v>5999</v>
      </c>
      <c r="D6" s="146" t="s">
        <v>6000</v>
      </c>
      <c r="E6" s="146" t="s">
        <v>6001</v>
      </c>
    </row>
    <row r="7" spans="1:9">
      <c r="B7" s="976"/>
      <c r="C7" s="1007"/>
      <c r="D7" s="146" t="s">
        <v>6002</v>
      </c>
      <c r="E7" s="146"/>
    </row>
    <row r="8" spans="1:9">
      <c r="B8" s="976"/>
      <c r="C8" s="1007"/>
      <c r="D8" s="146" t="s">
        <v>6003</v>
      </c>
      <c r="E8" s="146" t="s">
        <v>6004</v>
      </c>
    </row>
    <row r="9" spans="1:9">
      <c r="B9" s="976"/>
      <c r="C9" s="1007"/>
      <c r="D9" s="146" t="s">
        <v>6005</v>
      </c>
      <c r="E9" s="146"/>
    </row>
    <row r="10" spans="1:9">
      <c r="B10" s="976"/>
      <c r="C10" s="1007"/>
      <c r="D10" s="146" t="s">
        <v>6006</v>
      </c>
      <c r="E10" s="146" t="s">
        <v>6007</v>
      </c>
    </row>
    <row r="11" spans="1:9">
      <c r="B11" s="976"/>
      <c r="C11" s="1007"/>
      <c r="D11" s="146" t="s">
        <v>6008</v>
      </c>
      <c r="E11" s="146"/>
    </row>
    <row r="12" spans="1:9">
      <c r="B12" s="976" t="s">
        <v>5335</v>
      </c>
      <c r="C12" s="1007" t="s">
        <v>6009</v>
      </c>
      <c r="D12" s="146" t="s">
        <v>6010</v>
      </c>
      <c r="E12" s="146"/>
    </row>
    <row r="13" spans="1:9">
      <c r="B13" s="976"/>
      <c r="C13" s="1007"/>
      <c r="D13" s="146" t="s">
        <v>6011</v>
      </c>
      <c r="E13" s="146"/>
    </row>
    <row r="14" spans="1:9">
      <c r="B14" s="144" t="s">
        <v>5469</v>
      </c>
      <c r="C14" s="145" t="s">
        <v>6012</v>
      </c>
      <c r="D14" s="146" t="s">
        <v>6013</v>
      </c>
      <c r="E14" s="146"/>
    </row>
    <row r="15" spans="1:9">
      <c r="B15" s="144" t="s">
        <v>5400</v>
      </c>
      <c r="C15" s="145" t="s">
        <v>6014</v>
      </c>
      <c r="D15" s="146"/>
      <c r="E15" s="146"/>
    </row>
    <row r="19" spans="2:8" s="177" customFormat="1" ht="14.25"/>
    <row r="20" spans="2:8" s="177" customFormat="1" ht="16.5">
      <c r="B20" s="990" t="s">
        <v>6015</v>
      </c>
      <c r="C20" s="991"/>
      <c r="D20" s="991"/>
      <c r="E20" s="991"/>
      <c r="F20" s="991"/>
      <c r="G20" s="991"/>
      <c r="H20" s="991"/>
    </row>
    <row r="21" spans="2:8" s="177" customFormat="1" ht="16.5">
      <c r="B21" s="178" t="s">
        <v>6016</v>
      </c>
      <c r="C21" s="179" t="s">
        <v>6017</v>
      </c>
      <c r="D21" s="180" t="s">
        <v>6018</v>
      </c>
      <c r="E21" s="992" t="s">
        <v>6019</v>
      </c>
      <c r="F21" s="993"/>
      <c r="G21" s="994"/>
      <c r="H21" s="181" t="s">
        <v>6020</v>
      </c>
    </row>
    <row r="22" spans="2:8" s="177" customFormat="1" ht="16.5">
      <c r="B22" s="182" t="s">
        <v>5340</v>
      </c>
      <c r="C22" s="183" t="s">
        <v>6021</v>
      </c>
      <c r="D22" s="184" t="s">
        <v>6022</v>
      </c>
      <c r="E22" s="995"/>
      <c r="F22" s="996"/>
      <c r="G22" s="997"/>
      <c r="H22" s="185"/>
    </row>
    <row r="23" spans="2:8" s="177" customFormat="1" ht="16.5">
      <c r="B23" s="182" t="s">
        <v>36</v>
      </c>
      <c r="C23" s="183" t="s">
        <v>6023</v>
      </c>
      <c r="D23" s="184" t="s">
        <v>6024</v>
      </c>
      <c r="E23" s="995"/>
      <c r="F23" s="996"/>
      <c r="G23" s="997"/>
      <c r="H23" s="186"/>
    </row>
    <row r="24" spans="2:8" s="177" customFormat="1" ht="15.75">
      <c r="B24" s="998" t="s">
        <v>6025</v>
      </c>
      <c r="C24" s="1000" t="s">
        <v>6026</v>
      </c>
      <c r="D24" s="1001" t="s">
        <v>6027</v>
      </c>
      <c r="E24" s="179" t="s">
        <v>6028</v>
      </c>
      <c r="F24" s="179" t="s">
        <v>172</v>
      </c>
      <c r="G24" s="187" t="s">
        <v>6029</v>
      </c>
      <c r="H24" s="1004" t="s">
        <v>6030</v>
      </c>
    </row>
    <row r="25" spans="2:8" s="177" customFormat="1" ht="15.75">
      <c r="B25" s="999"/>
      <c r="C25" s="1000"/>
      <c r="D25" s="1002"/>
      <c r="E25" s="179" t="s">
        <v>6031</v>
      </c>
      <c r="F25" s="179" t="s">
        <v>175</v>
      </c>
      <c r="G25" s="187" t="s">
        <v>6032</v>
      </c>
      <c r="H25" s="1005"/>
    </row>
    <row r="26" spans="2:8" s="177" customFormat="1" ht="15.75">
      <c r="B26" s="998" t="s">
        <v>40</v>
      </c>
      <c r="C26" s="1000"/>
      <c r="D26" s="1002"/>
      <c r="E26" s="179" t="s">
        <v>6028</v>
      </c>
      <c r="F26" s="179" t="s">
        <v>172</v>
      </c>
      <c r="G26" s="187" t="s">
        <v>6033</v>
      </c>
      <c r="H26" s="981" t="s">
        <v>6034</v>
      </c>
    </row>
    <row r="27" spans="2:8" s="177" customFormat="1" ht="15.75">
      <c r="B27" s="999"/>
      <c r="C27" s="1000"/>
      <c r="D27" s="1002"/>
      <c r="E27" s="179" t="s">
        <v>6031</v>
      </c>
      <c r="F27" s="179" t="s">
        <v>175</v>
      </c>
      <c r="G27" s="187" t="s">
        <v>6035</v>
      </c>
      <c r="H27" s="982"/>
    </row>
    <row r="28" spans="2:8" s="177" customFormat="1" ht="15.75">
      <c r="B28" s="998" t="s">
        <v>42</v>
      </c>
      <c r="C28" s="1000"/>
      <c r="D28" s="1002"/>
      <c r="E28" s="179" t="s">
        <v>6028</v>
      </c>
      <c r="F28" s="179" t="s">
        <v>172</v>
      </c>
      <c r="G28" s="187" t="s">
        <v>6036</v>
      </c>
      <c r="H28" s="981" t="s">
        <v>6037</v>
      </c>
    </row>
    <row r="29" spans="2:8" s="177" customFormat="1" ht="15.75">
      <c r="B29" s="999"/>
      <c r="C29" s="1000"/>
      <c r="D29" s="1002"/>
      <c r="E29" s="179" t="s">
        <v>6031</v>
      </c>
      <c r="F29" s="179" t="s">
        <v>175</v>
      </c>
      <c r="G29" s="187" t="s">
        <v>6038</v>
      </c>
      <c r="H29" s="982"/>
    </row>
    <row r="30" spans="2:8" s="177" customFormat="1" ht="31.5">
      <c r="B30" s="998" t="s">
        <v>44</v>
      </c>
      <c r="C30" s="1000"/>
      <c r="D30" s="1002"/>
      <c r="E30" s="179" t="s">
        <v>6028</v>
      </c>
      <c r="F30" s="179" t="s">
        <v>172</v>
      </c>
      <c r="G30" s="188" t="s">
        <v>6039</v>
      </c>
      <c r="H30" s="185" t="s">
        <v>6040</v>
      </c>
    </row>
    <row r="31" spans="2:8" s="177" customFormat="1" ht="33">
      <c r="B31" s="999"/>
      <c r="C31" s="1000"/>
      <c r="D31" s="1002"/>
      <c r="E31" s="179" t="s">
        <v>6031</v>
      </c>
      <c r="F31" s="179" t="s">
        <v>175</v>
      </c>
      <c r="G31" s="187" t="s">
        <v>6041</v>
      </c>
      <c r="H31" s="189" t="s">
        <v>6042</v>
      </c>
    </row>
    <row r="32" spans="2:8" s="177" customFormat="1" ht="31.5">
      <c r="B32" s="998" t="s">
        <v>46</v>
      </c>
      <c r="C32" s="1000"/>
      <c r="D32" s="1002"/>
      <c r="E32" s="179" t="s">
        <v>6028</v>
      </c>
      <c r="F32" s="179" t="s">
        <v>172</v>
      </c>
      <c r="G32" s="188" t="s">
        <v>6043</v>
      </c>
      <c r="H32" s="185" t="s">
        <v>6044</v>
      </c>
    </row>
    <row r="33" spans="2:14" s="177" customFormat="1" ht="33">
      <c r="B33" s="999"/>
      <c r="C33" s="1000"/>
      <c r="D33" s="1002"/>
      <c r="E33" s="179" t="s">
        <v>6031</v>
      </c>
      <c r="F33" s="179" t="s">
        <v>175</v>
      </c>
      <c r="G33" s="187" t="s">
        <v>6045</v>
      </c>
      <c r="H33" s="189" t="s">
        <v>6046</v>
      </c>
    </row>
    <row r="34" spans="2:14" s="177" customFormat="1" ht="31.5">
      <c r="B34" s="998" t="s">
        <v>1847</v>
      </c>
      <c r="C34" s="1000"/>
      <c r="D34" s="1002"/>
      <c r="E34" s="179" t="s">
        <v>6028</v>
      </c>
      <c r="F34" s="179" t="s">
        <v>172</v>
      </c>
      <c r="G34" s="188" t="s">
        <v>6047</v>
      </c>
      <c r="H34" s="185" t="s">
        <v>6048</v>
      </c>
    </row>
    <row r="35" spans="2:14" s="177" customFormat="1" ht="33">
      <c r="B35" s="999"/>
      <c r="C35" s="1000"/>
      <c r="D35" s="1002"/>
      <c r="E35" s="179" t="s">
        <v>6031</v>
      </c>
      <c r="F35" s="179" t="s">
        <v>175</v>
      </c>
      <c r="G35" s="187" t="s">
        <v>6049</v>
      </c>
      <c r="H35" s="189" t="s">
        <v>6050</v>
      </c>
    </row>
    <row r="36" spans="2:14" s="177" customFormat="1" ht="31.5">
      <c r="B36" s="998" t="s">
        <v>1850</v>
      </c>
      <c r="C36" s="1000"/>
      <c r="D36" s="1002"/>
      <c r="E36" s="179" t="s">
        <v>6028</v>
      </c>
      <c r="F36" s="179" t="s">
        <v>172</v>
      </c>
      <c r="G36" s="188" t="s">
        <v>6051</v>
      </c>
      <c r="H36" s="185" t="s">
        <v>6052</v>
      </c>
    </row>
    <row r="37" spans="2:14" s="177" customFormat="1" ht="16.5">
      <c r="B37" s="999"/>
      <c r="C37" s="1000"/>
      <c r="D37" s="1002"/>
      <c r="E37" s="179" t="s">
        <v>6031</v>
      </c>
      <c r="F37" s="179" t="s">
        <v>175</v>
      </c>
      <c r="G37" s="187" t="s">
        <v>6053</v>
      </c>
      <c r="H37" s="189" t="s">
        <v>6054</v>
      </c>
    </row>
    <row r="38" spans="2:14" s="177" customFormat="1" ht="15.75">
      <c r="B38" s="998" t="s">
        <v>1861</v>
      </c>
      <c r="C38" s="1000"/>
      <c r="D38" s="1002"/>
      <c r="E38" s="179" t="s">
        <v>6028</v>
      </c>
      <c r="F38" s="179" t="s">
        <v>172</v>
      </c>
      <c r="G38" s="187" t="s">
        <v>6055</v>
      </c>
      <c r="H38" s="1004" t="s">
        <v>6056</v>
      </c>
    </row>
    <row r="39" spans="2:14" s="177" customFormat="1" ht="15.75">
      <c r="B39" s="999"/>
      <c r="C39" s="1000"/>
      <c r="D39" s="1003"/>
      <c r="E39" s="179" t="s">
        <v>6031</v>
      </c>
      <c r="F39" s="179" t="s">
        <v>175</v>
      </c>
      <c r="G39" s="187" t="s">
        <v>6057</v>
      </c>
      <c r="H39" s="1005"/>
    </row>
    <row r="40" spans="2:14" s="177" customFormat="1" ht="17.25" thickBot="1">
      <c r="B40" s="190" t="s">
        <v>5452</v>
      </c>
      <c r="C40" s="191"/>
      <c r="D40" s="192" t="s">
        <v>6058</v>
      </c>
      <c r="E40" s="1008"/>
      <c r="F40" s="1009"/>
      <c r="G40" s="1010"/>
      <c r="H40" s="193"/>
    </row>
    <row r="41" spans="2:14" s="177" customFormat="1" ht="14.25"/>
    <row r="42" spans="2:14" s="177" customFormat="1" ht="14.25"/>
    <row r="43" spans="2:14" s="177" customFormat="1" ht="14.25"/>
    <row r="44" spans="2:14" s="177" customFormat="1" ht="14.25">
      <c r="B44" s="986" t="s">
        <v>6059</v>
      </c>
      <c r="C44" s="986"/>
      <c r="D44" s="986"/>
      <c r="E44" s="986"/>
      <c r="F44" s="986"/>
      <c r="G44" s="986"/>
      <c r="H44" s="986"/>
    </row>
    <row r="45" spans="2:14" s="177" customFormat="1" ht="16.5">
      <c r="B45" s="194" t="s">
        <v>6060</v>
      </c>
      <c r="C45" s="179" t="s">
        <v>6017</v>
      </c>
      <c r="D45" s="187" t="s">
        <v>6061</v>
      </c>
      <c r="E45" s="987" t="s">
        <v>6062</v>
      </c>
      <c r="F45" s="988"/>
      <c r="G45" s="989"/>
      <c r="H45" s="179" t="s">
        <v>6063</v>
      </c>
      <c r="J45" s="195" t="s">
        <v>6064</v>
      </c>
      <c r="K45" s="195" t="s">
        <v>6065</v>
      </c>
      <c r="L45" s="195" t="s">
        <v>6065</v>
      </c>
      <c r="M45" s="195" t="s">
        <v>6066</v>
      </c>
      <c r="N45" s="195" t="s">
        <v>6066</v>
      </c>
    </row>
    <row r="46" spans="2:14" s="177" customFormat="1" ht="31.5">
      <c r="B46" s="196">
        <v>1</v>
      </c>
      <c r="C46" s="197" t="s">
        <v>6067</v>
      </c>
      <c r="D46" s="187" t="s">
        <v>6068</v>
      </c>
      <c r="E46" s="983"/>
      <c r="F46" s="983"/>
      <c r="G46" s="983"/>
      <c r="H46" s="179"/>
      <c r="J46" s="195" t="s">
        <v>6069</v>
      </c>
      <c r="K46" s="195" t="s">
        <v>6070</v>
      </c>
      <c r="L46" s="195" t="s">
        <v>6071</v>
      </c>
      <c r="M46" s="195" t="s">
        <v>6070</v>
      </c>
      <c r="N46" s="195" t="s">
        <v>6071</v>
      </c>
    </row>
    <row r="47" spans="2:14" s="177" customFormat="1" ht="33">
      <c r="B47" s="984">
        <v>2</v>
      </c>
      <c r="C47" s="981" t="s">
        <v>6072</v>
      </c>
      <c r="D47" s="980" t="s">
        <v>6073</v>
      </c>
      <c r="E47" s="179" t="s">
        <v>6028</v>
      </c>
      <c r="F47" s="179" t="s">
        <v>172</v>
      </c>
      <c r="G47" s="179" t="s">
        <v>6029</v>
      </c>
      <c r="H47" s="981" t="s">
        <v>6074</v>
      </c>
      <c r="J47" s="195" t="s">
        <v>6075</v>
      </c>
      <c r="K47" s="198" t="s">
        <v>6076</v>
      </c>
      <c r="L47" s="198" t="s">
        <v>6077</v>
      </c>
      <c r="M47" s="198" t="s">
        <v>6078</v>
      </c>
      <c r="N47" s="198" t="s">
        <v>6079</v>
      </c>
    </row>
    <row r="48" spans="2:14" s="177" customFormat="1" ht="16.5">
      <c r="B48" s="984"/>
      <c r="C48" s="985"/>
      <c r="D48" s="980"/>
      <c r="E48" s="179" t="s">
        <v>6031</v>
      </c>
      <c r="F48" s="179" t="s">
        <v>175</v>
      </c>
      <c r="G48" s="179" t="s">
        <v>6032</v>
      </c>
      <c r="H48" s="982"/>
      <c r="J48" s="978" t="s">
        <v>6080</v>
      </c>
      <c r="K48" s="198" t="s">
        <v>6081</v>
      </c>
      <c r="L48" s="198" t="s">
        <v>6081</v>
      </c>
      <c r="M48" s="198" t="s">
        <v>6081</v>
      </c>
      <c r="N48" s="198" t="s">
        <v>6081</v>
      </c>
    </row>
    <row r="49" spans="2:14" s="177" customFormat="1" ht="82.5">
      <c r="B49" s="984"/>
      <c r="C49" s="985"/>
      <c r="D49" s="980" t="s">
        <v>6082</v>
      </c>
      <c r="E49" s="179" t="s">
        <v>6028</v>
      </c>
      <c r="F49" s="179" t="s">
        <v>172</v>
      </c>
      <c r="G49" s="179" t="s">
        <v>6033</v>
      </c>
      <c r="H49" s="981" t="s">
        <v>6034</v>
      </c>
      <c r="J49" s="979"/>
      <c r="K49" s="199" t="s">
        <v>6083</v>
      </c>
      <c r="L49" s="199" t="s">
        <v>6083</v>
      </c>
      <c r="M49" s="199" t="s">
        <v>6083</v>
      </c>
      <c r="N49" s="199" t="s">
        <v>6083</v>
      </c>
    </row>
    <row r="50" spans="2:14" s="177" customFormat="1" ht="33">
      <c r="B50" s="984"/>
      <c r="C50" s="985"/>
      <c r="D50" s="980"/>
      <c r="E50" s="179" t="s">
        <v>6031</v>
      </c>
      <c r="F50" s="179" t="s">
        <v>175</v>
      </c>
      <c r="G50" s="179" t="s">
        <v>6035</v>
      </c>
      <c r="H50" s="982"/>
      <c r="J50" s="978" t="s">
        <v>6084</v>
      </c>
      <c r="K50" s="195" t="s">
        <v>6085</v>
      </c>
      <c r="L50" s="200" t="s">
        <v>6086</v>
      </c>
      <c r="M50" s="195" t="s">
        <v>6085</v>
      </c>
      <c r="N50" s="200" t="s">
        <v>6086</v>
      </c>
    </row>
    <row r="51" spans="2:14" s="177" customFormat="1" ht="82.5">
      <c r="B51" s="984"/>
      <c r="C51" s="985"/>
      <c r="D51" s="980" t="s">
        <v>6087</v>
      </c>
      <c r="E51" s="179" t="s">
        <v>6028</v>
      </c>
      <c r="F51" s="179" t="s">
        <v>172</v>
      </c>
      <c r="G51" s="179" t="s">
        <v>6036</v>
      </c>
      <c r="H51" s="981" t="s">
        <v>6037</v>
      </c>
      <c r="J51" s="979"/>
      <c r="K51" s="199" t="s">
        <v>6088</v>
      </c>
      <c r="L51" s="199" t="s">
        <v>6089</v>
      </c>
      <c r="M51" s="201" t="s">
        <v>6088</v>
      </c>
      <c r="N51" s="199" t="s">
        <v>6089</v>
      </c>
    </row>
    <row r="52" spans="2:14" s="177" customFormat="1" ht="16.5">
      <c r="B52" s="984"/>
      <c r="C52" s="985"/>
      <c r="D52" s="980"/>
      <c r="E52" s="179" t="s">
        <v>6031</v>
      </c>
      <c r="F52" s="179" t="s">
        <v>175</v>
      </c>
      <c r="G52" s="179" t="s">
        <v>6038</v>
      </c>
      <c r="H52" s="982"/>
      <c r="J52" s="978" t="s">
        <v>6090</v>
      </c>
      <c r="K52" s="202" t="s">
        <v>6091</v>
      </c>
      <c r="L52" s="203" t="s">
        <v>6092</v>
      </c>
      <c r="M52" s="203" t="s">
        <v>6091</v>
      </c>
      <c r="N52" s="203" t="s">
        <v>6092</v>
      </c>
    </row>
    <row r="53" spans="2:14" s="177" customFormat="1" ht="141.75">
      <c r="B53" s="984"/>
      <c r="C53" s="985"/>
      <c r="D53" s="980" t="s">
        <v>6093</v>
      </c>
      <c r="E53" s="179" t="s">
        <v>6028</v>
      </c>
      <c r="F53" s="179" t="s">
        <v>172</v>
      </c>
      <c r="G53" s="188" t="s">
        <v>6094</v>
      </c>
      <c r="H53" s="981" t="s">
        <v>6095</v>
      </c>
      <c r="J53" s="979"/>
      <c r="K53" s="199" t="s">
        <v>6096</v>
      </c>
      <c r="L53" s="199" t="s">
        <v>6097</v>
      </c>
      <c r="M53" s="199" t="s">
        <v>6096</v>
      </c>
      <c r="N53" s="199" t="s">
        <v>6097</v>
      </c>
    </row>
    <row r="54" spans="2:14" s="177" customFormat="1" ht="15.75">
      <c r="B54" s="984"/>
      <c r="C54" s="985"/>
      <c r="D54" s="980"/>
      <c r="E54" s="179" t="s">
        <v>6031</v>
      </c>
      <c r="F54" s="179" t="s">
        <v>175</v>
      </c>
      <c r="G54" s="179" t="s">
        <v>6098</v>
      </c>
      <c r="H54" s="982"/>
    </row>
    <row r="55" spans="2:14" s="177" customFormat="1" ht="15.75">
      <c r="B55" s="984"/>
      <c r="C55" s="985"/>
      <c r="D55" s="980" t="s">
        <v>6099</v>
      </c>
      <c r="E55" s="179" t="s">
        <v>6028</v>
      </c>
      <c r="F55" s="179" t="s">
        <v>172</v>
      </c>
      <c r="G55" s="179" t="s">
        <v>6100</v>
      </c>
      <c r="H55" s="981" t="s">
        <v>6101</v>
      </c>
    </row>
    <row r="56" spans="2:14" s="177" customFormat="1" ht="141.75">
      <c r="B56" s="984"/>
      <c r="C56" s="985"/>
      <c r="D56" s="980"/>
      <c r="E56" s="179" t="s">
        <v>6031</v>
      </c>
      <c r="F56" s="179" t="s">
        <v>175</v>
      </c>
      <c r="G56" s="197" t="s">
        <v>6102</v>
      </c>
      <c r="H56" s="982"/>
    </row>
    <row r="57" spans="2:14" s="177" customFormat="1" ht="78.75">
      <c r="B57" s="984"/>
      <c r="C57" s="985"/>
      <c r="D57" s="980" t="s">
        <v>6103</v>
      </c>
      <c r="E57" s="179" t="s">
        <v>6028</v>
      </c>
      <c r="F57" s="179" t="s">
        <v>172</v>
      </c>
      <c r="G57" s="197" t="s">
        <v>6104</v>
      </c>
      <c r="H57" s="981" t="s">
        <v>6105</v>
      </c>
    </row>
    <row r="58" spans="2:14" s="177" customFormat="1" ht="15.75">
      <c r="B58" s="984"/>
      <c r="C58" s="985"/>
      <c r="D58" s="980"/>
      <c r="E58" s="179" t="s">
        <v>6031</v>
      </c>
      <c r="F58" s="179" t="s">
        <v>175</v>
      </c>
      <c r="G58" s="179" t="s">
        <v>6106</v>
      </c>
      <c r="H58" s="982"/>
    </row>
    <row r="59" spans="2:14" s="177" customFormat="1" ht="15.75">
      <c r="B59" s="984"/>
      <c r="C59" s="985"/>
      <c r="D59" s="980" t="s">
        <v>6107</v>
      </c>
      <c r="E59" s="179" t="s">
        <v>6028</v>
      </c>
      <c r="F59" s="179" t="s">
        <v>172</v>
      </c>
      <c r="G59" s="179" t="s">
        <v>6108</v>
      </c>
      <c r="H59" s="981" t="s">
        <v>6109</v>
      </c>
    </row>
    <row r="60" spans="2:14" s="177" customFormat="1" ht="78.75">
      <c r="B60" s="984"/>
      <c r="C60" s="985"/>
      <c r="D60" s="980"/>
      <c r="E60" s="179" t="s">
        <v>6031</v>
      </c>
      <c r="F60" s="179" t="s">
        <v>175</v>
      </c>
      <c r="G60" s="197" t="s">
        <v>6110</v>
      </c>
      <c r="H60" s="982"/>
    </row>
    <row r="61" spans="2:14" s="177" customFormat="1" ht="78.75">
      <c r="B61" s="984"/>
      <c r="C61" s="985"/>
      <c r="D61" s="980" t="s">
        <v>6111</v>
      </c>
      <c r="E61" s="179" t="s">
        <v>6028</v>
      </c>
      <c r="F61" s="179" t="s">
        <v>172</v>
      </c>
      <c r="G61" s="197" t="s">
        <v>6112</v>
      </c>
      <c r="H61" s="981" t="s">
        <v>6113</v>
      </c>
      <c r="J61" s="204"/>
      <c r="K61" s="204"/>
      <c r="L61" s="204"/>
      <c r="M61" s="204"/>
      <c r="N61" s="204"/>
    </row>
    <row r="62" spans="2:14" s="177" customFormat="1" ht="18.75">
      <c r="B62" s="984"/>
      <c r="C62" s="985"/>
      <c r="D62" s="980"/>
      <c r="E62" s="179" t="s">
        <v>6031</v>
      </c>
      <c r="F62" s="179" t="s">
        <v>175</v>
      </c>
      <c r="G62" s="179" t="s">
        <v>6114</v>
      </c>
      <c r="H62" s="982"/>
      <c r="J62" s="204"/>
      <c r="K62" s="204"/>
      <c r="L62" s="204"/>
      <c r="M62" s="204"/>
      <c r="N62" s="204"/>
    </row>
    <row r="63" spans="2:14" s="177" customFormat="1" ht="18.75">
      <c r="B63" s="984"/>
      <c r="C63" s="985"/>
      <c r="D63" s="980" t="s">
        <v>6115</v>
      </c>
      <c r="E63" s="179" t="s">
        <v>6028</v>
      </c>
      <c r="F63" s="179" t="s">
        <v>172</v>
      </c>
      <c r="G63" s="179" t="s">
        <v>6116</v>
      </c>
      <c r="H63" s="981" t="s">
        <v>6117</v>
      </c>
      <c r="J63" s="204"/>
      <c r="K63" s="205"/>
      <c r="L63" s="205"/>
      <c r="M63" s="205"/>
      <c r="N63" s="205"/>
    </row>
    <row r="64" spans="2:14" s="177" customFormat="1" ht="78.75">
      <c r="B64" s="984"/>
      <c r="C64" s="982"/>
      <c r="D64" s="980"/>
      <c r="E64" s="179" t="s">
        <v>6031</v>
      </c>
      <c r="F64" s="179" t="s">
        <v>175</v>
      </c>
      <c r="G64" s="197" t="s">
        <v>6118</v>
      </c>
      <c r="H64" s="982"/>
      <c r="J64" s="206"/>
      <c r="K64" s="207"/>
      <c r="L64" s="207"/>
      <c r="M64" s="207"/>
      <c r="N64" s="207"/>
    </row>
    <row r="65" spans="2:14" s="177" customFormat="1" ht="14.25">
      <c r="J65" s="206"/>
      <c r="K65" s="208"/>
      <c r="L65" s="206"/>
      <c r="M65" s="208"/>
      <c r="N65" s="206"/>
    </row>
    <row r="66" spans="2:14" s="177" customFormat="1" ht="14.25">
      <c r="B66" s="206"/>
      <c r="C66" s="209"/>
      <c r="D66" s="210"/>
      <c r="E66" s="210"/>
      <c r="F66" s="210"/>
    </row>
    <row r="67" spans="2:14" s="177" customFormat="1" ht="14.25">
      <c r="B67" s="210"/>
      <c r="C67" s="209"/>
      <c r="D67" s="210"/>
      <c r="E67" s="210"/>
      <c r="F67" s="210"/>
    </row>
    <row r="68" spans="2:14" s="177" customFormat="1" ht="14.25"/>
    <row r="69" spans="2:14" s="177" customFormat="1" ht="14.25"/>
    <row r="70" spans="2:14" s="177" customFormat="1" ht="14.25"/>
    <row r="71" spans="2:14" s="177" customFormat="1" ht="14.25"/>
    <row r="72" spans="2:14" s="177" customFormat="1" ht="14.25"/>
    <row r="73" spans="2:14" s="177" customFormat="1" ht="14.25"/>
    <row r="74" spans="2:14" s="177" customFormat="1" ht="14.25"/>
    <row r="75" spans="2:14" s="177" customFormat="1" ht="14.25"/>
    <row r="76" spans="2:14" s="177" customFormat="1" ht="14.25"/>
    <row r="77" spans="2:14" s="177" customFormat="1" ht="14.25"/>
    <row r="78" spans="2:14" s="177" customFormat="1" ht="14.25"/>
    <row r="79" spans="2:14" s="177" customFormat="1" ht="14.25"/>
    <row r="80" spans="2:14" s="177" customFormat="1" ht="14.25"/>
    <row r="81" spans="2:5" s="177" customFormat="1" ht="14.25"/>
    <row r="82" spans="2:5" s="177" customFormat="1" ht="14.25"/>
    <row r="83" spans="2:5" s="177" customFormat="1" ht="14.25"/>
    <row r="84" spans="2:5" s="177" customFormat="1" ht="14.25"/>
    <row r="85" spans="2:5" s="177" customFormat="1" ht="14.25"/>
    <row r="86" spans="2:5" s="177" customFormat="1" ht="14.25"/>
    <row r="87" spans="2:5" s="177" customFormat="1" ht="14.25"/>
    <row r="88" spans="2:5" s="177" customFormat="1" ht="14.25"/>
    <row r="89" spans="2:5" s="177" customFormat="1" ht="15.75">
      <c r="B89" s="961" t="s">
        <v>6119</v>
      </c>
      <c r="C89" s="961"/>
      <c r="D89" s="961"/>
      <c r="E89" s="961"/>
    </row>
    <row r="90" spans="2:5" s="177" customFormat="1" ht="16.5">
      <c r="B90" s="143" t="s">
        <v>6120</v>
      </c>
      <c r="C90" s="143" t="s">
        <v>6121</v>
      </c>
      <c r="D90" s="143" t="s">
        <v>6122</v>
      </c>
      <c r="E90" s="143" t="s">
        <v>6123</v>
      </c>
    </row>
    <row r="91" spans="2:5" s="177" customFormat="1" ht="79.5">
      <c r="B91" s="144" t="s">
        <v>5340</v>
      </c>
      <c r="C91" s="211" t="s">
        <v>6124</v>
      </c>
      <c r="D91" s="146"/>
      <c r="E91" s="146"/>
    </row>
    <row r="92" spans="2:5" s="177" customFormat="1" ht="30">
      <c r="B92" s="976">
        <v>2</v>
      </c>
      <c r="C92" s="977" t="s">
        <v>6125</v>
      </c>
      <c r="D92" s="213" t="s">
        <v>6126</v>
      </c>
      <c r="E92" s="213" t="s">
        <v>6127</v>
      </c>
    </row>
    <row r="93" spans="2:5" s="177" customFormat="1" ht="30">
      <c r="B93" s="976"/>
      <c r="C93" s="977"/>
      <c r="D93" s="213" t="s">
        <v>6128</v>
      </c>
      <c r="E93" s="213" t="s">
        <v>6129</v>
      </c>
    </row>
    <row r="94" spans="2:5" s="177" customFormat="1">
      <c r="B94" s="976"/>
      <c r="C94" s="977"/>
      <c r="D94" s="214" t="s">
        <v>6130</v>
      </c>
      <c r="E94" s="213" t="s">
        <v>6131</v>
      </c>
    </row>
    <row r="95" spans="2:5" s="177" customFormat="1">
      <c r="B95" s="976"/>
      <c r="C95" s="977"/>
      <c r="D95" s="213" t="s">
        <v>6132</v>
      </c>
      <c r="E95" s="213" t="s">
        <v>6133</v>
      </c>
    </row>
    <row r="96" spans="2:5" s="177" customFormat="1">
      <c r="B96" s="976"/>
      <c r="C96" s="977"/>
      <c r="D96" s="215" t="s">
        <v>6134</v>
      </c>
      <c r="E96" s="215" t="s">
        <v>6135</v>
      </c>
    </row>
    <row r="97" spans="2:7" s="177" customFormat="1">
      <c r="B97" s="976"/>
      <c r="C97" s="977"/>
      <c r="D97" s="215" t="s">
        <v>6136</v>
      </c>
      <c r="E97" s="215" t="s">
        <v>6137</v>
      </c>
    </row>
    <row r="98" spans="2:7" s="177" customFormat="1">
      <c r="B98" s="976"/>
      <c r="C98" s="977"/>
      <c r="D98" s="215" t="s">
        <v>6138</v>
      </c>
      <c r="E98" s="215" t="s">
        <v>6139</v>
      </c>
    </row>
    <row r="99" spans="2:7" s="177" customFormat="1">
      <c r="B99" s="976"/>
      <c r="C99" s="977"/>
      <c r="D99" s="215" t="s">
        <v>6140</v>
      </c>
      <c r="E99" s="213" t="s">
        <v>6131</v>
      </c>
    </row>
    <row r="100" spans="2:7" s="177" customFormat="1">
      <c r="B100" s="976"/>
      <c r="C100" s="977"/>
      <c r="D100" s="213" t="s">
        <v>6141</v>
      </c>
      <c r="E100" s="213" t="s">
        <v>6133</v>
      </c>
    </row>
    <row r="101" spans="2:7" s="177" customFormat="1" ht="30">
      <c r="B101" s="974">
        <v>3</v>
      </c>
      <c r="C101" s="975" t="s">
        <v>6142</v>
      </c>
      <c r="D101" s="213" t="s">
        <v>6143</v>
      </c>
      <c r="E101" s="213" t="s">
        <v>6144</v>
      </c>
    </row>
    <row r="102" spans="2:7" s="177" customFormat="1">
      <c r="B102" s="974"/>
      <c r="C102" s="974"/>
      <c r="D102" s="215" t="s">
        <v>6145</v>
      </c>
      <c r="E102" s="213" t="s">
        <v>6131</v>
      </c>
    </row>
    <row r="103" spans="2:7" s="177" customFormat="1">
      <c r="B103" s="974"/>
      <c r="C103" s="974"/>
      <c r="D103" s="215" t="s">
        <v>6146</v>
      </c>
      <c r="E103" s="213" t="s">
        <v>6133</v>
      </c>
    </row>
    <row r="104" spans="2:7" s="177" customFormat="1">
      <c r="B104" s="974">
        <v>4</v>
      </c>
      <c r="C104" s="975" t="s">
        <v>6147</v>
      </c>
      <c r="D104" s="215" t="s">
        <v>6148</v>
      </c>
      <c r="E104" s="215" t="s">
        <v>6149</v>
      </c>
    </row>
    <row r="105" spans="2:7" s="177" customFormat="1" ht="30">
      <c r="B105" s="974"/>
      <c r="C105" s="974"/>
      <c r="D105" s="213" t="s">
        <v>6150</v>
      </c>
      <c r="E105" s="213" t="s">
        <v>6131</v>
      </c>
    </row>
    <row r="106" spans="2:7" s="177" customFormat="1">
      <c r="B106" s="974"/>
      <c r="C106" s="974"/>
      <c r="D106" s="213" t="s">
        <v>6151</v>
      </c>
      <c r="E106" s="213" t="s">
        <v>6133</v>
      </c>
    </row>
    <row r="107" spans="2:7" s="177" customFormat="1" ht="31.5">
      <c r="B107" s="144" t="s">
        <v>5400</v>
      </c>
      <c r="C107" s="212" t="s">
        <v>6152</v>
      </c>
      <c r="D107" s="217"/>
      <c r="E107" s="217"/>
    </row>
    <row r="108" spans="2:7" s="177" customFormat="1" ht="14.25"/>
    <row r="109" spans="2:7" s="177" customFormat="1" ht="14.25"/>
    <row r="110" spans="2:7" s="177" customFormat="1" ht="16.5">
      <c r="B110" s="971" t="s">
        <v>6153</v>
      </c>
      <c r="C110" s="970"/>
      <c r="D110" s="970"/>
      <c r="E110" s="970"/>
      <c r="F110" s="219"/>
      <c r="G110" s="219"/>
    </row>
    <row r="111" spans="2:7" s="177" customFormat="1" ht="16.5">
      <c r="B111" s="218" t="s">
        <v>6154</v>
      </c>
      <c r="C111" s="970" t="s">
        <v>6155</v>
      </c>
      <c r="D111" s="970"/>
      <c r="E111" s="218" t="s">
        <v>6156</v>
      </c>
      <c r="F111" s="219"/>
      <c r="G111" s="219"/>
    </row>
    <row r="112" spans="2:7" s="177" customFormat="1" ht="16.5">
      <c r="B112" s="965" t="s">
        <v>6157</v>
      </c>
      <c r="C112" s="220" t="s">
        <v>6158</v>
      </c>
      <c r="D112" s="221" t="s">
        <v>6159</v>
      </c>
      <c r="E112" s="221" t="s">
        <v>6160</v>
      </c>
      <c r="F112" s="219"/>
      <c r="G112" s="219"/>
    </row>
    <row r="113" spans="2:7" s="177" customFormat="1" ht="16.5">
      <c r="B113" s="965"/>
      <c r="C113" s="220" t="s">
        <v>6161</v>
      </c>
      <c r="D113" s="221" t="s">
        <v>6162</v>
      </c>
      <c r="E113" s="221"/>
      <c r="F113" s="219"/>
      <c r="G113" s="219"/>
    </row>
    <row r="114" spans="2:7" s="177" customFormat="1" ht="16.5">
      <c r="B114" s="965" t="s">
        <v>6163</v>
      </c>
      <c r="C114" s="220" t="s">
        <v>6158</v>
      </c>
      <c r="D114" s="221" t="s">
        <v>6164</v>
      </c>
      <c r="E114" s="221" t="s">
        <v>6165</v>
      </c>
      <c r="F114" s="219"/>
      <c r="G114" s="219"/>
    </row>
    <row r="115" spans="2:7" s="177" customFormat="1" ht="16.5">
      <c r="B115" s="965"/>
      <c r="C115" s="220" t="s">
        <v>6161</v>
      </c>
      <c r="D115" s="221" t="s">
        <v>6166</v>
      </c>
      <c r="E115" s="221"/>
      <c r="F115" s="219"/>
      <c r="G115" s="219"/>
    </row>
    <row r="116" spans="2:7" s="177" customFormat="1" ht="16.5">
      <c r="B116" s="965"/>
      <c r="C116" s="220" t="s">
        <v>6158</v>
      </c>
      <c r="D116" s="221" t="s">
        <v>6167</v>
      </c>
      <c r="E116" s="221" t="s">
        <v>6168</v>
      </c>
      <c r="F116" s="219"/>
      <c r="G116" s="219"/>
    </row>
    <row r="117" spans="2:7" s="177" customFormat="1" ht="16.5">
      <c r="B117" s="965"/>
      <c r="C117" s="220" t="s">
        <v>6161</v>
      </c>
      <c r="D117" s="221" t="s">
        <v>6169</v>
      </c>
      <c r="E117" s="221"/>
      <c r="F117" s="219"/>
      <c r="G117" s="219"/>
    </row>
    <row r="118" spans="2:7" s="177" customFormat="1" ht="16.5">
      <c r="B118" s="965" t="s">
        <v>6170</v>
      </c>
      <c r="C118" s="220" t="s">
        <v>6158</v>
      </c>
      <c r="D118" s="221" t="s">
        <v>6171</v>
      </c>
      <c r="E118" s="221"/>
      <c r="F118" s="219"/>
      <c r="G118" s="219"/>
    </row>
    <row r="119" spans="2:7" s="177" customFormat="1" ht="16.5">
      <c r="B119" s="965"/>
      <c r="C119" s="220" t="s">
        <v>6161</v>
      </c>
      <c r="D119" s="221"/>
      <c r="E119" s="221"/>
      <c r="F119" s="219"/>
      <c r="G119" s="219"/>
    </row>
    <row r="120" spans="2:7" s="177" customFormat="1" ht="49.5">
      <c r="B120" s="965" t="s">
        <v>6172</v>
      </c>
      <c r="C120" s="220" t="s">
        <v>6158</v>
      </c>
      <c r="D120" s="221" t="s">
        <v>6173</v>
      </c>
      <c r="E120" s="220" t="s">
        <v>6174</v>
      </c>
      <c r="F120" s="222" t="s">
        <v>6175</v>
      </c>
      <c r="G120" s="219"/>
    </row>
    <row r="121" spans="2:7" s="177" customFormat="1" ht="16.5">
      <c r="B121" s="965"/>
      <c r="C121" s="220" t="s">
        <v>6161</v>
      </c>
      <c r="D121" s="221" t="s">
        <v>6176</v>
      </c>
      <c r="E121" s="223" t="s">
        <v>6177</v>
      </c>
      <c r="F121" s="219"/>
      <c r="G121" s="219"/>
    </row>
    <row r="122" spans="2:7" s="177" customFormat="1" ht="66">
      <c r="B122" s="220" t="s">
        <v>6178</v>
      </c>
      <c r="C122" s="220"/>
      <c r="D122" s="221"/>
      <c r="E122" s="221" t="s">
        <v>6179</v>
      </c>
      <c r="F122" s="219"/>
      <c r="G122" s="219"/>
    </row>
    <row r="123" spans="2:7" s="177" customFormat="1" ht="99">
      <c r="B123" s="220" t="s">
        <v>6180</v>
      </c>
      <c r="C123" s="220"/>
      <c r="D123" s="221"/>
      <c r="E123" s="221" t="s">
        <v>6181</v>
      </c>
      <c r="F123" s="219"/>
      <c r="G123" s="219"/>
    </row>
    <row r="124" spans="2:7" s="177" customFormat="1" ht="49.5">
      <c r="B124" s="965" t="s">
        <v>6182</v>
      </c>
      <c r="C124" s="220" t="s">
        <v>6158</v>
      </c>
      <c r="D124" s="221" t="s">
        <v>6183</v>
      </c>
      <c r="E124" s="224" t="s">
        <v>6184</v>
      </c>
      <c r="F124" s="222" t="s">
        <v>6185</v>
      </c>
      <c r="G124" s="219"/>
    </row>
    <row r="125" spans="2:7" s="177" customFormat="1" ht="66">
      <c r="B125" s="965"/>
      <c r="C125" s="220" t="s">
        <v>6161</v>
      </c>
      <c r="D125" s="221" t="s">
        <v>6186</v>
      </c>
      <c r="E125" s="220" t="s">
        <v>6187</v>
      </c>
      <c r="F125" s="219"/>
      <c r="G125" s="219"/>
    </row>
    <row r="126" spans="2:7" s="177" customFormat="1" ht="16.5">
      <c r="B126" s="965" t="s">
        <v>6188</v>
      </c>
      <c r="C126" s="220" t="s">
        <v>6158</v>
      </c>
      <c r="D126" s="221" t="s">
        <v>6189</v>
      </c>
      <c r="E126" s="965" t="s">
        <v>6190</v>
      </c>
      <c r="F126" s="219"/>
      <c r="G126" s="219"/>
    </row>
    <row r="127" spans="2:7" s="177" customFormat="1" ht="16.5">
      <c r="B127" s="965"/>
      <c r="C127" s="220" t="s">
        <v>6161</v>
      </c>
      <c r="D127" s="221" t="s">
        <v>6191</v>
      </c>
      <c r="E127" s="965"/>
      <c r="F127" s="219"/>
      <c r="G127" s="219"/>
    </row>
    <row r="128" spans="2:7" s="177" customFormat="1" ht="49.5">
      <c r="B128" s="965" t="s">
        <v>6192</v>
      </c>
      <c r="C128" s="220" t="s">
        <v>6158</v>
      </c>
      <c r="D128" s="221" t="s">
        <v>6193</v>
      </c>
      <c r="E128" s="224" t="s">
        <v>6194</v>
      </c>
      <c r="F128" s="222" t="s">
        <v>6195</v>
      </c>
      <c r="G128" s="219"/>
    </row>
    <row r="129" spans="2:7" s="177" customFormat="1" ht="66">
      <c r="B129" s="965"/>
      <c r="C129" s="220" t="s">
        <v>6161</v>
      </c>
      <c r="D129" s="221" t="s">
        <v>6196</v>
      </c>
      <c r="E129" s="220" t="s">
        <v>6187</v>
      </c>
      <c r="F129" s="219"/>
      <c r="G129" s="219"/>
    </row>
    <row r="130" spans="2:7" s="177" customFormat="1" ht="16.5">
      <c r="B130" s="965" t="s">
        <v>6197</v>
      </c>
      <c r="C130" s="220" t="s">
        <v>6158</v>
      </c>
      <c r="D130" s="221" t="s">
        <v>6198</v>
      </c>
      <c r="E130" s="965" t="s">
        <v>6199</v>
      </c>
      <c r="F130" s="219"/>
      <c r="G130" s="219"/>
    </row>
    <row r="131" spans="2:7" s="177" customFormat="1" ht="16.5">
      <c r="B131" s="965"/>
      <c r="C131" s="220" t="s">
        <v>6161</v>
      </c>
      <c r="D131" s="221" t="s">
        <v>6200</v>
      </c>
      <c r="E131" s="965"/>
      <c r="F131" s="219"/>
      <c r="G131" s="219"/>
    </row>
    <row r="132" spans="2:7" s="177" customFormat="1" ht="14.25"/>
    <row r="133" spans="2:7" s="177" customFormat="1" ht="14.25"/>
    <row r="134" spans="2:7" s="177" customFormat="1" ht="14.25"/>
    <row r="135" spans="2:7" s="177" customFormat="1" ht="16.5">
      <c r="B135" s="971" t="s">
        <v>6201</v>
      </c>
      <c r="C135" s="970"/>
      <c r="D135" s="970"/>
      <c r="E135" s="970"/>
    </row>
    <row r="136" spans="2:7" s="177" customFormat="1" ht="16.5">
      <c r="B136" s="218" t="s">
        <v>6154</v>
      </c>
      <c r="C136" s="970" t="s">
        <v>6155</v>
      </c>
      <c r="D136" s="970"/>
      <c r="E136" s="218" t="s">
        <v>6156</v>
      </c>
    </row>
    <row r="137" spans="2:7" s="177" customFormat="1" ht="16.5">
      <c r="B137" s="965" t="s">
        <v>6157</v>
      </c>
      <c r="C137" s="220" t="s">
        <v>6158</v>
      </c>
      <c r="D137" s="221" t="s">
        <v>6159</v>
      </c>
      <c r="E137" s="221" t="s">
        <v>6160</v>
      </c>
    </row>
    <row r="138" spans="2:7" s="177" customFormat="1" ht="16.5">
      <c r="B138" s="965"/>
      <c r="C138" s="220" t="s">
        <v>6161</v>
      </c>
      <c r="D138" s="221" t="s">
        <v>6162</v>
      </c>
      <c r="E138" s="221"/>
    </row>
    <row r="139" spans="2:7" s="177" customFormat="1" ht="16.5">
      <c r="B139" s="965" t="s">
        <v>6163</v>
      </c>
      <c r="C139" s="220" t="s">
        <v>6158</v>
      </c>
      <c r="D139" s="221" t="s">
        <v>6164</v>
      </c>
      <c r="E139" s="221" t="s">
        <v>6165</v>
      </c>
    </row>
    <row r="140" spans="2:7" s="177" customFormat="1" ht="16.5">
      <c r="B140" s="965"/>
      <c r="C140" s="220" t="s">
        <v>6161</v>
      </c>
      <c r="D140" s="221" t="s">
        <v>6166</v>
      </c>
      <c r="E140" s="221"/>
    </row>
    <row r="141" spans="2:7" s="177" customFormat="1" ht="16.5">
      <c r="B141" s="965"/>
      <c r="C141" s="220" t="s">
        <v>6158</v>
      </c>
      <c r="D141" s="221" t="s">
        <v>6167</v>
      </c>
      <c r="E141" s="221" t="s">
        <v>6168</v>
      </c>
    </row>
    <row r="142" spans="2:7" s="177" customFormat="1" ht="16.5">
      <c r="B142" s="965"/>
      <c r="C142" s="220" t="s">
        <v>6161</v>
      </c>
      <c r="D142" s="221" t="s">
        <v>6169</v>
      </c>
      <c r="E142" s="221"/>
    </row>
    <row r="143" spans="2:7" s="177" customFormat="1" ht="16.5">
      <c r="B143" s="965" t="s">
        <v>6170</v>
      </c>
      <c r="C143" s="220" t="s">
        <v>6158</v>
      </c>
      <c r="D143" s="221" t="s">
        <v>6171</v>
      </c>
      <c r="E143" s="221"/>
    </row>
    <row r="144" spans="2:7" s="177" customFormat="1" ht="16.5">
      <c r="B144" s="965"/>
      <c r="C144" s="220" t="s">
        <v>6161</v>
      </c>
      <c r="D144" s="221"/>
      <c r="E144" s="221"/>
    </row>
    <row r="145" spans="2:7" s="177" customFormat="1" ht="49.5">
      <c r="B145" s="965" t="s">
        <v>6202</v>
      </c>
      <c r="C145" s="220" t="s">
        <v>6158</v>
      </c>
      <c r="D145" s="221" t="s">
        <v>6203</v>
      </c>
      <c r="E145" s="220" t="s">
        <v>6204</v>
      </c>
      <c r="F145" s="225" t="s">
        <v>6205</v>
      </c>
    </row>
    <row r="146" spans="2:7" s="177" customFormat="1" ht="66">
      <c r="B146" s="965"/>
      <c r="C146" s="226" t="s">
        <v>6206</v>
      </c>
      <c r="D146" s="227" t="s">
        <v>6207</v>
      </c>
      <c r="E146" s="226" t="s">
        <v>6208</v>
      </c>
      <c r="F146" s="219"/>
    </row>
    <row r="147" spans="2:7" s="177" customFormat="1" ht="16.5">
      <c r="B147" s="965"/>
      <c r="C147" s="220" t="s">
        <v>6161</v>
      </c>
      <c r="D147" s="221" t="s">
        <v>6176</v>
      </c>
      <c r="E147" s="221" t="s">
        <v>6209</v>
      </c>
      <c r="F147" s="219"/>
    </row>
    <row r="148" spans="2:7" s="177" customFormat="1" ht="66">
      <c r="B148" s="220" t="s">
        <v>6178</v>
      </c>
      <c r="C148" s="220"/>
      <c r="D148" s="221"/>
      <c r="E148" s="221" t="s">
        <v>6179</v>
      </c>
      <c r="F148" s="219"/>
    </row>
    <row r="149" spans="2:7" s="177" customFormat="1" ht="99">
      <c r="B149" s="220" t="s">
        <v>6180</v>
      </c>
      <c r="C149" s="220"/>
      <c r="D149" s="221"/>
      <c r="E149" s="221" t="s">
        <v>6181</v>
      </c>
      <c r="F149" s="219"/>
    </row>
    <row r="150" spans="2:7" s="177" customFormat="1" ht="49.5">
      <c r="B150" s="965" t="s">
        <v>6182</v>
      </c>
      <c r="C150" s="220" t="s">
        <v>6158</v>
      </c>
      <c r="D150" s="221" t="s">
        <v>6183</v>
      </c>
      <c r="E150" s="224" t="s">
        <v>6210</v>
      </c>
      <c r="F150" s="225" t="s">
        <v>6211</v>
      </c>
    </row>
    <row r="151" spans="2:7" s="177" customFormat="1" ht="66">
      <c r="B151" s="965"/>
      <c r="C151" s="220" t="s">
        <v>6161</v>
      </c>
      <c r="D151" s="221" t="s">
        <v>6186</v>
      </c>
      <c r="E151" s="224" t="s">
        <v>6212</v>
      </c>
      <c r="F151" s="219"/>
    </row>
    <row r="152" spans="2:7" s="177" customFormat="1" ht="33">
      <c r="B152" s="965" t="s">
        <v>6188</v>
      </c>
      <c r="C152" s="220" t="s">
        <v>6158</v>
      </c>
      <c r="D152" s="221" t="s">
        <v>6189</v>
      </c>
      <c r="E152" s="224" t="s">
        <v>6213</v>
      </c>
      <c r="F152" s="219"/>
    </row>
    <row r="153" spans="2:7" s="177" customFormat="1" ht="16.5">
      <c r="B153" s="965"/>
      <c r="C153" s="220" t="s">
        <v>6161</v>
      </c>
      <c r="D153" s="221" t="s">
        <v>6191</v>
      </c>
      <c r="E153" s="224"/>
      <c r="F153" s="219"/>
    </row>
    <row r="154" spans="2:7" s="177" customFormat="1" ht="49.5">
      <c r="B154" s="965" t="s">
        <v>6192</v>
      </c>
      <c r="C154" s="220" t="s">
        <v>6158</v>
      </c>
      <c r="D154" s="221" t="s">
        <v>6193</v>
      </c>
      <c r="E154" s="224" t="s">
        <v>6214</v>
      </c>
      <c r="F154" s="225" t="s">
        <v>6215</v>
      </c>
    </row>
    <row r="155" spans="2:7" s="177" customFormat="1" ht="66">
      <c r="B155" s="965"/>
      <c r="C155" s="220" t="s">
        <v>6161</v>
      </c>
      <c r="D155" s="221" t="s">
        <v>6196</v>
      </c>
      <c r="E155" s="224" t="s">
        <v>6212</v>
      </c>
      <c r="F155" s="219"/>
    </row>
    <row r="156" spans="2:7" s="177" customFormat="1" ht="49.5">
      <c r="B156" s="965" t="s">
        <v>6197</v>
      </c>
      <c r="C156" s="220" t="s">
        <v>6158</v>
      </c>
      <c r="D156" s="221" t="s">
        <v>6198</v>
      </c>
      <c r="E156" s="224" t="s">
        <v>6216</v>
      </c>
    </row>
    <row r="157" spans="2:7" s="177" customFormat="1" ht="16.5">
      <c r="B157" s="965"/>
      <c r="C157" s="220" t="s">
        <v>6161</v>
      </c>
      <c r="D157" s="221" t="s">
        <v>6200</v>
      </c>
      <c r="E157" s="224"/>
    </row>
    <row r="158" spans="2:7" s="177" customFormat="1" ht="16.5">
      <c r="B158" s="228"/>
      <c r="C158" s="228"/>
      <c r="D158" s="229"/>
      <c r="E158" s="228"/>
    </row>
    <row r="159" spans="2:7" s="177" customFormat="1" ht="16.5">
      <c r="B159" s="971" t="s">
        <v>6217</v>
      </c>
      <c r="C159" s="970"/>
      <c r="D159" s="970"/>
      <c r="E159" s="970"/>
      <c r="F159" s="219"/>
      <c r="G159" s="219"/>
    </row>
    <row r="160" spans="2:7" s="177" customFormat="1" ht="16.5">
      <c r="B160" s="218" t="s">
        <v>6154</v>
      </c>
      <c r="C160" s="970" t="s">
        <v>6155</v>
      </c>
      <c r="D160" s="970"/>
      <c r="E160" s="218" t="s">
        <v>6156</v>
      </c>
      <c r="F160" s="219"/>
      <c r="G160" s="219"/>
    </row>
    <row r="161" spans="2:7" s="177" customFormat="1" ht="16.5">
      <c r="B161" s="965" t="s">
        <v>6157</v>
      </c>
      <c r="C161" s="220" t="s">
        <v>6158</v>
      </c>
      <c r="D161" s="221" t="s">
        <v>6159</v>
      </c>
      <c r="E161" s="221" t="s">
        <v>6160</v>
      </c>
      <c r="F161" s="219"/>
      <c r="G161" s="219"/>
    </row>
    <row r="162" spans="2:7" s="177" customFormat="1" ht="16.5">
      <c r="B162" s="965"/>
      <c r="C162" s="220" t="s">
        <v>6161</v>
      </c>
      <c r="D162" s="221" t="s">
        <v>6162</v>
      </c>
      <c r="E162" s="221"/>
      <c r="F162" s="219"/>
      <c r="G162" s="219"/>
    </row>
    <row r="163" spans="2:7" s="177" customFormat="1" ht="16.5">
      <c r="B163" s="965" t="s">
        <v>6163</v>
      </c>
      <c r="C163" s="220" t="s">
        <v>6158</v>
      </c>
      <c r="D163" s="221" t="s">
        <v>6164</v>
      </c>
      <c r="E163" s="221" t="s">
        <v>6165</v>
      </c>
      <c r="F163" s="219"/>
      <c r="G163" s="219"/>
    </row>
    <row r="164" spans="2:7" s="177" customFormat="1" ht="16.5">
      <c r="B164" s="965"/>
      <c r="C164" s="220" t="s">
        <v>6161</v>
      </c>
      <c r="D164" s="221" t="s">
        <v>6166</v>
      </c>
      <c r="E164" s="221"/>
      <c r="F164" s="219"/>
      <c r="G164" s="219"/>
    </row>
    <row r="165" spans="2:7" s="177" customFormat="1" ht="16.5">
      <c r="B165" s="965"/>
      <c r="C165" s="220" t="s">
        <v>6158</v>
      </c>
      <c r="D165" s="221" t="s">
        <v>6167</v>
      </c>
      <c r="E165" s="221" t="s">
        <v>6168</v>
      </c>
      <c r="F165" s="219"/>
      <c r="G165" s="219"/>
    </row>
    <row r="166" spans="2:7" s="177" customFormat="1" ht="16.5">
      <c r="B166" s="965"/>
      <c r="C166" s="220" t="s">
        <v>6161</v>
      </c>
      <c r="D166" s="221" t="s">
        <v>6169</v>
      </c>
      <c r="E166" s="221"/>
      <c r="F166" s="219"/>
      <c r="G166" s="219"/>
    </row>
    <row r="167" spans="2:7" s="177" customFormat="1" ht="16.5">
      <c r="B167" s="965" t="s">
        <v>6170</v>
      </c>
      <c r="C167" s="220" t="s">
        <v>6158</v>
      </c>
      <c r="D167" s="221" t="s">
        <v>6171</v>
      </c>
      <c r="E167" s="221"/>
      <c r="F167" s="219"/>
      <c r="G167" s="219"/>
    </row>
    <row r="168" spans="2:7" s="177" customFormat="1" ht="16.5">
      <c r="B168" s="965"/>
      <c r="C168" s="220" t="s">
        <v>6161</v>
      </c>
      <c r="D168" s="221"/>
      <c r="E168" s="221"/>
      <c r="F168" s="219"/>
      <c r="G168" s="219"/>
    </row>
    <row r="169" spans="2:7" s="177" customFormat="1" ht="49.5">
      <c r="B169" s="965" t="s">
        <v>6172</v>
      </c>
      <c r="C169" s="220" t="s">
        <v>6158</v>
      </c>
      <c r="D169" s="221" t="s">
        <v>6173</v>
      </c>
      <c r="E169" s="220" t="s">
        <v>6218</v>
      </c>
      <c r="F169" s="222" t="s">
        <v>6219</v>
      </c>
      <c r="G169" s="219"/>
    </row>
    <row r="170" spans="2:7" s="177" customFormat="1" ht="16.5">
      <c r="B170" s="965"/>
      <c r="C170" s="220" t="s">
        <v>6161</v>
      </c>
      <c r="D170" s="221" t="s">
        <v>6176</v>
      </c>
      <c r="E170" s="221" t="s">
        <v>6209</v>
      </c>
      <c r="F170" s="219"/>
      <c r="G170" s="219"/>
    </row>
    <row r="171" spans="2:7" s="177" customFormat="1" ht="66">
      <c r="B171" s="220" t="s">
        <v>6178</v>
      </c>
      <c r="C171" s="220"/>
      <c r="D171" s="221"/>
      <c r="E171" s="221" t="s">
        <v>6179</v>
      </c>
      <c r="F171" s="219"/>
      <c r="G171" s="219"/>
    </row>
    <row r="172" spans="2:7" s="177" customFormat="1" ht="99">
      <c r="B172" s="220" t="s">
        <v>6180</v>
      </c>
      <c r="C172" s="220"/>
      <c r="D172" s="221"/>
      <c r="E172" s="221" t="s">
        <v>6181</v>
      </c>
      <c r="F172" s="219"/>
      <c r="G172" s="219"/>
    </row>
    <row r="173" spans="2:7" s="177" customFormat="1" ht="33">
      <c r="B173" s="965" t="s">
        <v>6182</v>
      </c>
      <c r="C173" s="220" t="s">
        <v>6158</v>
      </c>
      <c r="D173" s="221" t="s">
        <v>6183</v>
      </c>
      <c r="E173" s="220" t="s">
        <v>6220</v>
      </c>
      <c r="F173" s="222" t="s">
        <v>6221</v>
      </c>
      <c r="G173" s="219"/>
    </row>
    <row r="174" spans="2:7" s="177" customFormat="1" ht="66">
      <c r="B174" s="965"/>
      <c r="C174" s="220" t="s">
        <v>6161</v>
      </c>
      <c r="D174" s="221" t="s">
        <v>6186</v>
      </c>
      <c r="E174" s="220" t="s">
        <v>6187</v>
      </c>
      <c r="F174" s="219"/>
      <c r="G174" s="219"/>
    </row>
    <row r="175" spans="2:7" s="177" customFormat="1" ht="16.5">
      <c r="B175" s="965" t="s">
        <v>6188</v>
      </c>
      <c r="C175" s="220" t="s">
        <v>6158</v>
      </c>
      <c r="D175" s="221" t="s">
        <v>6189</v>
      </c>
      <c r="E175" s="972" t="s">
        <v>6190</v>
      </c>
      <c r="F175" s="219"/>
      <c r="G175" s="219"/>
    </row>
    <row r="176" spans="2:7" s="177" customFormat="1" ht="16.5">
      <c r="B176" s="965"/>
      <c r="C176" s="220" t="s">
        <v>6161</v>
      </c>
      <c r="D176" s="221" t="s">
        <v>6191</v>
      </c>
      <c r="E176" s="973"/>
      <c r="F176" s="219"/>
      <c r="G176" s="219"/>
    </row>
    <row r="177" spans="2:7" s="177" customFormat="1" ht="33">
      <c r="B177" s="965" t="s">
        <v>6192</v>
      </c>
      <c r="C177" s="220" t="s">
        <v>6158</v>
      </c>
      <c r="D177" s="221" t="s">
        <v>6193</v>
      </c>
      <c r="E177" s="220" t="s">
        <v>6222</v>
      </c>
      <c r="F177" s="222" t="s">
        <v>6223</v>
      </c>
      <c r="G177" s="219"/>
    </row>
    <row r="178" spans="2:7" s="177" customFormat="1" ht="66">
      <c r="B178" s="965"/>
      <c r="C178" s="220" t="s">
        <v>6161</v>
      </c>
      <c r="D178" s="221" t="s">
        <v>6196</v>
      </c>
      <c r="E178" s="220" t="s">
        <v>6187</v>
      </c>
      <c r="F178" s="219"/>
      <c r="G178" s="219"/>
    </row>
    <row r="179" spans="2:7" s="177" customFormat="1" ht="16.5">
      <c r="B179" s="965" t="s">
        <v>6197</v>
      </c>
      <c r="C179" s="220" t="s">
        <v>6158</v>
      </c>
      <c r="D179" s="221" t="s">
        <v>6198</v>
      </c>
      <c r="E179" s="972" t="s">
        <v>6199</v>
      </c>
      <c r="F179" s="219"/>
      <c r="G179" s="219"/>
    </row>
    <row r="180" spans="2:7" s="177" customFormat="1" ht="16.5">
      <c r="B180" s="965"/>
      <c r="C180" s="220" t="s">
        <v>6161</v>
      </c>
      <c r="D180" s="221" t="s">
        <v>6200</v>
      </c>
      <c r="E180" s="973"/>
      <c r="F180" s="219"/>
      <c r="G180" s="219"/>
    </row>
    <row r="181" spans="2:7" s="177" customFormat="1" ht="14.25"/>
    <row r="182" spans="2:7" s="177" customFormat="1" ht="16.5">
      <c r="B182" s="971" t="s">
        <v>6224</v>
      </c>
      <c r="C182" s="970"/>
      <c r="D182" s="970"/>
      <c r="E182" s="970"/>
      <c r="F182" s="219"/>
    </row>
    <row r="183" spans="2:7" s="177" customFormat="1" ht="16.5">
      <c r="B183" s="218" t="s">
        <v>6154</v>
      </c>
      <c r="C183" s="970" t="s">
        <v>6155</v>
      </c>
      <c r="D183" s="970"/>
      <c r="E183" s="218" t="s">
        <v>6156</v>
      </c>
      <c r="F183" s="219"/>
    </row>
    <row r="184" spans="2:7" s="177" customFormat="1" ht="16.5">
      <c r="B184" s="965" t="s">
        <v>6157</v>
      </c>
      <c r="C184" s="220" t="s">
        <v>6158</v>
      </c>
      <c r="D184" s="221" t="s">
        <v>6159</v>
      </c>
      <c r="E184" s="221" t="s">
        <v>6160</v>
      </c>
      <c r="F184" s="219"/>
    </row>
    <row r="185" spans="2:7" s="177" customFormat="1" ht="16.5">
      <c r="B185" s="965"/>
      <c r="C185" s="220" t="s">
        <v>6161</v>
      </c>
      <c r="D185" s="221" t="s">
        <v>6162</v>
      </c>
      <c r="E185" s="221"/>
      <c r="F185" s="219"/>
    </row>
    <row r="186" spans="2:7" s="177" customFormat="1" ht="16.5">
      <c r="B186" s="965" t="s">
        <v>6163</v>
      </c>
      <c r="C186" s="220" t="s">
        <v>6158</v>
      </c>
      <c r="D186" s="221" t="s">
        <v>6164</v>
      </c>
      <c r="E186" s="221" t="s">
        <v>6165</v>
      </c>
      <c r="F186" s="219"/>
    </row>
    <row r="187" spans="2:7" s="177" customFormat="1" ht="16.5">
      <c r="B187" s="965"/>
      <c r="C187" s="220" t="s">
        <v>6161</v>
      </c>
      <c r="D187" s="221" t="s">
        <v>6166</v>
      </c>
      <c r="E187" s="221"/>
      <c r="F187" s="219"/>
    </row>
    <row r="188" spans="2:7" s="177" customFormat="1" ht="16.5">
      <c r="B188" s="965"/>
      <c r="C188" s="220" t="s">
        <v>6158</v>
      </c>
      <c r="D188" s="221" t="s">
        <v>6167</v>
      </c>
      <c r="E188" s="221" t="s">
        <v>6168</v>
      </c>
      <c r="F188" s="219"/>
    </row>
    <row r="189" spans="2:7" s="177" customFormat="1" ht="16.5">
      <c r="B189" s="965"/>
      <c r="C189" s="220" t="s">
        <v>6161</v>
      </c>
      <c r="D189" s="221" t="s">
        <v>6169</v>
      </c>
      <c r="E189" s="221"/>
      <c r="F189" s="219"/>
    </row>
    <row r="190" spans="2:7" s="177" customFormat="1" ht="16.5">
      <c r="B190" s="965" t="s">
        <v>6170</v>
      </c>
      <c r="C190" s="220" t="s">
        <v>6158</v>
      </c>
      <c r="D190" s="221" t="s">
        <v>6171</v>
      </c>
      <c r="E190" s="221"/>
      <c r="F190" s="219"/>
    </row>
    <row r="191" spans="2:7" s="177" customFormat="1" ht="16.5">
      <c r="B191" s="965"/>
      <c r="C191" s="220" t="s">
        <v>6161</v>
      </c>
      <c r="D191" s="221"/>
      <c r="E191" s="221"/>
      <c r="F191" s="219"/>
    </row>
    <row r="192" spans="2:7" s="177" customFormat="1" ht="66">
      <c r="B192" s="965" t="s">
        <v>6172</v>
      </c>
      <c r="C192" s="220" t="s">
        <v>6158</v>
      </c>
      <c r="D192" s="221" t="s">
        <v>6173</v>
      </c>
      <c r="E192" s="220" t="s">
        <v>6225</v>
      </c>
      <c r="F192" s="225" t="s">
        <v>6226</v>
      </c>
    </row>
    <row r="193" spans="2:6" s="177" customFormat="1" ht="66">
      <c r="B193" s="965"/>
      <c r="C193" s="230" t="s">
        <v>6206</v>
      </c>
      <c r="D193" s="231" t="s">
        <v>6207</v>
      </c>
      <c r="E193" s="230" t="s">
        <v>6208</v>
      </c>
      <c r="F193" s="225"/>
    </row>
    <row r="194" spans="2:6" s="177" customFormat="1" ht="16.5">
      <c r="B194" s="965"/>
      <c r="C194" s="220" t="s">
        <v>6161</v>
      </c>
      <c r="D194" s="221" t="s">
        <v>6176</v>
      </c>
      <c r="E194" s="221" t="s">
        <v>6209</v>
      </c>
      <c r="F194" s="219"/>
    </row>
    <row r="195" spans="2:6" s="177" customFormat="1" ht="66">
      <c r="B195" s="220" t="s">
        <v>6178</v>
      </c>
      <c r="C195" s="220"/>
      <c r="D195" s="221"/>
      <c r="E195" s="221" t="s">
        <v>6179</v>
      </c>
      <c r="F195" s="219"/>
    </row>
    <row r="196" spans="2:6" s="177" customFormat="1" ht="99">
      <c r="B196" s="220" t="s">
        <v>6180</v>
      </c>
      <c r="C196" s="220"/>
      <c r="D196" s="221"/>
      <c r="E196" s="221" t="s">
        <v>6181</v>
      </c>
      <c r="F196" s="219"/>
    </row>
    <row r="197" spans="2:6" s="177" customFormat="1" ht="49.5">
      <c r="B197" s="965" t="s">
        <v>6182</v>
      </c>
      <c r="C197" s="220" t="s">
        <v>6158</v>
      </c>
      <c r="D197" s="221" t="s">
        <v>6183</v>
      </c>
      <c r="E197" s="220" t="s">
        <v>6227</v>
      </c>
      <c r="F197" s="222" t="s">
        <v>6228</v>
      </c>
    </row>
    <row r="198" spans="2:6" s="177" customFormat="1" ht="66">
      <c r="B198" s="965"/>
      <c r="C198" s="220" t="s">
        <v>6161</v>
      </c>
      <c r="D198" s="221" t="s">
        <v>6186</v>
      </c>
      <c r="E198" s="220" t="s">
        <v>6187</v>
      </c>
      <c r="F198" s="219"/>
    </row>
    <row r="199" spans="2:6" s="177" customFormat="1" ht="16.5">
      <c r="B199" s="965" t="s">
        <v>6188</v>
      </c>
      <c r="C199" s="220" t="s">
        <v>6158</v>
      </c>
      <c r="D199" s="221" t="s">
        <v>6189</v>
      </c>
      <c r="E199" s="965" t="s">
        <v>6190</v>
      </c>
      <c r="F199" s="219"/>
    </row>
    <row r="200" spans="2:6" s="177" customFormat="1" ht="16.5">
      <c r="B200" s="965"/>
      <c r="C200" s="220" t="s">
        <v>6161</v>
      </c>
      <c r="D200" s="221" t="s">
        <v>6191</v>
      </c>
      <c r="E200" s="965"/>
      <c r="F200" s="219"/>
    </row>
    <row r="201" spans="2:6" s="177" customFormat="1" ht="49.5">
      <c r="B201" s="965" t="s">
        <v>6192</v>
      </c>
      <c r="C201" s="220" t="s">
        <v>6158</v>
      </c>
      <c r="D201" s="221" t="s">
        <v>6193</v>
      </c>
      <c r="E201" s="220" t="s">
        <v>6229</v>
      </c>
      <c r="F201" s="222" t="s">
        <v>6230</v>
      </c>
    </row>
    <row r="202" spans="2:6" s="177" customFormat="1" ht="66">
      <c r="B202" s="965"/>
      <c r="C202" s="220" t="s">
        <v>6161</v>
      </c>
      <c r="D202" s="221" t="s">
        <v>6196</v>
      </c>
      <c r="E202" s="220" t="s">
        <v>6187</v>
      </c>
      <c r="F202" s="219"/>
    </row>
    <row r="203" spans="2:6" s="177" customFormat="1" ht="16.5">
      <c r="B203" s="965" t="s">
        <v>6197</v>
      </c>
      <c r="C203" s="220" t="s">
        <v>6158</v>
      </c>
      <c r="D203" s="221" t="s">
        <v>6198</v>
      </c>
      <c r="E203" s="965" t="s">
        <v>6199</v>
      </c>
    </row>
    <row r="204" spans="2:6" s="177" customFormat="1" ht="16.5">
      <c r="B204" s="965"/>
      <c r="C204" s="220" t="s">
        <v>6161</v>
      </c>
      <c r="D204" s="221" t="s">
        <v>6200</v>
      </c>
      <c r="E204" s="965"/>
    </row>
    <row r="205" spans="2:6" s="177" customFormat="1" ht="14.25"/>
    <row r="206" spans="2:6" s="177" customFormat="1" ht="14.25"/>
    <row r="207" spans="2:6" s="177" customFormat="1" ht="14.25"/>
    <row r="208" spans="2:6" s="177" customFormat="1" ht="16.5">
      <c r="B208" s="967" t="s">
        <v>6231</v>
      </c>
      <c r="C208" s="968"/>
      <c r="D208" s="968"/>
      <c r="E208" s="969"/>
      <c r="F208" s="219"/>
    </row>
    <row r="209" spans="2:9" s="177" customFormat="1" ht="16.5">
      <c r="B209" s="218" t="s">
        <v>6154</v>
      </c>
      <c r="C209" s="970" t="s">
        <v>6155</v>
      </c>
      <c r="D209" s="970"/>
      <c r="E209" s="218" t="s">
        <v>6156</v>
      </c>
      <c r="F209" s="219"/>
    </row>
    <row r="210" spans="2:9" s="177" customFormat="1" ht="16.5">
      <c r="B210" s="965" t="s">
        <v>6157</v>
      </c>
      <c r="C210" s="220" t="s">
        <v>6158</v>
      </c>
      <c r="D210" s="221" t="s">
        <v>6159</v>
      </c>
      <c r="E210" s="221" t="s">
        <v>6160</v>
      </c>
      <c r="F210" s="219"/>
    </row>
    <row r="211" spans="2:9" s="177" customFormat="1" ht="16.5">
      <c r="B211" s="965"/>
      <c r="C211" s="220" t="s">
        <v>6161</v>
      </c>
      <c r="D211" s="221" t="s">
        <v>6162</v>
      </c>
      <c r="E211" s="221"/>
      <c r="F211" s="219"/>
    </row>
    <row r="212" spans="2:9" s="177" customFormat="1" ht="16.5">
      <c r="B212" s="965" t="s">
        <v>6163</v>
      </c>
      <c r="C212" s="220" t="s">
        <v>6158</v>
      </c>
      <c r="D212" s="221" t="s">
        <v>6164</v>
      </c>
      <c r="E212" s="221" t="s">
        <v>6165</v>
      </c>
      <c r="F212" s="219"/>
    </row>
    <row r="213" spans="2:9" s="177" customFormat="1" ht="16.5">
      <c r="B213" s="965"/>
      <c r="C213" s="220" t="s">
        <v>6161</v>
      </c>
      <c r="D213" s="221" t="s">
        <v>6166</v>
      </c>
      <c r="E213" s="221"/>
      <c r="F213" s="219"/>
    </row>
    <row r="214" spans="2:9" s="177" customFormat="1" ht="16.5">
      <c r="B214" s="965"/>
      <c r="C214" s="220" t="s">
        <v>6158</v>
      </c>
      <c r="D214" s="221" t="s">
        <v>6167</v>
      </c>
      <c r="E214" s="221" t="s">
        <v>6168</v>
      </c>
      <c r="F214" s="219"/>
    </row>
    <row r="215" spans="2:9" s="177" customFormat="1" ht="16.5">
      <c r="B215" s="965"/>
      <c r="C215" s="220" t="s">
        <v>6161</v>
      </c>
      <c r="D215" s="221" t="s">
        <v>6169</v>
      </c>
      <c r="E215" s="221"/>
      <c r="F215" s="219"/>
    </row>
    <row r="216" spans="2:9" s="177" customFormat="1" ht="16.5">
      <c r="B216" s="965" t="s">
        <v>6170</v>
      </c>
      <c r="C216" s="220" t="s">
        <v>6158</v>
      </c>
      <c r="D216" s="221" t="s">
        <v>6171</v>
      </c>
      <c r="E216" s="221"/>
      <c r="F216" s="219"/>
    </row>
    <row r="217" spans="2:9" s="177" customFormat="1" ht="16.5">
      <c r="B217" s="965"/>
      <c r="C217" s="220" t="s">
        <v>6161</v>
      </c>
      <c r="D217" s="221"/>
      <c r="E217" s="221"/>
      <c r="F217" s="219"/>
    </row>
    <row r="218" spans="2:9" s="177" customFormat="1" ht="49.5">
      <c r="B218" s="965" t="s">
        <v>6172</v>
      </c>
      <c r="C218" s="220" t="s">
        <v>6158</v>
      </c>
      <c r="D218" s="221" t="s">
        <v>6173</v>
      </c>
      <c r="E218" s="220" t="s">
        <v>6232</v>
      </c>
      <c r="F218" s="225" t="s">
        <v>6233</v>
      </c>
    </row>
    <row r="219" spans="2:9" s="177" customFormat="1" ht="16.5">
      <c r="B219" s="965"/>
      <c r="C219" s="220" t="s">
        <v>6161</v>
      </c>
      <c r="D219" s="221" t="s">
        <v>6176</v>
      </c>
      <c r="E219" s="223" t="s">
        <v>6177</v>
      </c>
      <c r="F219" s="219"/>
    </row>
    <row r="220" spans="2:9" s="177" customFormat="1" ht="66">
      <c r="B220" s="220" t="s">
        <v>6178</v>
      </c>
      <c r="C220" s="220"/>
      <c r="D220" s="221"/>
      <c r="E220" s="221" t="s">
        <v>6179</v>
      </c>
      <c r="F220" s="219"/>
    </row>
    <row r="221" spans="2:9" s="177" customFormat="1" ht="99">
      <c r="B221" s="220" t="s">
        <v>6180</v>
      </c>
      <c r="C221" s="220"/>
      <c r="D221" s="221"/>
      <c r="E221" s="221" t="s">
        <v>6181</v>
      </c>
      <c r="F221" s="219"/>
    </row>
    <row r="222" spans="2:9" s="177" customFormat="1" ht="49.5">
      <c r="B222" s="965" t="s">
        <v>6182</v>
      </c>
      <c r="C222" s="220" t="s">
        <v>6158</v>
      </c>
      <c r="D222" s="221" t="s">
        <v>6183</v>
      </c>
      <c r="E222" s="224" t="s">
        <v>6234</v>
      </c>
      <c r="F222" s="225" t="s">
        <v>6235</v>
      </c>
    </row>
    <row r="223" spans="2:9" s="177" customFormat="1" ht="66">
      <c r="B223" s="965"/>
      <c r="C223" s="220" t="s">
        <v>6161</v>
      </c>
      <c r="D223" s="221" t="s">
        <v>6186</v>
      </c>
      <c r="E223" s="220" t="s">
        <v>6187</v>
      </c>
      <c r="F223" s="219"/>
      <c r="G223" s="219"/>
      <c r="H223" s="219"/>
      <c r="I223" s="219"/>
    </row>
    <row r="224" spans="2:9" s="177" customFormat="1" ht="16.5">
      <c r="B224" s="965" t="s">
        <v>6188</v>
      </c>
      <c r="C224" s="220" t="s">
        <v>6158</v>
      </c>
      <c r="D224" s="221" t="s">
        <v>6189</v>
      </c>
      <c r="E224" s="965" t="s">
        <v>6190</v>
      </c>
      <c r="F224" s="219"/>
      <c r="G224" s="219"/>
      <c r="H224" s="219"/>
      <c r="I224" s="219"/>
    </row>
    <row r="225" spans="2:9" s="177" customFormat="1" ht="16.5">
      <c r="B225" s="965"/>
      <c r="C225" s="220" t="s">
        <v>6161</v>
      </c>
      <c r="D225" s="221" t="s">
        <v>6191</v>
      </c>
      <c r="E225" s="965"/>
      <c r="F225" s="219"/>
      <c r="G225" s="219"/>
      <c r="H225" s="219"/>
      <c r="I225" s="219"/>
    </row>
    <row r="226" spans="2:9" s="177" customFormat="1" ht="49.5">
      <c r="B226" s="965" t="s">
        <v>6172</v>
      </c>
      <c r="C226" s="220" t="s">
        <v>6158</v>
      </c>
      <c r="D226" s="221" t="s">
        <v>6198</v>
      </c>
      <c r="E226" s="220" t="s">
        <v>6236</v>
      </c>
      <c r="F226" s="225" t="s">
        <v>6237</v>
      </c>
      <c r="G226" s="219"/>
      <c r="H226" s="219"/>
      <c r="I226" s="219"/>
    </row>
    <row r="227" spans="2:9" s="177" customFormat="1" ht="16.5">
      <c r="B227" s="965"/>
      <c r="C227" s="220" t="s">
        <v>6161</v>
      </c>
      <c r="D227" s="221" t="s">
        <v>6200</v>
      </c>
      <c r="E227" s="223" t="s">
        <v>6238</v>
      </c>
      <c r="F227" s="219"/>
      <c r="G227" s="219"/>
      <c r="H227" s="219"/>
      <c r="I227" s="219"/>
    </row>
    <row r="228" spans="2:9" s="177" customFormat="1" ht="66">
      <c r="B228" s="220" t="s">
        <v>6178</v>
      </c>
      <c r="C228" s="220"/>
      <c r="D228" s="221"/>
      <c r="E228" s="223" t="s">
        <v>6239</v>
      </c>
      <c r="F228" s="219"/>
      <c r="G228" s="219"/>
      <c r="H228" s="219"/>
      <c r="I228" s="219"/>
    </row>
    <row r="229" spans="2:9" s="177" customFormat="1" ht="99">
      <c r="B229" s="220" t="s">
        <v>6180</v>
      </c>
      <c r="C229" s="220"/>
      <c r="D229" s="221"/>
      <c r="E229" s="223" t="s">
        <v>6240</v>
      </c>
      <c r="F229" s="219"/>
      <c r="G229" s="219"/>
      <c r="H229" s="219"/>
      <c r="I229" s="219"/>
    </row>
    <row r="230" spans="2:9" s="177" customFormat="1" ht="49.5">
      <c r="B230" s="965" t="s">
        <v>6182</v>
      </c>
      <c r="C230" s="220" t="s">
        <v>6158</v>
      </c>
      <c r="D230" s="221" t="s">
        <v>6241</v>
      </c>
      <c r="E230" s="224" t="s">
        <v>6242</v>
      </c>
      <c r="F230" s="225" t="s">
        <v>6243</v>
      </c>
      <c r="G230" s="219"/>
      <c r="H230" s="219"/>
      <c r="I230" s="219"/>
    </row>
    <row r="231" spans="2:9" s="177" customFormat="1" ht="66">
      <c r="B231" s="965"/>
      <c r="C231" s="220" t="s">
        <v>6161</v>
      </c>
      <c r="D231" s="221" t="s">
        <v>6244</v>
      </c>
      <c r="E231" s="224" t="s">
        <v>6212</v>
      </c>
      <c r="F231" s="219"/>
      <c r="G231" s="219"/>
      <c r="H231" s="219"/>
      <c r="I231" s="219"/>
    </row>
    <row r="232" spans="2:9" s="177" customFormat="1" ht="16.5">
      <c r="B232" s="965" t="s">
        <v>6188</v>
      </c>
      <c r="C232" s="220" t="s">
        <v>6158</v>
      </c>
      <c r="D232" s="221" t="s">
        <v>6245</v>
      </c>
      <c r="E232" s="966" t="s">
        <v>6246</v>
      </c>
      <c r="F232" s="219"/>
      <c r="G232" s="219"/>
      <c r="H232" s="219"/>
      <c r="I232" s="219"/>
    </row>
    <row r="233" spans="2:9" s="177" customFormat="1" ht="16.5">
      <c r="B233" s="965"/>
      <c r="C233" s="220" t="s">
        <v>6161</v>
      </c>
      <c r="D233" s="221" t="s">
        <v>6247</v>
      </c>
      <c r="E233" s="966"/>
      <c r="F233" s="219"/>
      <c r="G233" s="219"/>
      <c r="H233" s="219"/>
      <c r="I233" s="219"/>
    </row>
    <row r="234" spans="2:9" s="177" customFormat="1" ht="49.5">
      <c r="B234" s="965" t="s">
        <v>6172</v>
      </c>
      <c r="C234" s="220" t="s">
        <v>6158</v>
      </c>
      <c r="D234" s="221" t="s">
        <v>6248</v>
      </c>
      <c r="E234" s="224" t="s">
        <v>6249</v>
      </c>
      <c r="F234" s="225" t="s">
        <v>6250</v>
      </c>
      <c r="G234" s="219"/>
      <c r="H234" s="219"/>
      <c r="I234" s="219"/>
    </row>
    <row r="235" spans="2:9" s="177" customFormat="1" ht="16.5">
      <c r="B235" s="965"/>
      <c r="C235" s="220" t="s">
        <v>6161</v>
      </c>
      <c r="D235" s="221" t="s">
        <v>6251</v>
      </c>
      <c r="E235" s="223" t="s">
        <v>6252</v>
      </c>
      <c r="F235" s="219"/>
      <c r="G235" s="219"/>
      <c r="H235" s="219"/>
      <c r="I235" s="219"/>
    </row>
    <row r="236" spans="2:9" s="177" customFormat="1" ht="66">
      <c r="B236" s="220" t="s">
        <v>6178</v>
      </c>
      <c r="C236" s="220"/>
      <c r="D236" s="221"/>
      <c r="E236" s="223" t="s">
        <v>6239</v>
      </c>
      <c r="F236" s="219"/>
      <c r="G236" s="219"/>
      <c r="H236" s="219"/>
      <c r="I236" s="219"/>
    </row>
    <row r="237" spans="2:9" s="177" customFormat="1" ht="99">
      <c r="B237" s="220" t="s">
        <v>6180</v>
      </c>
      <c r="C237" s="220"/>
      <c r="D237" s="221"/>
      <c r="E237" s="223" t="s">
        <v>6240</v>
      </c>
      <c r="F237" s="219"/>
      <c r="G237" s="219"/>
      <c r="H237" s="219"/>
      <c r="I237" s="219"/>
    </row>
    <row r="238" spans="2:9" s="177" customFormat="1" ht="49.5">
      <c r="B238" s="965" t="s">
        <v>6182</v>
      </c>
      <c r="C238" s="220" t="s">
        <v>6158</v>
      </c>
      <c r="D238" s="221" t="s">
        <v>6253</v>
      </c>
      <c r="E238" s="224" t="s">
        <v>6254</v>
      </c>
      <c r="F238" s="225" t="s">
        <v>6255</v>
      </c>
      <c r="G238" s="219"/>
      <c r="H238" s="219"/>
      <c r="I238" s="219"/>
    </row>
    <row r="239" spans="2:9" s="177" customFormat="1" ht="66">
      <c r="B239" s="965"/>
      <c r="C239" s="220" t="s">
        <v>6161</v>
      </c>
      <c r="D239" s="221" t="s">
        <v>6256</v>
      </c>
      <c r="E239" s="224" t="s">
        <v>6212</v>
      </c>
      <c r="F239" s="219"/>
      <c r="G239" s="219"/>
      <c r="H239" s="219"/>
      <c r="I239" s="219"/>
    </row>
    <row r="240" spans="2:9" s="177" customFormat="1" ht="16.5">
      <c r="B240" s="965" t="s">
        <v>6188</v>
      </c>
      <c r="C240" s="220" t="s">
        <v>6158</v>
      </c>
      <c r="D240" s="221" t="s">
        <v>6257</v>
      </c>
      <c r="E240" s="966" t="s">
        <v>6258</v>
      </c>
      <c r="F240" s="219"/>
      <c r="G240" s="219"/>
      <c r="H240" s="219"/>
      <c r="I240" s="219"/>
    </row>
    <row r="241" spans="2:6" s="177" customFormat="1" ht="16.5">
      <c r="B241" s="965"/>
      <c r="C241" s="220" t="s">
        <v>6161</v>
      </c>
      <c r="D241" s="221" t="s">
        <v>6259</v>
      </c>
      <c r="E241" s="966"/>
      <c r="F241" s="219"/>
    </row>
    <row r="242" spans="2:6" s="177" customFormat="1" ht="14.25"/>
    <row r="243" spans="2:6" s="177" customFormat="1" ht="14.25"/>
    <row r="244" spans="2:6" s="177" customFormat="1" ht="14.25"/>
    <row r="245" spans="2:6" s="177" customFormat="1" ht="16.5">
      <c r="B245" s="967" t="s">
        <v>6260</v>
      </c>
      <c r="C245" s="968"/>
      <c r="D245" s="968"/>
      <c r="E245" s="969"/>
      <c r="F245" s="219"/>
    </row>
    <row r="246" spans="2:6" s="177" customFormat="1" ht="16.5">
      <c r="B246" s="218" t="s">
        <v>6154</v>
      </c>
      <c r="C246" s="970" t="s">
        <v>6155</v>
      </c>
      <c r="D246" s="970"/>
      <c r="E246" s="218" t="s">
        <v>6156</v>
      </c>
      <c r="F246" s="219"/>
    </row>
    <row r="247" spans="2:6" s="177" customFormat="1" ht="16.5">
      <c r="B247" s="965" t="s">
        <v>6157</v>
      </c>
      <c r="C247" s="220" t="s">
        <v>6158</v>
      </c>
      <c r="D247" s="221" t="s">
        <v>6159</v>
      </c>
      <c r="E247" s="221" t="s">
        <v>6160</v>
      </c>
      <c r="F247" s="219"/>
    </row>
    <row r="248" spans="2:6" s="177" customFormat="1" ht="16.5">
      <c r="B248" s="965"/>
      <c r="C248" s="220" t="s">
        <v>6161</v>
      </c>
      <c r="D248" s="221" t="s">
        <v>6162</v>
      </c>
      <c r="E248" s="221"/>
      <c r="F248" s="219"/>
    </row>
    <row r="249" spans="2:6" s="177" customFormat="1" ht="16.5">
      <c r="B249" s="965" t="s">
        <v>6163</v>
      </c>
      <c r="C249" s="220" t="s">
        <v>6158</v>
      </c>
      <c r="D249" s="221" t="s">
        <v>6164</v>
      </c>
      <c r="E249" s="221" t="s">
        <v>6165</v>
      </c>
      <c r="F249" s="219"/>
    </row>
    <row r="250" spans="2:6" s="177" customFormat="1" ht="16.5">
      <c r="B250" s="965"/>
      <c r="C250" s="220" t="s">
        <v>6161</v>
      </c>
      <c r="D250" s="221" t="s">
        <v>6166</v>
      </c>
      <c r="E250" s="221"/>
      <c r="F250" s="219"/>
    </row>
    <row r="251" spans="2:6" s="177" customFormat="1" ht="16.5">
      <c r="B251" s="965"/>
      <c r="C251" s="220" t="s">
        <v>6158</v>
      </c>
      <c r="D251" s="221" t="s">
        <v>6167</v>
      </c>
      <c r="E251" s="221" t="s">
        <v>6168</v>
      </c>
      <c r="F251" s="219"/>
    </row>
    <row r="252" spans="2:6" s="177" customFormat="1" ht="16.5">
      <c r="B252" s="965"/>
      <c r="C252" s="220" t="s">
        <v>6161</v>
      </c>
      <c r="D252" s="221" t="s">
        <v>6169</v>
      </c>
      <c r="E252" s="221"/>
      <c r="F252" s="219"/>
    </row>
    <row r="253" spans="2:6" s="177" customFormat="1" ht="16.5">
      <c r="B253" s="965" t="s">
        <v>6170</v>
      </c>
      <c r="C253" s="220" t="s">
        <v>6158</v>
      </c>
      <c r="D253" s="221" t="s">
        <v>6171</v>
      </c>
      <c r="E253" s="221"/>
      <c r="F253" s="219"/>
    </row>
    <row r="254" spans="2:6" s="177" customFormat="1" ht="16.5">
      <c r="B254" s="965"/>
      <c r="C254" s="220" t="s">
        <v>6161</v>
      </c>
      <c r="D254" s="221"/>
      <c r="E254" s="221"/>
      <c r="F254" s="219"/>
    </row>
    <row r="255" spans="2:6" s="177" customFormat="1" ht="49.5">
      <c r="B255" s="965" t="s">
        <v>6172</v>
      </c>
      <c r="C255" s="220" t="s">
        <v>6158</v>
      </c>
      <c r="D255" s="221" t="s">
        <v>6173</v>
      </c>
      <c r="E255" s="220" t="s">
        <v>6261</v>
      </c>
      <c r="F255" s="225" t="s">
        <v>6262</v>
      </c>
    </row>
    <row r="256" spans="2:6" s="177" customFormat="1" ht="16.5">
      <c r="B256" s="965"/>
      <c r="C256" s="220" t="s">
        <v>6161</v>
      </c>
      <c r="D256" s="221" t="s">
        <v>6176</v>
      </c>
      <c r="E256" s="223" t="s">
        <v>6263</v>
      </c>
      <c r="F256" s="219"/>
    </row>
    <row r="257" spans="2:6" s="177" customFormat="1" ht="66">
      <c r="B257" s="220" t="s">
        <v>6178</v>
      </c>
      <c r="C257" s="220"/>
      <c r="D257" s="221"/>
      <c r="E257" s="223" t="s">
        <v>6239</v>
      </c>
      <c r="F257" s="219"/>
    </row>
    <row r="258" spans="2:6" s="177" customFormat="1" ht="99">
      <c r="B258" s="220" t="s">
        <v>6180</v>
      </c>
      <c r="C258" s="220"/>
      <c r="D258" s="221"/>
      <c r="E258" s="223" t="s">
        <v>6240</v>
      </c>
      <c r="F258" s="219"/>
    </row>
    <row r="259" spans="2:6" s="177" customFormat="1" ht="49.5">
      <c r="B259" s="965" t="s">
        <v>6182</v>
      </c>
      <c r="C259" s="220" t="s">
        <v>6158</v>
      </c>
      <c r="D259" s="221" t="s">
        <v>6183</v>
      </c>
      <c r="E259" s="224" t="s">
        <v>6264</v>
      </c>
      <c r="F259" s="225" t="s">
        <v>6265</v>
      </c>
    </row>
    <row r="260" spans="2:6" s="177" customFormat="1" ht="66">
      <c r="B260" s="965"/>
      <c r="C260" s="220" t="s">
        <v>6161</v>
      </c>
      <c r="D260" s="221" t="s">
        <v>6186</v>
      </c>
      <c r="E260" s="224" t="s">
        <v>6212</v>
      </c>
      <c r="F260" s="219"/>
    </row>
    <row r="261" spans="2:6" s="177" customFormat="1" ht="16.5">
      <c r="B261" s="965" t="s">
        <v>6188</v>
      </c>
      <c r="C261" s="220" t="s">
        <v>6158</v>
      </c>
      <c r="D261" s="221" t="s">
        <v>6189</v>
      </c>
      <c r="E261" s="966" t="s">
        <v>6213</v>
      </c>
      <c r="F261" s="219"/>
    </row>
    <row r="262" spans="2:6" s="177" customFormat="1" ht="16.5">
      <c r="B262" s="965"/>
      <c r="C262" s="220" t="s">
        <v>6161</v>
      </c>
      <c r="D262" s="221" t="s">
        <v>6191</v>
      </c>
      <c r="E262" s="966"/>
      <c r="F262" s="219"/>
    </row>
    <row r="263" spans="2:6" s="177" customFormat="1" ht="14.25"/>
    <row r="264" spans="2:6" s="177" customFormat="1" ht="14.25"/>
    <row r="265" spans="2:6" s="177" customFormat="1" ht="14.25"/>
    <row r="266" spans="2:6" s="177" customFormat="1" ht="16.5">
      <c r="B266" s="967" t="s">
        <v>6388</v>
      </c>
      <c r="C266" s="968"/>
      <c r="D266" s="968"/>
      <c r="E266" s="969"/>
      <c r="F266" s="219"/>
    </row>
    <row r="267" spans="2:6" s="177" customFormat="1" ht="16.5">
      <c r="B267" s="218" t="s">
        <v>6267</v>
      </c>
      <c r="C267" s="970" t="s">
        <v>6268</v>
      </c>
      <c r="D267" s="970"/>
      <c r="E267" s="218" t="s">
        <v>6269</v>
      </c>
      <c r="F267" s="219"/>
    </row>
    <row r="268" spans="2:6" s="177" customFormat="1" ht="16.5">
      <c r="B268" s="965" t="s">
        <v>6270</v>
      </c>
      <c r="C268" s="220" t="s">
        <v>6271</v>
      </c>
      <c r="D268" s="221" t="s">
        <v>6272</v>
      </c>
      <c r="E268" s="221" t="s">
        <v>6273</v>
      </c>
      <c r="F268" s="219"/>
    </row>
    <row r="269" spans="2:6" s="177" customFormat="1" ht="16.5">
      <c r="B269" s="965"/>
      <c r="C269" s="220" t="s">
        <v>6274</v>
      </c>
      <c r="D269" s="221" t="s">
        <v>6275</v>
      </c>
      <c r="E269" s="221"/>
      <c r="F269" s="219"/>
    </row>
    <row r="270" spans="2:6" s="177" customFormat="1" ht="16.5">
      <c r="B270" s="965" t="s">
        <v>6276</v>
      </c>
      <c r="C270" s="220" t="s">
        <v>6271</v>
      </c>
      <c r="D270" s="221" t="s">
        <v>6277</v>
      </c>
      <c r="E270" s="221" t="s">
        <v>6278</v>
      </c>
      <c r="F270" s="219"/>
    </row>
    <row r="271" spans="2:6" s="177" customFormat="1" ht="16.5">
      <c r="B271" s="965"/>
      <c r="C271" s="220" t="s">
        <v>6274</v>
      </c>
      <c r="D271" s="221" t="s">
        <v>6279</v>
      </c>
      <c r="E271" s="221"/>
      <c r="F271" s="219"/>
    </row>
    <row r="272" spans="2:6" s="177" customFormat="1" ht="16.5">
      <c r="B272" s="965"/>
      <c r="C272" s="220" t="s">
        <v>6271</v>
      </c>
      <c r="D272" s="221" t="s">
        <v>6280</v>
      </c>
      <c r="E272" s="221" t="s">
        <v>6281</v>
      </c>
      <c r="F272" s="219"/>
    </row>
    <row r="273" spans="2:7" s="177" customFormat="1" ht="16.5">
      <c r="B273" s="965"/>
      <c r="C273" s="220" t="s">
        <v>6274</v>
      </c>
      <c r="D273" s="221" t="s">
        <v>6282</v>
      </c>
      <c r="E273" s="221"/>
      <c r="F273" s="219"/>
    </row>
    <row r="274" spans="2:7" s="177" customFormat="1" ht="16.5">
      <c r="B274" s="965" t="s">
        <v>6283</v>
      </c>
      <c r="C274" s="220" t="s">
        <v>6271</v>
      </c>
      <c r="D274" s="221" t="s">
        <v>6284</v>
      </c>
      <c r="E274" s="221"/>
      <c r="F274" s="219"/>
    </row>
    <row r="275" spans="2:7" s="177" customFormat="1" ht="16.5">
      <c r="B275" s="965"/>
      <c r="C275" s="220" t="s">
        <v>6274</v>
      </c>
      <c r="D275" s="221"/>
      <c r="E275" s="221"/>
      <c r="F275" s="219"/>
    </row>
    <row r="276" spans="2:7" s="177" customFormat="1" ht="33">
      <c r="B276" s="965" t="s">
        <v>6285</v>
      </c>
      <c r="C276" s="220" t="s">
        <v>6271</v>
      </c>
      <c r="D276" s="221" t="s">
        <v>6286</v>
      </c>
      <c r="E276" s="224" t="s">
        <v>6287</v>
      </c>
      <c r="F276" s="297" t="s">
        <v>6288</v>
      </c>
    </row>
    <row r="277" spans="2:7" s="177" customFormat="1" ht="49.5">
      <c r="B277" s="965"/>
      <c r="C277" s="220" t="s">
        <v>6274</v>
      </c>
      <c r="D277" s="221" t="s">
        <v>6289</v>
      </c>
      <c r="E277" s="220" t="s">
        <v>6290</v>
      </c>
      <c r="F277" s="219"/>
    </row>
    <row r="278" spans="2:7" s="177" customFormat="1" ht="16.5" customHeight="1">
      <c r="B278" s="965" t="s">
        <v>6291</v>
      </c>
      <c r="C278" s="220" t="s">
        <v>6271</v>
      </c>
      <c r="D278" s="298" t="s">
        <v>6292</v>
      </c>
      <c r="E278" s="964" t="s">
        <v>6293</v>
      </c>
      <c r="F278" s="299" t="s">
        <v>6294</v>
      </c>
    </row>
    <row r="279" spans="2:7" s="177" customFormat="1" ht="46.5" customHeight="1">
      <c r="B279" s="965"/>
      <c r="C279" s="220" t="s">
        <v>6274</v>
      </c>
      <c r="D279" s="298" t="s">
        <v>6295</v>
      </c>
      <c r="E279" s="964"/>
    </row>
    <row r="280" spans="2:7" s="177" customFormat="1" ht="14.25"/>
    <row r="281" spans="2:7" s="177" customFormat="1" ht="14.25"/>
    <row r="282" spans="2:7" s="177" customFormat="1" ht="14.25"/>
    <row r="283" spans="2:7" s="177" customFormat="1" ht="14.25"/>
    <row r="284" spans="2:7" s="177" customFormat="1" ht="16.5">
      <c r="B284" s="962" t="s">
        <v>6296</v>
      </c>
      <c r="C284" s="963"/>
      <c r="D284" s="963"/>
      <c r="E284" s="963"/>
      <c r="F284" s="233"/>
      <c r="G284" s="233"/>
    </row>
    <row r="285" spans="2:7" s="177" customFormat="1" ht="16.5">
      <c r="B285" s="232" t="s">
        <v>6154</v>
      </c>
      <c r="C285" s="963" t="s">
        <v>6155</v>
      </c>
      <c r="D285" s="963"/>
      <c r="E285" s="232" t="s">
        <v>6156</v>
      </c>
      <c r="F285" s="233"/>
      <c r="G285" s="233"/>
    </row>
    <row r="286" spans="2:7" s="177" customFormat="1" ht="16.5">
      <c r="B286" s="960" t="s">
        <v>6157</v>
      </c>
      <c r="C286" s="234" t="s">
        <v>6158</v>
      </c>
      <c r="D286" s="235" t="s">
        <v>6297</v>
      </c>
      <c r="E286" s="235" t="s">
        <v>6160</v>
      </c>
      <c r="F286" s="233"/>
      <c r="G286" s="233"/>
    </row>
    <row r="287" spans="2:7" s="177" customFormat="1" ht="16.5">
      <c r="B287" s="960"/>
      <c r="C287" s="234" t="s">
        <v>6161</v>
      </c>
      <c r="D287" s="235" t="s">
        <v>6298</v>
      </c>
      <c r="E287" s="235"/>
      <c r="F287" s="233"/>
      <c r="G287" s="233"/>
    </row>
    <row r="288" spans="2:7" s="177" customFormat="1" ht="16.5">
      <c r="B288" s="960" t="s">
        <v>6163</v>
      </c>
      <c r="C288" s="234" t="s">
        <v>6158</v>
      </c>
      <c r="D288" s="235" t="s">
        <v>6164</v>
      </c>
      <c r="E288" s="235" t="s">
        <v>6165</v>
      </c>
      <c r="F288" s="233"/>
      <c r="G288" s="233"/>
    </row>
    <row r="289" spans="2:7" s="177" customFormat="1" ht="16.5">
      <c r="B289" s="960"/>
      <c r="C289" s="234" t="s">
        <v>6161</v>
      </c>
      <c r="D289" s="235" t="s">
        <v>6166</v>
      </c>
      <c r="E289" s="235"/>
      <c r="F289" s="233"/>
      <c r="G289" s="233"/>
    </row>
    <row r="290" spans="2:7" s="177" customFormat="1" ht="16.5">
      <c r="B290" s="960"/>
      <c r="C290" s="234" t="s">
        <v>6158</v>
      </c>
      <c r="D290" s="235" t="s">
        <v>6167</v>
      </c>
      <c r="E290" s="235" t="s">
        <v>6168</v>
      </c>
      <c r="F290" s="233"/>
      <c r="G290" s="233"/>
    </row>
    <row r="291" spans="2:7" s="177" customFormat="1" ht="16.5">
      <c r="B291" s="960"/>
      <c r="C291" s="234" t="s">
        <v>6161</v>
      </c>
      <c r="D291" s="235" t="s">
        <v>6169</v>
      </c>
      <c r="E291" s="235"/>
      <c r="F291" s="233"/>
      <c r="G291" s="233"/>
    </row>
    <row r="292" spans="2:7" s="177" customFormat="1" ht="16.5">
      <c r="B292" s="960" t="s">
        <v>6170</v>
      </c>
      <c r="C292" s="234" t="s">
        <v>6158</v>
      </c>
      <c r="D292" s="235" t="s">
        <v>6171</v>
      </c>
      <c r="E292" s="235"/>
      <c r="F292" s="233"/>
      <c r="G292" s="233"/>
    </row>
    <row r="293" spans="2:7" s="177" customFormat="1" ht="16.5">
      <c r="B293" s="960"/>
      <c r="C293" s="234" t="s">
        <v>6161</v>
      </c>
      <c r="D293" s="235"/>
      <c r="E293" s="235"/>
      <c r="F293" s="233"/>
      <c r="G293" s="233"/>
    </row>
    <row r="294" spans="2:7" s="177" customFormat="1" ht="49.5">
      <c r="B294" s="960" t="s">
        <v>6172</v>
      </c>
      <c r="C294" s="234" t="s">
        <v>6158</v>
      </c>
      <c r="D294" s="235" t="s">
        <v>6173</v>
      </c>
      <c r="E294" s="234" t="s">
        <v>6299</v>
      </c>
      <c r="F294" s="236" t="s">
        <v>6300</v>
      </c>
      <c r="G294" s="233"/>
    </row>
    <row r="295" spans="2:7" s="177" customFormat="1" ht="16.5">
      <c r="B295" s="960"/>
      <c r="C295" s="234" t="s">
        <v>6161</v>
      </c>
      <c r="D295" s="235" t="s">
        <v>6176</v>
      </c>
      <c r="E295" s="235" t="s">
        <v>6301</v>
      </c>
      <c r="F295" s="233"/>
      <c r="G295" s="233"/>
    </row>
    <row r="296" spans="2:7" s="177" customFormat="1" ht="66">
      <c r="B296" s="234" t="s">
        <v>6178</v>
      </c>
      <c r="C296" s="234"/>
      <c r="D296" s="235"/>
      <c r="E296" s="235" t="s">
        <v>6179</v>
      </c>
      <c r="F296" s="233"/>
      <c r="G296" s="233"/>
    </row>
    <row r="297" spans="2:7" s="177" customFormat="1" ht="99">
      <c r="B297" s="234" t="s">
        <v>6180</v>
      </c>
      <c r="C297" s="234"/>
      <c r="D297" s="235"/>
      <c r="E297" s="235" t="s">
        <v>6181</v>
      </c>
      <c r="F297" s="233"/>
      <c r="G297" s="233"/>
    </row>
    <row r="298" spans="2:7" s="177" customFormat="1" ht="49.5">
      <c r="B298" s="960" t="s">
        <v>6182</v>
      </c>
      <c r="C298" s="234" t="s">
        <v>6158</v>
      </c>
      <c r="D298" s="235" t="s">
        <v>6183</v>
      </c>
      <c r="E298" s="234" t="s">
        <v>6302</v>
      </c>
      <c r="F298" s="236" t="s">
        <v>6303</v>
      </c>
      <c r="G298" s="233"/>
    </row>
    <row r="299" spans="2:7" s="177" customFormat="1" ht="66">
      <c r="B299" s="960"/>
      <c r="C299" s="234" t="s">
        <v>6161</v>
      </c>
      <c r="D299" s="235" t="s">
        <v>6186</v>
      </c>
      <c r="E299" s="234" t="s">
        <v>6187</v>
      </c>
      <c r="F299" s="233"/>
      <c r="G299" s="233"/>
    </row>
    <row r="300" spans="2:7" s="177" customFormat="1" ht="16.5">
      <c r="B300" s="960" t="s">
        <v>6188</v>
      </c>
      <c r="C300" s="234" t="s">
        <v>6158</v>
      </c>
      <c r="D300" s="235" t="s">
        <v>6189</v>
      </c>
      <c r="E300" s="960" t="s">
        <v>6190</v>
      </c>
      <c r="F300" s="233"/>
      <c r="G300" s="233"/>
    </row>
    <row r="301" spans="2:7" s="177" customFormat="1" ht="16.5">
      <c r="B301" s="960"/>
      <c r="C301" s="234" t="s">
        <v>6161</v>
      </c>
      <c r="D301" s="235" t="s">
        <v>6191</v>
      </c>
      <c r="E301" s="960"/>
      <c r="F301" s="233"/>
      <c r="G301" s="233"/>
    </row>
    <row r="302" spans="2:7" s="177" customFormat="1" ht="49.5">
      <c r="B302" s="960" t="s">
        <v>6304</v>
      </c>
      <c r="C302" s="234" t="s">
        <v>6158</v>
      </c>
      <c r="D302" s="235" t="s">
        <v>6193</v>
      </c>
      <c r="E302" s="234" t="s">
        <v>6305</v>
      </c>
      <c r="F302" s="236" t="s">
        <v>6306</v>
      </c>
      <c r="G302" s="233"/>
    </row>
    <row r="303" spans="2:7" s="177" customFormat="1" ht="66">
      <c r="B303" s="960"/>
      <c r="C303" s="234" t="s">
        <v>6161</v>
      </c>
      <c r="D303" s="235" t="s">
        <v>6196</v>
      </c>
      <c r="E303" s="234" t="s">
        <v>6187</v>
      </c>
      <c r="F303" s="233"/>
      <c r="G303" s="233"/>
    </row>
    <row r="304" spans="2:7" s="177" customFormat="1" ht="16.5">
      <c r="B304" s="960" t="s">
        <v>6307</v>
      </c>
      <c r="C304" s="234" t="s">
        <v>6158</v>
      </c>
      <c r="D304" s="235" t="s">
        <v>6198</v>
      </c>
      <c r="E304" s="960" t="s">
        <v>6308</v>
      </c>
      <c r="F304" s="233"/>
      <c r="G304" s="233"/>
    </row>
    <row r="305" spans="2:7" s="177" customFormat="1" ht="16.5">
      <c r="B305" s="960"/>
      <c r="C305" s="234" t="s">
        <v>6161</v>
      </c>
      <c r="D305" s="235" t="s">
        <v>6200</v>
      </c>
      <c r="E305" s="960"/>
      <c r="F305" s="233"/>
      <c r="G305" s="233"/>
    </row>
    <row r="306" spans="2:7" s="177" customFormat="1" ht="14.25">
      <c r="B306" s="237"/>
      <c r="C306" s="237"/>
      <c r="D306" s="237"/>
      <c r="E306" s="237"/>
      <c r="F306" s="237"/>
      <c r="G306" s="237"/>
    </row>
    <row r="307" spans="2:7" s="177" customFormat="1" ht="14.25">
      <c r="B307" s="237"/>
      <c r="C307" s="237"/>
      <c r="D307" s="237"/>
      <c r="E307" s="237"/>
      <c r="F307" s="237"/>
      <c r="G307" s="237"/>
    </row>
    <row r="308" spans="2:7" s="177" customFormat="1" ht="16.5">
      <c r="B308" s="962" t="s">
        <v>6309</v>
      </c>
      <c r="C308" s="963"/>
      <c r="D308" s="963"/>
      <c r="E308" s="963"/>
      <c r="F308" s="233"/>
      <c r="G308" s="233"/>
    </row>
    <row r="309" spans="2:7" s="177" customFormat="1" ht="16.5">
      <c r="B309" s="232" t="s">
        <v>6154</v>
      </c>
      <c r="C309" s="963" t="s">
        <v>6155</v>
      </c>
      <c r="D309" s="963"/>
      <c r="E309" s="232" t="s">
        <v>6156</v>
      </c>
      <c r="F309" s="233"/>
      <c r="G309" s="233"/>
    </row>
    <row r="310" spans="2:7" s="177" customFormat="1" ht="16.5">
      <c r="B310" s="960" t="s">
        <v>6157</v>
      </c>
      <c r="C310" s="234" t="s">
        <v>6158</v>
      </c>
      <c r="D310" s="235" t="s">
        <v>6297</v>
      </c>
      <c r="E310" s="235" t="s">
        <v>6160</v>
      </c>
      <c r="F310" s="233"/>
      <c r="G310" s="233"/>
    </row>
    <row r="311" spans="2:7" s="177" customFormat="1" ht="16.5">
      <c r="B311" s="960"/>
      <c r="C311" s="234" t="s">
        <v>6161</v>
      </c>
      <c r="D311" s="235" t="s">
        <v>6298</v>
      </c>
      <c r="E311" s="235"/>
      <c r="F311" s="233"/>
      <c r="G311" s="233"/>
    </row>
    <row r="312" spans="2:7" s="177" customFormat="1" ht="16.5">
      <c r="B312" s="960" t="s">
        <v>6163</v>
      </c>
      <c r="C312" s="234" t="s">
        <v>6158</v>
      </c>
      <c r="D312" s="235" t="s">
        <v>6164</v>
      </c>
      <c r="E312" s="235" t="s">
        <v>6165</v>
      </c>
      <c r="F312" s="233"/>
      <c r="G312" s="233"/>
    </row>
    <row r="313" spans="2:7" s="177" customFormat="1" ht="16.5">
      <c r="B313" s="960"/>
      <c r="C313" s="234" t="s">
        <v>6161</v>
      </c>
      <c r="D313" s="235" t="s">
        <v>6166</v>
      </c>
      <c r="E313" s="235"/>
      <c r="F313" s="233"/>
      <c r="G313" s="233"/>
    </row>
    <row r="314" spans="2:7" s="177" customFormat="1" ht="16.5">
      <c r="B314" s="960"/>
      <c r="C314" s="234" t="s">
        <v>6158</v>
      </c>
      <c r="D314" s="235" t="s">
        <v>6167</v>
      </c>
      <c r="E314" s="235" t="s">
        <v>6168</v>
      </c>
      <c r="F314" s="233"/>
      <c r="G314" s="233"/>
    </row>
    <row r="315" spans="2:7" s="177" customFormat="1" ht="16.5">
      <c r="B315" s="960"/>
      <c r="C315" s="234" t="s">
        <v>6161</v>
      </c>
      <c r="D315" s="235" t="s">
        <v>6169</v>
      </c>
      <c r="E315" s="235"/>
      <c r="F315" s="233"/>
      <c r="G315" s="233"/>
    </row>
    <row r="316" spans="2:7" s="177" customFormat="1" ht="16.5">
      <c r="B316" s="960" t="s">
        <v>6170</v>
      </c>
      <c r="C316" s="234" t="s">
        <v>6158</v>
      </c>
      <c r="D316" s="235" t="s">
        <v>6171</v>
      </c>
      <c r="E316" s="235"/>
      <c r="F316" s="233"/>
      <c r="G316" s="233"/>
    </row>
    <row r="317" spans="2:7" s="177" customFormat="1" ht="16.5">
      <c r="B317" s="960"/>
      <c r="C317" s="234" t="s">
        <v>6161</v>
      </c>
      <c r="D317" s="235"/>
      <c r="E317" s="235"/>
      <c r="F317" s="233"/>
      <c r="G317" s="233"/>
    </row>
    <row r="318" spans="2:7" s="177" customFormat="1" ht="49.5">
      <c r="B318" s="960" t="s">
        <v>6172</v>
      </c>
      <c r="C318" s="234" t="s">
        <v>6158</v>
      </c>
      <c r="D318" s="235" t="s">
        <v>6173</v>
      </c>
      <c r="E318" s="234" t="s">
        <v>6310</v>
      </c>
      <c r="F318" s="236" t="s">
        <v>6311</v>
      </c>
      <c r="G318" s="233"/>
    </row>
    <row r="319" spans="2:7" s="177" customFormat="1" ht="16.5">
      <c r="B319" s="960"/>
      <c r="C319" s="234" t="s">
        <v>6161</v>
      </c>
      <c r="D319" s="235" t="s">
        <v>6176</v>
      </c>
      <c r="E319" s="235" t="s">
        <v>6312</v>
      </c>
      <c r="F319" s="233"/>
      <c r="G319" s="233"/>
    </row>
    <row r="320" spans="2:7" s="177" customFormat="1" ht="66">
      <c r="B320" s="234" t="s">
        <v>6178</v>
      </c>
      <c r="C320" s="234"/>
      <c r="D320" s="235"/>
      <c r="E320" s="235" t="s">
        <v>6179</v>
      </c>
      <c r="F320" s="233"/>
      <c r="G320" s="233"/>
    </row>
    <row r="321" spans="2:7" s="177" customFormat="1" ht="99">
      <c r="B321" s="234" t="s">
        <v>6180</v>
      </c>
      <c r="C321" s="234"/>
      <c r="D321" s="235"/>
      <c r="E321" s="235" t="s">
        <v>6181</v>
      </c>
      <c r="F321" s="233"/>
      <c r="G321" s="233"/>
    </row>
    <row r="322" spans="2:7" s="177" customFormat="1" ht="49.5">
      <c r="B322" s="960" t="s">
        <v>6182</v>
      </c>
      <c r="C322" s="234" t="s">
        <v>6158</v>
      </c>
      <c r="D322" s="235" t="s">
        <v>6183</v>
      </c>
      <c r="E322" s="234" t="s">
        <v>6313</v>
      </c>
      <c r="F322" s="236" t="s">
        <v>6314</v>
      </c>
      <c r="G322" s="233"/>
    </row>
    <row r="323" spans="2:7" s="177" customFormat="1" ht="66">
      <c r="B323" s="960"/>
      <c r="C323" s="234" t="s">
        <v>6161</v>
      </c>
      <c r="D323" s="235" t="s">
        <v>6186</v>
      </c>
      <c r="E323" s="234" t="s">
        <v>6187</v>
      </c>
      <c r="F323" s="233"/>
      <c r="G323" s="233"/>
    </row>
    <row r="324" spans="2:7" s="177" customFormat="1" ht="16.5">
      <c r="B324" s="960" t="s">
        <v>6188</v>
      </c>
      <c r="C324" s="234" t="s">
        <v>6158</v>
      </c>
      <c r="D324" s="235" t="s">
        <v>6189</v>
      </c>
      <c r="E324" s="960" t="s">
        <v>6190</v>
      </c>
      <c r="F324" s="233"/>
      <c r="G324" s="233"/>
    </row>
    <row r="325" spans="2:7" s="177" customFormat="1" ht="16.5">
      <c r="B325" s="960"/>
      <c r="C325" s="234" t="s">
        <v>6161</v>
      </c>
      <c r="D325" s="235" t="s">
        <v>6191</v>
      </c>
      <c r="E325" s="960"/>
      <c r="F325" s="233"/>
      <c r="G325" s="233"/>
    </row>
    <row r="326" spans="2:7" s="177" customFormat="1" ht="49.5">
      <c r="B326" s="960" t="s">
        <v>6304</v>
      </c>
      <c r="C326" s="234" t="s">
        <v>6158</v>
      </c>
      <c r="D326" s="235" t="s">
        <v>6193</v>
      </c>
      <c r="E326" s="234" t="s">
        <v>6315</v>
      </c>
      <c r="F326" s="236" t="s">
        <v>6316</v>
      </c>
      <c r="G326" s="233"/>
    </row>
    <row r="327" spans="2:7" s="177" customFormat="1" ht="66">
      <c r="B327" s="960"/>
      <c r="C327" s="234" t="s">
        <v>6161</v>
      </c>
      <c r="D327" s="235" t="s">
        <v>6196</v>
      </c>
      <c r="E327" s="234" t="s">
        <v>6187</v>
      </c>
      <c r="F327" s="233"/>
      <c r="G327" s="233"/>
    </row>
    <row r="328" spans="2:7" s="177" customFormat="1" ht="16.5">
      <c r="B328" s="960" t="s">
        <v>6307</v>
      </c>
      <c r="C328" s="234" t="s">
        <v>6158</v>
      </c>
      <c r="D328" s="235" t="s">
        <v>6198</v>
      </c>
      <c r="E328" s="960" t="s">
        <v>6308</v>
      </c>
      <c r="F328" s="233"/>
      <c r="G328" s="233"/>
    </row>
    <row r="329" spans="2:7" s="177" customFormat="1" ht="16.5">
      <c r="B329" s="960"/>
      <c r="C329" s="234" t="s">
        <v>6161</v>
      </c>
      <c r="D329" s="235" t="s">
        <v>6200</v>
      </c>
      <c r="E329" s="960"/>
      <c r="F329" s="233"/>
      <c r="G329" s="233"/>
    </row>
    <row r="330" spans="2:7" s="177" customFormat="1" ht="14.25">
      <c r="B330" s="237"/>
      <c r="C330" s="237"/>
      <c r="D330" s="237"/>
      <c r="E330" s="237"/>
      <c r="F330" s="237"/>
      <c r="G330" s="237"/>
    </row>
    <row r="331" spans="2:7" s="177" customFormat="1" ht="14.25">
      <c r="B331" s="237"/>
      <c r="C331" s="237"/>
      <c r="D331" s="237"/>
      <c r="E331" s="237"/>
      <c r="F331" s="237"/>
      <c r="G331" s="237"/>
    </row>
    <row r="332" spans="2:7" s="177" customFormat="1" ht="16.5">
      <c r="B332" s="962" t="s">
        <v>6317</v>
      </c>
      <c r="C332" s="963"/>
      <c r="D332" s="963"/>
      <c r="E332" s="963"/>
      <c r="F332" s="233"/>
      <c r="G332" s="233"/>
    </row>
    <row r="333" spans="2:7" s="177" customFormat="1" ht="16.5">
      <c r="B333" s="232" t="s">
        <v>6154</v>
      </c>
      <c r="C333" s="963" t="s">
        <v>6155</v>
      </c>
      <c r="D333" s="963"/>
      <c r="E333" s="232" t="s">
        <v>6156</v>
      </c>
      <c r="F333" s="233"/>
      <c r="G333" s="233"/>
    </row>
    <row r="334" spans="2:7" s="177" customFormat="1" ht="16.5">
      <c r="B334" s="960" t="s">
        <v>6157</v>
      </c>
      <c r="C334" s="234" t="s">
        <v>6158</v>
      </c>
      <c r="D334" s="235" t="s">
        <v>6297</v>
      </c>
      <c r="E334" s="235" t="s">
        <v>6160</v>
      </c>
      <c r="F334" s="233"/>
      <c r="G334" s="233"/>
    </row>
    <row r="335" spans="2:7" s="177" customFormat="1" ht="16.5">
      <c r="B335" s="960"/>
      <c r="C335" s="234" t="s">
        <v>6161</v>
      </c>
      <c r="D335" s="235" t="s">
        <v>6298</v>
      </c>
      <c r="E335" s="235"/>
      <c r="F335" s="233"/>
      <c r="G335" s="233"/>
    </row>
    <row r="336" spans="2:7" s="177" customFormat="1" ht="16.5">
      <c r="B336" s="960" t="s">
        <v>6163</v>
      </c>
      <c r="C336" s="234" t="s">
        <v>6158</v>
      </c>
      <c r="D336" s="235" t="s">
        <v>6164</v>
      </c>
      <c r="E336" s="235" t="s">
        <v>6165</v>
      </c>
      <c r="F336" s="233"/>
      <c r="G336" s="233"/>
    </row>
    <row r="337" spans="2:7" s="177" customFormat="1" ht="16.5">
      <c r="B337" s="960"/>
      <c r="C337" s="234" t="s">
        <v>6161</v>
      </c>
      <c r="D337" s="235" t="s">
        <v>6166</v>
      </c>
      <c r="E337" s="235"/>
      <c r="F337" s="233"/>
      <c r="G337" s="233"/>
    </row>
    <row r="338" spans="2:7" s="177" customFormat="1" ht="16.5">
      <c r="B338" s="960"/>
      <c r="C338" s="234" t="s">
        <v>6158</v>
      </c>
      <c r="D338" s="235" t="s">
        <v>6167</v>
      </c>
      <c r="E338" s="235" t="s">
        <v>6168</v>
      </c>
      <c r="F338" s="233"/>
      <c r="G338" s="233"/>
    </row>
    <row r="339" spans="2:7" s="177" customFormat="1" ht="16.5">
      <c r="B339" s="960"/>
      <c r="C339" s="234" t="s">
        <v>6161</v>
      </c>
      <c r="D339" s="235" t="s">
        <v>6169</v>
      </c>
      <c r="E339" s="235"/>
      <c r="F339" s="233"/>
      <c r="G339" s="233"/>
    </row>
    <row r="340" spans="2:7" s="177" customFormat="1" ht="16.5">
      <c r="B340" s="960" t="s">
        <v>6170</v>
      </c>
      <c r="C340" s="234" t="s">
        <v>6158</v>
      </c>
      <c r="D340" s="235" t="s">
        <v>6171</v>
      </c>
      <c r="E340" s="235"/>
      <c r="F340" s="233"/>
      <c r="G340" s="233"/>
    </row>
    <row r="341" spans="2:7" s="177" customFormat="1" ht="16.5">
      <c r="B341" s="960"/>
      <c r="C341" s="234" t="s">
        <v>6161</v>
      </c>
      <c r="D341" s="235"/>
      <c r="E341" s="235"/>
      <c r="F341" s="233"/>
      <c r="G341" s="233"/>
    </row>
    <row r="342" spans="2:7" s="177" customFormat="1" ht="49.5">
      <c r="B342" s="960" t="s">
        <v>6172</v>
      </c>
      <c r="C342" s="234" t="s">
        <v>6158</v>
      </c>
      <c r="D342" s="235" t="s">
        <v>6173</v>
      </c>
      <c r="E342" s="234" t="s">
        <v>6318</v>
      </c>
      <c r="F342" s="236" t="s">
        <v>6319</v>
      </c>
      <c r="G342" s="233"/>
    </row>
    <row r="343" spans="2:7" s="177" customFormat="1" ht="16.5">
      <c r="B343" s="960"/>
      <c r="C343" s="234" t="s">
        <v>6161</v>
      </c>
      <c r="D343" s="235" t="s">
        <v>6176</v>
      </c>
      <c r="E343" s="235" t="s">
        <v>6312</v>
      </c>
      <c r="F343" s="233"/>
      <c r="G343" s="233"/>
    </row>
    <row r="344" spans="2:7" s="177" customFormat="1" ht="66">
      <c r="B344" s="234" t="s">
        <v>6178</v>
      </c>
      <c r="C344" s="234"/>
      <c r="D344" s="235"/>
      <c r="E344" s="235" t="s">
        <v>6179</v>
      </c>
      <c r="F344" s="233"/>
      <c r="G344" s="233"/>
    </row>
    <row r="345" spans="2:7" s="177" customFormat="1" ht="99">
      <c r="B345" s="234" t="s">
        <v>6180</v>
      </c>
      <c r="C345" s="234"/>
      <c r="D345" s="235"/>
      <c r="E345" s="235" t="s">
        <v>6181</v>
      </c>
      <c r="F345" s="233"/>
      <c r="G345" s="233"/>
    </row>
    <row r="346" spans="2:7" s="177" customFormat="1" ht="49.5">
      <c r="B346" s="960" t="s">
        <v>6182</v>
      </c>
      <c r="C346" s="234" t="s">
        <v>6158</v>
      </c>
      <c r="D346" s="235" t="s">
        <v>6183</v>
      </c>
      <c r="E346" s="234" t="s">
        <v>6320</v>
      </c>
      <c r="F346" s="236" t="s">
        <v>6321</v>
      </c>
      <c r="G346" s="233"/>
    </row>
    <row r="347" spans="2:7" s="177" customFormat="1" ht="66">
      <c r="B347" s="960"/>
      <c r="C347" s="234" t="s">
        <v>6161</v>
      </c>
      <c r="D347" s="235" t="s">
        <v>6186</v>
      </c>
      <c r="E347" s="234" t="s">
        <v>6187</v>
      </c>
      <c r="F347" s="233"/>
      <c r="G347" s="233"/>
    </row>
    <row r="348" spans="2:7" s="177" customFormat="1" ht="16.5">
      <c r="B348" s="960" t="s">
        <v>6188</v>
      </c>
      <c r="C348" s="234" t="s">
        <v>6158</v>
      </c>
      <c r="D348" s="235" t="s">
        <v>6189</v>
      </c>
      <c r="E348" s="960" t="s">
        <v>6190</v>
      </c>
      <c r="F348" s="233"/>
      <c r="G348" s="233"/>
    </row>
    <row r="349" spans="2:7" s="177" customFormat="1" ht="16.5">
      <c r="B349" s="960"/>
      <c r="C349" s="234" t="s">
        <v>6161</v>
      </c>
      <c r="D349" s="235" t="s">
        <v>6191</v>
      </c>
      <c r="E349" s="960"/>
      <c r="F349" s="233"/>
      <c r="G349" s="233"/>
    </row>
    <row r="350" spans="2:7" s="177" customFormat="1" ht="49.5">
      <c r="B350" s="960" t="s">
        <v>6304</v>
      </c>
      <c r="C350" s="234" t="s">
        <v>6158</v>
      </c>
      <c r="D350" s="235" t="s">
        <v>6193</v>
      </c>
      <c r="E350" s="234" t="s">
        <v>6322</v>
      </c>
      <c r="F350" s="236" t="s">
        <v>6323</v>
      </c>
      <c r="G350" s="233"/>
    </row>
    <row r="351" spans="2:7" s="177" customFormat="1" ht="66">
      <c r="B351" s="960"/>
      <c r="C351" s="234" t="s">
        <v>6161</v>
      </c>
      <c r="D351" s="235" t="s">
        <v>6196</v>
      </c>
      <c r="E351" s="234" t="s">
        <v>6187</v>
      </c>
      <c r="F351" s="233"/>
      <c r="G351" s="233"/>
    </row>
    <row r="352" spans="2:7" s="177" customFormat="1" ht="16.5">
      <c r="B352" s="960" t="s">
        <v>6307</v>
      </c>
      <c r="C352" s="234" t="s">
        <v>6158</v>
      </c>
      <c r="D352" s="235" t="s">
        <v>6198</v>
      </c>
      <c r="E352" s="960" t="s">
        <v>6308</v>
      </c>
      <c r="F352" s="233"/>
      <c r="G352" s="233"/>
    </row>
    <row r="353" spans="2:7" s="177" customFormat="1" ht="16.5">
      <c r="B353" s="960"/>
      <c r="C353" s="234" t="s">
        <v>6161</v>
      </c>
      <c r="D353" s="235" t="s">
        <v>6200</v>
      </c>
      <c r="E353" s="960"/>
      <c r="F353" s="233"/>
      <c r="G353" s="233"/>
    </row>
    <row r="354" spans="2:7" s="177" customFormat="1" ht="14.25">
      <c r="B354" s="237"/>
      <c r="C354" s="237"/>
      <c r="D354" s="237"/>
      <c r="E354" s="237"/>
      <c r="F354" s="237"/>
      <c r="G354" s="237"/>
    </row>
    <row r="355" spans="2:7" s="177" customFormat="1" ht="14.25">
      <c r="B355" s="237"/>
      <c r="C355" s="237"/>
      <c r="D355" s="237"/>
      <c r="E355" s="237"/>
      <c r="F355" s="237"/>
      <c r="G355" s="237"/>
    </row>
    <row r="356" spans="2:7" s="177" customFormat="1" ht="14.25">
      <c r="B356" s="237"/>
      <c r="C356" s="237"/>
      <c r="D356" s="237"/>
      <c r="E356" s="237"/>
      <c r="F356" s="237"/>
      <c r="G356" s="237"/>
    </row>
    <row r="357" spans="2:7" s="177" customFormat="1" ht="16.5">
      <c r="B357" s="962" t="s">
        <v>6324</v>
      </c>
      <c r="C357" s="963"/>
      <c r="D357" s="963"/>
      <c r="E357" s="963"/>
      <c r="F357" s="233"/>
      <c r="G357" s="233"/>
    </row>
    <row r="358" spans="2:7" s="177" customFormat="1" ht="16.5">
      <c r="B358" s="232" t="s">
        <v>6154</v>
      </c>
      <c r="C358" s="963" t="s">
        <v>6155</v>
      </c>
      <c r="D358" s="963"/>
      <c r="E358" s="232" t="s">
        <v>6156</v>
      </c>
      <c r="F358" s="233"/>
      <c r="G358" s="233"/>
    </row>
    <row r="359" spans="2:7" s="177" customFormat="1" ht="16.5">
      <c r="B359" s="960" t="s">
        <v>6157</v>
      </c>
      <c r="C359" s="234" t="s">
        <v>6158</v>
      </c>
      <c r="D359" s="235" t="s">
        <v>6297</v>
      </c>
      <c r="E359" s="235" t="s">
        <v>6160</v>
      </c>
      <c r="F359" s="233"/>
      <c r="G359" s="233"/>
    </row>
    <row r="360" spans="2:7" s="177" customFormat="1" ht="16.5">
      <c r="B360" s="960"/>
      <c r="C360" s="234" t="s">
        <v>6161</v>
      </c>
      <c r="D360" s="235" t="s">
        <v>6298</v>
      </c>
      <c r="E360" s="235"/>
      <c r="F360" s="233"/>
      <c r="G360" s="233"/>
    </row>
    <row r="361" spans="2:7" s="177" customFormat="1" ht="16.5">
      <c r="B361" s="960" t="s">
        <v>6163</v>
      </c>
      <c r="C361" s="234" t="s">
        <v>6158</v>
      </c>
      <c r="D361" s="235" t="s">
        <v>6164</v>
      </c>
      <c r="E361" s="235" t="s">
        <v>6165</v>
      </c>
      <c r="F361" s="233"/>
      <c r="G361" s="233"/>
    </row>
    <row r="362" spans="2:7" s="177" customFormat="1" ht="16.5">
      <c r="B362" s="960"/>
      <c r="C362" s="234" t="s">
        <v>6161</v>
      </c>
      <c r="D362" s="235" t="s">
        <v>6166</v>
      </c>
      <c r="E362" s="235"/>
      <c r="F362" s="233"/>
      <c r="G362" s="233"/>
    </row>
    <row r="363" spans="2:7" s="177" customFormat="1" ht="16.5">
      <c r="B363" s="960"/>
      <c r="C363" s="234" t="s">
        <v>6158</v>
      </c>
      <c r="D363" s="235" t="s">
        <v>6167</v>
      </c>
      <c r="E363" s="235" t="s">
        <v>6168</v>
      </c>
      <c r="F363" s="233"/>
      <c r="G363" s="233"/>
    </row>
    <row r="364" spans="2:7" s="177" customFormat="1" ht="16.5">
      <c r="B364" s="960"/>
      <c r="C364" s="234" t="s">
        <v>6161</v>
      </c>
      <c r="D364" s="235" t="s">
        <v>6169</v>
      </c>
      <c r="E364" s="235"/>
      <c r="F364" s="233"/>
      <c r="G364" s="233"/>
    </row>
    <row r="365" spans="2:7" s="177" customFormat="1" ht="16.5">
      <c r="B365" s="960" t="s">
        <v>6170</v>
      </c>
      <c r="C365" s="234" t="s">
        <v>6158</v>
      </c>
      <c r="D365" s="235" t="s">
        <v>6171</v>
      </c>
      <c r="E365" s="235"/>
      <c r="F365" s="233"/>
      <c r="G365" s="233"/>
    </row>
    <row r="366" spans="2:7" s="177" customFormat="1" ht="16.5">
      <c r="B366" s="960"/>
      <c r="C366" s="234" t="s">
        <v>6161</v>
      </c>
      <c r="D366" s="235"/>
      <c r="E366" s="235"/>
      <c r="F366" s="233"/>
      <c r="G366" s="233"/>
    </row>
    <row r="367" spans="2:7" s="177" customFormat="1" ht="49.5">
      <c r="B367" s="960" t="s">
        <v>6172</v>
      </c>
      <c r="C367" s="234" t="s">
        <v>6158</v>
      </c>
      <c r="D367" s="235" t="s">
        <v>6173</v>
      </c>
      <c r="E367" s="234" t="s">
        <v>6325</v>
      </c>
      <c r="F367" s="236" t="s">
        <v>6326</v>
      </c>
      <c r="G367" s="233"/>
    </row>
    <row r="368" spans="2:7" s="177" customFormat="1" ht="16.5">
      <c r="B368" s="960"/>
      <c r="C368" s="234" t="s">
        <v>6161</v>
      </c>
      <c r="D368" s="235" t="s">
        <v>6176</v>
      </c>
      <c r="E368" s="235" t="s">
        <v>6312</v>
      </c>
      <c r="F368" s="233"/>
      <c r="G368" s="233"/>
    </row>
    <row r="369" spans="2:7" s="177" customFormat="1" ht="66">
      <c r="B369" s="234" t="s">
        <v>6178</v>
      </c>
      <c r="C369" s="234"/>
      <c r="D369" s="235"/>
      <c r="E369" s="235" t="s">
        <v>6179</v>
      </c>
      <c r="F369" s="233"/>
      <c r="G369" s="233"/>
    </row>
    <row r="370" spans="2:7" s="177" customFormat="1" ht="99">
      <c r="B370" s="234" t="s">
        <v>6180</v>
      </c>
      <c r="C370" s="234"/>
      <c r="D370" s="235"/>
      <c r="E370" s="235" t="s">
        <v>6181</v>
      </c>
      <c r="F370" s="233"/>
      <c r="G370" s="233"/>
    </row>
    <row r="371" spans="2:7" s="177" customFormat="1" ht="49.5">
      <c r="B371" s="960" t="s">
        <v>6182</v>
      </c>
      <c r="C371" s="234" t="s">
        <v>6158</v>
      </c>
      <c r="D371" s="235" t="s">
        <v>6183</v>
      </c>
      <c r="E371" s="234" t="s">
        <v>6327</v>
      </c>
      <c r="F371" s="236" t="s">
        <v>6328</v>
      </c>
      <c r="G371" s="233"/>
    </row>
    <row r="372" spans="2:7" s="177" customFormat="1" ht="66">
      <c r="B372" s="960"/>
      <c r="C372" s="234" t="s">
        <v>6161</v>
      </c>
      <c r="D372" s="235" t="s">
        <v>6186</v>
      </c>
      <c r="E372" s="234" t="s">
        <v>6187</v>
      </c>
      <c r="F372" s="233"/>
      <c r="G372" s="233"/>
    </row>
    <row r="373" spans="2:7" s="177" customFormat="1" ht="16.5">
      <c r="B373" s="960" t="s">
        <v>6188</v>
      </c>
      <c r="C373" s="234" t="s">
        <v>6158</v>
      </c>
      <c r="D373" s="235" t="s">
        <v>6189</v>
      </c>
      <c r="E373" s="960" t="s">
        <v>6190</v>
      </c>
      <c r="F373" s="233"/>
      <c r="G373" s="233"/>
    </row>
    <row r="374" spans="2:7" s="177" customFormat="1" ht="16.5">
      <c r="B374" s="960"/>
      <c r="C374" s="234" t="s">
        <v>6161</v>
      </c>
      <c r="D374" s="235" t="s">
        <v>6191</v>
      </c>
      <c r="E374" s="960"/>
      <c r="F374" s="233"/>
      <c r="G374" s="233"/>
    </row>
    <row r="375" spans="2:7" s="177" customFormat="1" ht="49.5">
      <c r="B375" s="960" t="s">
        <v>6304</v>
      </c>
      <c r="C375" s="234" t="s">
        <v>6158</v>
      </c>
      <c r="D375" s="235" t="s">
        <v>6193</v>
      </c>
      <c r="E375" s="234" t="s">
        <v>6329</v>
      </c>
      <c r="F375" s="236" t="s">
        <v>6330</v>
      </c>
      <c r="G375" s="233"/>
    </row>
    <row r="376" spans="2:7" s="177" customFormat="1" ht="66">
      <c r="B376" s="960"/>
      <c r="C376" s="234" t="s">
        <v>6161</v>
      </c>
      <c r="D376" s="235" t="s">
        <v>6196</v>
      </c>
      <c r="E376" s="234" t="s">
        <v>6187</v>
      </c>
      <c r="F376" s="233"/>
      <c r="G376" s="233"/>
    </row>
    <row r="377" spans="2:7" s="177" customFormat="1" ht="16.5">
      <c r="B377" s="960" t="s">
        <v>6307</v>
      </c>
      <c r="C377" s="234" t="s">
        <v>6158</v>
      </c>
      <c r="D377" s="235" t="s">
        <v>6198</v>
      </c>
      <c r="E377" s="960" t="s">
        <v>6308</v>
      </c>
      <c r="F377" s="233"/>
      <c r="G377" s="233"/>
    </row>
    <row r="378" spans="2:7" s="177" customFormat="1" ht="16.5">
      <c r="B378" s="960"/>
      <c r="C378" s="234" t="s">
        <v>6161</v>
      </c>
      <c r="D378" s="235" t="s">
        <v>6200</v>
      </c>
      <c r="E378" s="960"/>
      <c r="F378" s="233"/>
      <c r="G378" s="233"/>
    </row>
    <row r="379" spans="2:7" s="177" customFormat="1" ht="14.25">
      <c r="B379" s="237"/>
      <c r="C379" s="237"/>
      <c r="D379" s="237"/>
      <c r="E379" s="237"/>
      <c r="F379" s="237"/>
      <c r="G379" s="237"/>
    </row>
    <row r="380" spans="2:7" s="177" customFormat="1" ht="14.25">
      <c r="B380" s="237"/>
      <c r="C380" s="237"/>
      <c r="D380" s="237"/>
      <c r="E380" s="237"/>
      <c r="F380" s="237"/>
      <c r="G380" s="237"/>
    </row>
    <row r="381" spans="2:7" s="177" customFormat="1" ht="14.25"/>
    <row r="382" spans="2:7" s="177" customFormat="1" ht="14.25"/>
    <row r="383" spans="2:7" s="177" customFormat="1" ht="14.25"/>
    <row r="384" spans="2:7" s="177" customFormat="1" ht="14.25"/>
    <row r="385" spans="2:7" s="177" customFormat="1" ht="14.25"/>
    <row r="386" spans="2:7" s="177" customFormat="1" ht="16.5">
      <c r="B386" s="961" t="s">
        <v>6331</v>
      </c>
      <c r="C386" s="961"/>
      <c r="D386" s="961"/>
      <c r="E386" s="961"/>
      <c r="F386" s="961"/>
      <c r="G386" s="961"/>
    </row>
    <row r="387" spans="2:7" s="177" customFormat="1" ht="16.5">
      <c r="B387" s="143" t="s">
        <v>5994</v>
      </c>
      <c r="C387" s="238" t="s">
        <v>6332</v>
      </c>
      <c r="D387" s="191"/>
      <c r="E387" s="143" t="s">
        <v>6121</v>
      </c>
      <c r="F387" s="239" t="s">
        <v>6333</v>
      </c>
      <c r="G387" s="143" t="s">
        <v>6334</v>
      </c>
    </row>
    <row r="388" spans="2:7" s="177" customFormat="1" ht="78">
      <c r="B388" s="144" t="s">
        <v>5340</v>
      </c>
      <c r="C388" s="216" t="s">
        <v>6335</v>
      </c>
      <c r="D388" s="216"/>
      <c r="E388" s="240" t="s">
        <v>6336</v>
      </c>
      <c r="F388" s="145"/>
      <c r="G388" s="146"/>
    </row>
    <row r="389" spans="2:7" s="177" customFormat="1" ht="31.5">
      <c r="B389" s="956">
        <v>2</v>
      </c>
      <c r="C389" s="958" t="s">
        <v>6337</v>
      </c>
      <c r="D389" s="216" t="s">
        <v>6338</v>
      </c>
      <c r="E389" s="241" t="s">
        <v>6339</v>
      </c>
      <c r="F389" s="145" t="s">
        <v>6029</v>
      </c>
      <c r="G389" s="146" t="s">
        <v>6340</v>
      </c>
    </row>
    <row r="390" spans="2:7" s="177" customFormat="1" ht="31.5">
      <c r="B390" s="957"/>
      <c r="C390" s="959"/>
      <c r="D390" s="216" t="s">
        <v>6338</v>
      </c>
      <c r="E390" s="241" t="s">
        <v>6339</v>
      </c>
      <c r="F390" s="145" t="s">
        <v>6341</v>
      </c>
      <c r="G390" s="146" t="s">
        <v>6342</v>
      </c>
    </row>
    <row r="391" spans="2:7" s="177" customFormat="1" ht="31.5">
      <c r="B391" s="956" t="s">
        <v>6025</v>
      </c>
      <c r="C391" s="958" t="s">
        <v>4551</v>
      </c>
      <c r="D391" s="216" t="s">
        <v>6343</v>
      </c>
      <c r="E391" s="241" t="s">
        <v>6339</v>
      </c>
      <c r="F391" s="145" t="s">
        <v>6344</v>
      </c>
      <c r="G391" s="146" t="s">
        <v>6345</v>
      </c>
    </row>
    <row r="392" spans="2:7" s="177" customFormat="1" ht="30">
      <c r="B392" s="957"/>
      <c r="C392" s="959"/>
      <c r="D392" s="216" t="s">
        <v>6346</v>
      </c>
      <c r="E392" s="241"/>
      <c r="F392" s="145" t="s">
        <v>6347</v>
      </c>
      <c r="G392" s="146" t="s">
        <v>6348</v>
      </c>
    </row>
    <row r="393" spans="2:7" s="177" customFormat="1" ht="31.5">
      <c r="B393" s="144" t="s">
        <v>6349</v>
      </c>
      <c r="C393" s="216" t="s">
        <v>6337</v>
      </c>
      <c r="D393" s="216" t="s">
        <v>5885</v>
      </c>
      <c r="E393" s="241" t="s">
        <v>6339</v>
      </c>
      <c r="F393" s="145" t="s">
        <v>6033</v>
      </c>
      <c r="G393" s="244" t="s">
        <v>6350</v>
      </c>
    </row>
    <row r="394" spans="2:7" s="177" customFormat="1" ht="31.5">
      <c r="B394" s="144" t="s">
        <v>6351</v>
      </c>
      <c r="C394" s="216" t="s">
        <v>4551</v>
      </c>
      <c r="D394" s="216" t="s">
        <v>6352</v>
      </c>
      <c r="E394" s="241" t="s">
        <v>6339</v>
      </c>
      <c r="F394" s="145" t="s">
        <v>6353</v>
      </c>
      <c r="G394" s="146" t="s">
        <v>6354</v>
      </c>
    </row>
    <row r="395" spans="2:7" s="177" customFormat="1" ht="31.5">
      <c r="B395" s="144" t="s">
        <v>6355</v>
      </c>
      <c r="C395" s="216" t="s">
        <v>6337</v>
      </c>
      <c r="D395" s="216" t="s">
        <v>6356</v>
      </c>
      <c r="E395" s="241" t="s">
        <v>6339</v>
      </c>
      <c r="F395" s="145" t="s">
        <v>6357</v>
      </c>
      <c r="G395" s="146" t="s">
        <v>6358</v>
      </c>
    </row>
    <row r="396" spans="2:7" s="177" customFormat="1" ht="31.5">
      <c r="B396" s="956" t="s">
        <v>6359</v>
      </c>
      <c r="C396" s="958" t="s">
        <v>4551</v>
      </c>
      <c r="D396" s="216" t="s">
        <v>6343</v>
      </c>
      <c r="E396" s="241" t="s">
        <v>6339</v>
      </c>
      <c r="F396" s="145" t="s">
        <v>6360</v>
      </c>
      <c r="G396" s="146" t="s">
        <v>6361</v>
      </c>
    </row>
    <row r="397" spans="2:7" s="177" customFormat="1">
      <c r="B397" s="957"/>
      <c r="C397" s="959"/>
      <c r="D397" s="216" t="s">
        <v>6362</v>
      </c>
      <c r="E397" s="241"/>
      <c r="F397" s="145" t="s">
        <v>6363</v>
      </c>
      <c r="G397" s="146" t="s">
        <v>6348</v>
      </c>
    </row>
    <row r="398" spans="2:7" s="177" customFormat="1" ht="46.5">
      <c r="B398" s="144" t="s">
        <v>5351</v>
      </c>
      <c r="C398" s="216" t="s">
        <v>6337</v>
      </c>
      <c r="D398" s="216" t="s">
        <v>5885</v>
      </c>
      <c r="E398" s="241" t="s">
        <v>6364</v>
      </c>
      <c r="F398" s="145" t="s">
        <v>6365</v>
      </c>
      <c r="G398" s="244" t="s">
        <v>6366</v>
      </c>
    </row>
    <row r="399" spans="2:7" s="177" customFormat="1" ht="46.5">
      <c r="B399" s="956" t="s">
        <v>6367</v>
      </c>
      <c r="C399" s="216" t="s">
        <v>4551</v>
      </c>
      <c r="D399" s="216" t="s">
        <v>6368</v>
      </c>
      <c r="E399" s="241" t="s">
        <v>6364</v>
      </c>
      <c r="F399" s="145" t="s">
        <v>6369</v>
      </c>
      <c r="G399" s="244" t="s">
        <v>6345</v>
      </c>
    </row>
    <row r="400" spans="2:7" s="177" customFormat="1">
      <c r="B400" s="957"/>
      <c r="C400" s="216" t="s">
        <v>4551</v>
      </c>
      <c r="D400" s="216" t="s">
        <v>6362</v>
      </c>
      <c r="E400" s="245"/>
      <c r="F400" s="145" t="s">
        <v>6370</v>
      </c>
      <c r="G400" s="146" t="s">
        <v>6348</v>
      </c>
    </row>
    <row r="401" spans="2:7" s="177" customFormat="1" ht="31.5">
      <c r="B401" s="242" t="s">
        <v>5363</v>
      </c>
      <c r="C401" s="243" t="s">
        <v>6337</v>
      </c>
      <c r="D401" s="216"/>
      <c r="E401" s="246" t="s">
        <v>6371</v>
      </c>
      <c r="F401" s="145"/>
      <c r="G401" s="146" t="s">
        <v>6372</v>
      </c>
    </row>
    <row r="402" spans="2:7" s="177" customFormat="1" ht="30.75">
      <c r="B402" s="242" t="s">
        <v>5452</v>
      </c>
      <c r="C402" s="216" t="s">
        <v>6335</v>
      </c>
      <c r="D402" s="216"/>
      <c r="E402" s="145" t="s">
        <v>6373</v>
      </c>
      <c r="F402" s="145"/>
      <c r="G402" s="145"/>
    </row>
    <row r="403" spans="2:7" s="177" customFormat="1" ht="14.25"/>
    <row r="404" spans="2:7" s="177" customFormat="1" ht="14.25"/>
    <row r="405" spans="2:7" s="177" customFormat="1" ht="14.25"/>
    <row r="422" spans="2:8" ht="15.75" thickBot="1"/>
    <row r="423" spans="2:8" ht="16.5">
      <c r="B423" s="1025" t="s">
        <v>6389</v>
      </c>
      <c r="C423" s="1026"/>
      <c r="D423" s="1026"/>
      <c r="E423" s="1026"/>
      <c r="F423" s="1026"/>
      <c r="G423" s="1026"/>
      <c r="H423" s="1027"/>
    </row>
    <row r="424" spans="2:8" ht="16.5">
      <c r="B424" s="178" t="s">
        <v>6016</v>
      </c>
      <c r="C424" s="179" t="s">
        <v>6017</v>
      </c>
      <c r="D424" s="180" t="s">
        <v>6018</v>
      </c>
      <c r="E424" s="992" t="s">
        <v>6019</v>
      </c>
      <c r="F424" s="993"/>
      <c r="G424" s="994"/>
      <c r="H424" s="181" t="s">
        <v>6020</v>
      </c>
    </row>
    <row r="425" spans="2:8" ht="15.75">
      <c r="B425" s="998" t="s">
        <v>1786</v>
      </c>
      <c r="C425" s="1028" t="s">
        <v>6390</v>
      </c>
      <c r="D425" s="1001" t="s">
        <v>6027</v>
      </c>
      <c r="E425" s="179" t="s">
        <v>6028</v>
      </c>
      <c r="F425" s="179" t="s">
        <v>172</v>
      </c>
      <c r="G425" s="187" t="s">
        <v>6029</v>
      </c>
      <c r="H425" s="1004" t="s">
        <v>6030</v>
      </c>
    </row>
    <row r="426" spans="2:8" ht="15.75">
      <c r="B426" s="999"/>
      <c r="C426" s="1000"/>
      <c r="D426" s="1002"/>
      <c r="E426" s="179" t="s">
        <v>6031</v>
      </c>
      <c r="F426" s="179" t="s">
        <v>175</v>
      </c>
      <c r="G426" s="187" t="s">
        <v>6032</v>
      </c>
      <c r="H426" s="1005"/>
    </row>
    <row r="427" spans="2:8" ht="16.5">
      <c r="B427" s="998" t="s">
        <v>1808</v>
      </c>
      <c r="C427" s="1000"/>
      <c r="D427" s="1002"/>
      <c r="E427" s="179" t="s">
        <v>6028</v>
      </c>
      <c r="F427" s="179" t="s">
        <v>172</v>
      </c>
      <c r="G427" s="261" t="s">
        <v>6391</v>
      </c>
      <c r="H427" s="1029" t="s">
        <v>6034</v>
      </c>
    </row>
    <row r="428" spans="2:8" ht="16.5">
      <c r="B428" s="999"/>
      <c r="C428" s="1000"/>
      <c r="D428" s="1002"/>
      <c r="E428" s="179" t="s">
        <v>6031</v>
      </c>
      <c r="F428" s="179" t="s">
        <v>175</v>
      </c>
      <c r="G428" s="261" t="s">
        <v>6392</v>
      </c>
      <c r="H428" s="1030"/>
    </row>
    <row r="429" spans="2:8" ht="16.5">
      <c r="B429" s="998" t="s">
        <v>6025</v>
      </c>
      <c r="C429" s="1000"/>
      <c r="D429" s="1002"/>
      <c r="E429" s="179" t="s">
        <v>6028</v>
      </c>
      <c r="F429" s="179" t="s">
        <v>172</v>
      </c>
      <c r="G429" s="261" t="s">
        <v>6393</v>
      </c>
      <c r="H429" s="1029" t="s">
        <v>6037</v>
      </c>
    </row>
    <row r="430" spans="2:8" ht="16.5">
      <c r="B430" s="999"/>
      <c r="C430" s="1000"/>
      <c r="D430" s="1002"/>
      <c r="E430" s="179" t="s">
        <v>6031</v>
      </c>
      <c r="F430" s="179" t="s">
        <v>175</v>
      </c>
      <c r="G430" s="261" t="s">
        <v>6394</v>
      </c>
      <c r="H430" s="1030"/>
    </row>
    <row r="431" spans="2:8" ht="33">
      <c r="B431" s="998" t="s">
        <v>6349</v>
      </c>
      <c r="C431" s="1000"/>
      <c r="D431" s="1002"/>
      <c r="E431" s="179" t="s">
        <v>6028</v>
      </c>
      <c r="F431" s="179" t="s">
        <v>172</v>
      </c>
      <c r="G431" s="188" t="s">
        <v>6395</v>
      </c>
      <c r="H431" s="189" t="s">
        <v>6396</v>
      </c>
    </row>
    <row r="432" spans="2:8" ht="33">
      <c r="B432" s="999"/>
      <c r="C432" s="1000"/>
      <c r="D432" s="1002"/>
      <c r="E432" s="179" t="s">
        <v>6031</v>
      </c>
      <c r="F432" s="179" t="s">
        <v>175</v>
      </c>
      <c r="G432" s="187" t="s">
        <v>6397</v>
      </c>
      <c r="H432" s="189" t="s">
        <v>6398</v>
      </c>
    </row>
    <row r="433" spans="2:8" ht="31.5">
      <c r="B433" s="998" t="s">
        <v>6351</v>
      </c>
      <c r="C433" s="1000"/>
      <c r="D433" s="1002"/>
      <c r="E433" s="179" t="s">
        <v>6028</v>
      </c>
      <c r="F433" s="179" t="s">
        <v>172</v>
      </c>
      <c r="G433" s="188" t="s">
        <v>6399</v>
      </c>
      <c r="H433" s="185" t="s">
        <v>6400</v>
      </c>
    </row>
    <row r="434" spans="2:8" ht="33">
      <c r="B434" s="999"/>
      <c r="C434" s="1000"/>
      <c r="D434" s="1002"/>
      <c r="E434" s="179" t="s">
        <v>6031</v>
      </c>
      <c r="F434" s="179" t="s">
        <v>175</v>
      </c>
      <c r="G434" s="187" t="s">
        <v>6401</v>
      </c>
      <c r="H434" s="189" t="s">
        <v>6402</v>
      </c>
    </row>
    <row r="435" spans="2:8" ht="15.75">
      <c r="B435" s="998" t="s">
        <v>6355</v>
      </c>
      <c r="C435" s="1000"/>
      <c r="D435" s="1002"/>
      <c r="E435" s="179" t="s">
        <v>6028</v>
      </c>
      <c r="F435" s="179" t="s">
        <v>172</v>
      </c>
      <c r="G435" s="187" t="s">
        <v>6055</v>
      </c>
      <c r="H435" s="1004" t="s">
        <v>6056</v>
      </c>
    </row>
    <row r="436" spans="2:8" ht="15.75">
      <c r="B436" s="999"/>
      <c r="C436" s="1000"/>
      <c r="D436" s="1003"/>
      <c r="E436" s="179" t="s">
        <v>6031</v>
      </c>
      <c r="F436" s="179" t="s">
        <v>175</v>
      </c>
      <c r="G436" s="187" t="s">
        <v>6057</v>
      </c>
      <c r="H436" s="1005"/>
    </row>
    <row r="437" spans="2:8" ht="17.25" thickBot="1">
      <c r="B437" s="190" t="s">
        <v>5346</v>
      </c>
      <c r="C437" s="260"/>
      <c r="D437" s="192" t="s">
        <v>6058</v>
      </c>
      <c r="E437" s="1008"/>
      <c r="F437" s="1009"/>
      <c r="G437" s="1010"/>
      <c r="H437" s="193"/>
    </row>
    <row r="442" spans="2:8" ht="16.5" customHeight="1">
      <c r="B442" s="1020" t="s">
        <v>6403</v>
      </c>
      <c r="C442" s="1021"/>
      <c r="D442" s="1021"/>
      <c r="E442" s="1022"/>
      <c r="F442" s="286"/>
    </row>
    <row r="443" spans="2:8" ht="16.5">
      <c r="B443" s="287" t="s">
        <v>6267</v>
      </c>
      <c r="C443" s="1023" t="s">
        <v>6268</v>
      </c>
      <c r="D443" s="1024"/>
      <c r="E443" s="287" t="s">
        <v>6269</v>
      </c>
      <c r="F443" s="287" t="s">
        <v>6018</v>
      </c>
    </row>
    <row r="444" spans="2:8" ht="49.5">
      <c r="B444" s="1017" t="s">
        <v>6404</v>
      </c>
      <c r="C444" s="1017"/>
      <c r="D444" s="1017"/>
      <c r="E444" s="1017"/>
      <c r="F444" s="288" t="s">
        <v>6405</v>
      </c>
    </row>
    <row r="445" spans="2:8" ht="82.5">
      <c r="B445" s="1019"/>
      <c r="C445" s="1019"/>
      <c r="D445" s="1019"/>
      <c r="E445" s="1019"/>
      <c r="F445" s="289" t="s">
        <v>6406</v>
      </c>
    </row>
    <row r="446" spans="2:8" ht="16.5">
      <c r="B446" s="1011" t="s">
        <v>6407</v>
      </c>
      <c r="C446" s="1011" t="s">
        <v>6271</v>
      </c>
      <c r="D446" s="1014" t="s">
        <v>6408</v>
      </c>
      <c r="E446" s="1017"/>
      <c r="F446" s="290" t="s">
        <v>6409</v>
      </c>
    </row>
    <row r="447" spans="2:8" ht="33">
      <c r="B447" s="1013"/>
      <c r="C447" s="1013"/>
      <c r="D447" s="1015"/>
      <c r="E447" s="1018"/>
      <c r="F447" s="291" t="s">
        <v>6410</v>
      </c>
    </row>
    <row r="448" spans="2:8" ht="16.5">
      <c r="B448" s="1013"/>
      <c r="C448" s="1012"/>
      <c r="D448" s="1016"/>
      <c r="E448" s="1019"/>
      <c r="F448" s="291" t="s">
        <v>6411</v>
      </c>
    </row>
    <row r="449" spans="2:6" ht="16.5">
      <c r="B449" s="1012"/>
      <c r="C449" s="292" t="s">
        <v>6274</v>
      </c>
      <c r="D449" s="293" t="s">
        <v>6412</v>
      </c>
      <c r="E449" s="293" t="s">
        <v>6413</v>
      </c>
      <c r="F449" s="291" t="s">
        <v>6414</v>
      </c>
    </row>
    <row r="450" spans="2:6" ht="66" customHeight="1">
      <c r="B450" s="1011" t="s">
        <v>6270</v>
      </c>
      <c r="C450" s="292" t="s">
        <v>6271</v>
      </c>
      <c r="D450" s="293" t="s">
        <v>6415</v>
      </c>
      <c r="E450" s="293" t="s">
        <v>6273</v>
      </c>
      <c r="F450" s="294"/>
    </row>
    <row r="451" spans="2:6" ht="16.5">
      <c r="B451" s="1012"/>
      <c r="C451" s="292" t="s">
        <v>6274</v>
      </c>
      <c r="D451" s="293" t="s">
        <v>6416</v>
      </c>
      <c r="E451" s="293"/>
      <c r="F451" s="286"/>
    </row>
    <row r="452" spans="2:6" ht="66" customHeight="1">
      <c r="B452" s="1011" t="s">
        <v>6417</v>
      </c>
      <c r="C452" s="292" t="s">
        <v>6271</v>
      </c>
      <c r="D452" s="293" t="s">
        <v>6418</v>
      </c>
      <c r="E452" s="293" t="s">
        <v>6419</v>
      </c>
      <c r="F452" s="286"/>
    </row>
    <row r="453" spans="2:6" ht="16.5">
      <c r="B453" s="1013"/>
      <c r="C453" s="292" t="s">
        <v>6274</v>
      </c>
      <c r="D453" s="293" t="s">
        <v>6420</v>
      </c>
      <c r="E453" s="293"/>
      <c r="F453" s="286"/>
    </row>
    <row r="454" spans="2:6" ht="16.5">
      <c r="B454" s="1013"/>
      <c r="C454" s="292" t="s">
        <v>6271</v>
      </c>
      <c r="D454" s="293" t="s">
        <v>6421</v>
      </c>
      <c r="E454" s="293" t="s">
        <v>6422</v>
      </c>
      <c r="F454" s="286"/>
    </row>
    <row r="455" spans="2:6" ht="16.5">
      <c r="B455" s="1012"/>
      <c r="C455" s="292" t="s">
        <v>6274</v>
      </c>
      <c r="D455" s="293" t="s">
        <v>6423</v>
      </c>
      <c r="E455" s="293"/>
      <c r="F455" s="286"/>
    </row>
    <row r="456" spans="2:6" ht="33" customHeight="1">
      <c r="B456" s="1011" t="s">
        <v>6283</v>
      </c>
      <c r="C456" s="292" t="s">
        <v>6271</v>
      </c>
      <c r="D456" s="293" t="s">
        <v>6284</v>
      </c>
      <c r="E456" s="293"/>
      <c r="F456" s="286"/>
    </row>
    <row r="457" spans="2:6" ht="16.5">
      <c r="B457" s="1012"/>
      <c r="C457" s="292" t="s">
        <v>6274</v>
      </c>
      <c r="D457" s="293"/>
      <c r="E457" s="293"/>
      <c r="F457" s="286"/>
    </row>
    <row r="458" spans="2:6" ht="33" customHeight="1">
      <c r="B458" s="1011" t="s">
        <v>6424</v>
      </c>
      <c r="C458" s="292" t="s">
        <v>6271</v>
      </c>
      <c r="D458" s="293" t="s">
        <v>6425</v>
      </c>
      <c r="E458" s="292" t="s">
        <v>6426</v>
      </c>
      <c r="F458" s="286"/>
    </row>
    <row r="459" spans="2:6" ht="16.5">
      <c r="B459" s="1012"/>
      <c r="C459" s="292" t="s">
        <v>6274</v>
      </c>
      <c r="D459" s="293" t="s">
        <v>6427</v>
      </c>
      <c r="E459" s="293" t="s">
        <v>6428</v>
      </c>
      <c r="F459" s="286"/>
    </row>
    <row r="460" spans="2:6" ht="16.5">
      <c r="B460" s="1011" t="s">
        <v>6407</v>
      </c>
      <c r="C460" s="1011" t="s">
        <v>6271</v>
      </c>
      <c r="D460" s="1014" t="s">
        <v>6408</v>
      </c>
      <c r="E460" s="1017"/>
      <c r="F460" s="290" t="s">
        <v>6409</v>
      </c>
    </row>
    <row r="461" spans="2:6" ht="33">
      <c r="B461" s="1013"/>
      <c r="C461" s="1013"/>
      <c r="D461" s="1015"/>
      <c r="E461" s="1018"/>
      <c r="F461" s="291" t="s">
        <v>6410</v>
      </c>
    </row>
    <row r="462" spans="2:6" ht="16.5">
      <c r="B462" s="1013"/>
      <c r="C462" s="1013"/>
      <c r="D462" s="1015"/>
      <c r="E462" s="1018"/>
      <c r="F462" s="291" t="s">
        <v>6411</v>
      </c>
    </row>
    <row r="463" spans="2:6" ht="16.5">
      <c r="B463" s="1013"/>
      <c r="C463" s="1013"/>
      <c r="D463" s="1015"/>
      <c r="E463" s="1018"/>
      <c r="F463" s="291" t="s">
        <v>6414</v>
      </c>
    </row>
    <row r="464" spans="2:6">
      <c r="B464" s="1013"/>
      <c r="C464" s="1013"/>
      <c r="D464" s="1015"/>
      <c r="E464" s="1018"/>
      <c r="F464" s="295"/>
    </row>
    <row r="465" spans="2:6" ht="33">
      <c r="B465" s="1013"/>
      <c r="C465" s="1012"/>
      <c r="D465" s="1016"/>
      <c r="E465" s="1019"/>
      <c r="F465" s="291" t="s">
        <v>6429</v>
      </c>
    </row>
    <row r="466" spans="2:6" ht="82.5">
      <c r="B466" s="1012"/>
      <c r="C466" s="292" t="s">
        <v>6274</v>
      </c>
      <c r="D466" s="293" t="s">
        <v>6412</v>
      </c>
      <c r="E466" s="293" t="s">
        <v>6413</v>
      </c>
      <c r="F466" s="291" t="s">
        <v>6430</v>
      </c>
    </row>
    <row r="470" spans="2:6" ht="15.75">
      <c r="B470" s="952" t="s">
        <v>6374</v>
      </c>
      <c r="C470" s="952"/>
      <c r="D470" s="952"/>
      <c r="E470" s="952"/>
    </row>
    <row r="471" spans="2:6" ht="16.5">
      <c r="B471" s="300" t="s">
        <v>6120</v>
      </c>
      <c r="C471" s="300" t="s">
        <v>6121</v>
      </c>
      <c r="D471" s="300" t="s">
        <v>6122</v>
      </c>
      <c r="E471" s="300" t="s">
        <v>6123</v>
      </c>
    </row>
    <row r="472" spans="2:6" ht="49.5">
      <c r="B472" s="301" t="s">
        <v>5340</v>
      </c>
      <c r="C472" s="302" t="s">
        <v>6375</v>
      </c>
      <c r="D472" s="303"/>
      <c r="E472" s="303"/>
    </row>
    <row r="473" spans="2:6" ht="15" customHeight="1">
      <c r="B473" s="949">
        <v>2</v>
      </c>
      <c r="C473" s="946" t="s">
        <v>6376</v>
      </c>
      <c r="D473" s="304" t="s">
        <v>6126</v>
      </c>
      <c r="E473" s="304" t="s">
        <v>6377</v>
      </c>
    </row>
    <row r="474" spans="2:6" ht="15.75">
      <c r="B474" s="950"/>
      <c r="C474" s="947"/>
      <c r="D474" s="305" t="s">
        <v>6130</v>
      </c>
      <c r="E474" s="306" t="s">
        <v>6378</v>
      </c>
    </row>
    <row r="475" spans="2:6" ht="15.75">
      <c r="B475" s="950"/>
      <c r="C475" s="947"/>
      <c r="D475" s="304" t="s">
        <v>6132</v>
      </c>
      <c r="E475" s="306" t="s">
        <v>6379</v>
      </c>
    </row>
    <row r="476" spans="2:6" ht="15.75">
      <c r="B476" s="950"/>
      <c r="C476" s="947"/>
      <c r="D476" s="307" t="s">
        <v>6134</v>
      </c>
      <c r="E476" s="307" t="s">
        <v>6380</v>
      </c>
    </row>
    <row r="477" spans="2:6">
      <c r="B477" s="950"/>
      <c r="C477" s="947"/>
      <c r="D477" s="307" t="s">
        <v>6136</v>
      </c>
      <c r="E477" s="307" t="s">
        <v>6137</v>
      </c>
    </row>
    <row r="478" spans="2:6" ht="15.75">
      <c r="B478" s="950"/>
      <c r="C478" s="947"/>
      <c r="D478" s="307" t="s">
        <v>6138</v>
      </c>
      <c r="E478" s="307" t="s">
        <v>6381</v>
      </c>
    </row>
    <row r="479" spans="2:6" ht="15.75">
      <c r="B479" s="950"/>
      <c r="C479" s="947"/>
      <c r="D479" s="307" t="s">
        <v>6140</v>
      </c>
      <c r="E479" s="306" t="s">
        <v>6378</v>
      </c>
    </row>
    <row r="480" spans="2:6" ht="15.75">
      <c r="B480" s="951"/>
      <c r="C480" s="948"/>
      <c r="D480" s="304" t="s">
        <v>6141</v>
      </c>
      <c r="E480" s="306" t="s">
        <v>6379</v>
      </c>
    </row>
    <row r="481" spans="2:5" ht="15.75">
      <c r="B481" s="953">
        <v>3</v>
      </c>
      <c r="C481" s="954" t="s">
        <v>6382</v>
      </c>
      <c r="D481" s="307" t="s">
        <v>6383</v>
      </c>
      <c r="E481" s="307" t="s">
        <v>6384</v>
      </c>
    </row>
    <row r="482" spans="2:5" ht="31.5">
      <c r="B482" s="953"/>
      <c r="C482" s="955"/>
      <c r="D482" s="304" t="s">
        <v>6385</v>
      </c>
      <c r="E482" s="310" t="s">
        <v>6386</v>
      </c>
    </row>
    <row r="483" spans="2:5" ht="15.75">
      <c r="B483" s="953"/>
      <c r="C483" s="955"/>
      <c r="D483" s="304" t="s">
        <v>6151</v>
      </c>
      <c r="E483" s="306" t="s">
        <v>6379</v>
      </c>
    </row>
    <row r="484" spans="2:5" ht="15.75">
      <c r="B484" s="308">
        <v>4</v>
      </c>
      <c r="C484" s="309" t="s">
        <v>6387</v>
      </c>
      <c r="D484" s="304"/>
      <c r="E484" s="306"/>
    </row>
  </sheetData>
  <sheetProtection formatCells="0" formatColumns="0" formatRows="0"/>
  <mergeCells count="232">
    <mergeCell ref="A1:E1"/>
    <mergeCell ref="B3:E3"/>
    <mergeCell ref="B6:B11"/>
    <mergeCell ref="C6:C11"/>
    <mergeCell ref="B12:B13"/>
    <mergeCell ref="C12:C13"/>
    <mergeCell ref="B38:B39"/>
    <mergeCell ref="H38:H39"/>
    <mergeCell ref="E40:G40"/>
    <mergeCell ref="B44:H44"/>
    <mergeCell ref="E45:G45"/>
    <mergeCell ref="B20:H20"/>
    <mergeCell ref="E21:G21"/>
    <mergeCell ref="E22:G22"/>
    <mergeCell ref="E23:G23"/>
    <mergeCell ref="B24:B25"/>
    <mergeCell ref="C24:C39"/>
    <mergeCell ref="D24:D39"/>
    <mergeCell ref="H24:H25"/>
    <mergeCell ref="B26:B27"/>
    <mergeCell ref="H26:H27"/>
    <mergeCell ref="B28:B29"/>
    <mergeCell ref="H28:H29"/>
    <mergeCell ref="B30:B31"/>
    <mergeCell ref="B32:B33"/>
    <mergeCell ref="B34:B35"/>
    <mergeCell ref="B36:B37"/>
    <mergeCell ref="E46:G46"/>
    <mergeCell ref="B47:B64"/>
    <mergeCell ref="C47:C64"/>
    <mergeCell ref="D47:D48"/>
    <mergeCell ref="H47:H48"/>
    <mergeCell ref="D55:D56"/>
    <mergeCell ref="H55:H56"/>
    <mergeCell ref="D57:D58"/>
    <mergeCell ref="H57:H58"/>
    <mergeCell ref="D59:D60"/>
    <mergeCell ref="H59:H60"/>
    <mergeCell ref="D61:D62"/>
    <mergeCell ref="H61:H62"/>
    <mergeCell ref="D63:D64"/>
    <mergeCell ref="H63:H64"/>
    <mergeCell ref="J48:J49"/>
    <mergeCell ref="D49:D50"/>
    <mergeCell ref="H49:H50"/>
    <mergeCell ref="J50:J51"/>
    <mergeCell ref="D51:D52"/>
    <mergeCell ref="H51:H52"/>
    <mergeCell ref="J52:J53"/>
    <mergeCell ref="D53:D54"/>
    <mergeCell ref="H53:H54"/>
    <mergeCell ref="B104:B106"/>
    <mergeCell ref="C104:C106"/>
    <mergeCell ref="B110:E110"/>
    <mergeCell ref="C111:D111"/>
    <mergeCell ref="B112:B113"/>
    <mergeCell ref="B89:E89"/>
    <mergeCell ref="B92:B100"/>
    <mergeCell ref="C92:C100"/>
    <mergeCell ref="B101:B103"/>
    <mergeCell ref="C101:C103"/>
    <mergeCell ref="E126:E127"/>
    <mergeCell ref="B128:B129"/>
    <mergeCell ref="B130:B131"/>
    <mergeCell ref="E130:E131"/>
    <mergeCell ref="B135:E135"/>
    <mergeCell ref="B114:B117"/>
    <mergeCell ref="B118:B119"/>
    <mergeCell ref="B120:B121"/>
    <mergeCell ref="B124:B125"/>
    <mergeCell ref="B126:B127"/>
    <mergeCell ref="B150:B151"/>
    <mergeCell ref="B152:B153"/>
    <mergeCell ref="B154:B155"/>
    <mergeCell ref="B156:B157"/>
    <mergeCell ref="B159:E159"/>
    <mergeCell ref="C136:D136"/>
    <mergeCell ref="B137:B138"/>
    <mergeCell ref="B139:B142"/>
    <mergeCell ref="B143:B144"/>
    <mergeCell ref="B145:B147"/>
    <mergeCell ref="B173:B174"/>
    <mergeCell ref="B175:B176"/>
    <mergeCell ref="E175:E176"/>
    <mergeCell ref="B177:B178"/>
    <mergeCell ref="B179:B180"/>
    <mergeCell ref="E179:E180"/>
    <mergeCell ref="C160:D160"/>
    <mergeCell ref="B161:B162"/>
    <mergeCell ref="B163:B166"/>
    <mergeCell ref="B167:B168"/>
    <mergeCell ref="B169:B170"/>
    <mergeCell ref="B192:B194"/>
    <mergeCell ref="B197:B198"/>
    <mergeCell ref="B199:B200"/>
    <mergeCell ref="E199:E200"/>
    <mergeCell ref="B201:B202"/>
    <mergeCell ref="B182:E182"/>
    <mergeCell ref="C183:D183"/>
    <mergeCell ref="B184:B185"/>
    <mergeCell ref="B186:B189"/>
    <mergeCell ref="B190:B191"/>
    <mergeCell ref="B212:B215"/>
    <mergeCell ref="B216:B217"/>
    <mergeCell ref="B218:B219"/>
    <mergeCell ref="B222:B223"/>
    <mergeCell ref="B224:B225"/>
    <mergeCell ref="B203:B204"/>
    <mergeCell ref="E203:E204"/>
    <mergeCell ref="B208:E208"/>
    <mergeCell ref="C209:D209"/>
    <mergeCell ref="B210:B211"/>
    <mergeCell ref="B234:B235"/>
    <mergeCell ref="B238:B239"/>
    <mergeCell ref="B240:B241"/>
    <mergeCell ref="E240:E241"/>
    <mergeCell ref="B245:E245"/>
    <mergeCell ref="E224:E225"/>
    <mergeCell ref="B226:B227"/>
    <mergeCell ref="B230:B231"/>
    <mergeCell ref="B232:B233"/>
    <mergeCell ref="E232:E233"/>
    <mergeCell ref="B259:B260"/>
    <mergeCell ref="B261:B262"/>
    <mergeCell ref="E261:E262"/>
    <mergeCell ref="B266:E266"/>
    <mergeCell ref="C267:D267"/>
    <mergeCell ref="C246:D246"/>
    <mergeCell ref="B247:B248"/>
    <mergeCell ref="B249:B252"/>
    <mergeCell ref="B253:B254"/>
    <mergeCell ref="B255:B256"/>
    <mergeCell ref="E278:E279"/>
    <mergeCell ref="B284:E284"/>
    <mergeCell ref="C285:D285"/>
    <mergeCell ref="B286:B287"/>
    <mergeCell ref="B288:B291"/>
    <mergeCell ref="B268:B269"/>
    <mergeCell ref="B270:B273"/>
    <mergeCell ref="B274:B275"/>
    <mergeCell ref="B276:B277"/>
    <mergeCell ref="B278:B279"/>
    <mergeCell ref="B302:B303"/>
    <mergeCell ref="B304:B305"/>
    <mergeCell ref="E304:E305"/>
    <mergeCell ref="B308:E308"/>
    <mergeCell ref="C309:D309"/>
    <mergeCell ref="B292:B293"/>
    <mergeCell ref="B294:B295"/>
    <mergeCell ref="B298:B299"/>
    <mergeCell ref="B300:B301"/>
    <mergeCell ref="E300:E301"/>
    <mergeCell ref="B324:B325"/>
    <mergeCell ref="E324:E325"/>
    <mergeCell ref="B326:B327"/>
    <mergeCell ref="B328:B329"/>
    <mergeCell ref="E328:E329"/>
    <mergeCell ref="B310:B311"/>
    <mergeCell ref="B312:B315"/>
    <mergeCell ref="B316:B317"/>
    <mergeCell ref="B318:B319"/>
    <mergeCell ref="B322:B323"/>
    <mergeCell ref="B342:B343"/>
    <mergeCell ref="B346:B347"/>
    <mergeCell ref="B348:B349"/>
    <mergeCell ref="E348:E349"/>
    <mergeCell ref="B350:B351"/>
    <mergeCell ref="B332:E332"/>
    <mergeCell ref="C333:D333"/>
    <mergeCell ref="B334:B335"/>
    <mergeCell ref="B336:B339"/>
    <mergeCell ref="B340:B341"/>
    <mergeCell ref="B361:B364"/>
    <mergeCell ref="B365:B366"/>
    <mergeCell ref="B367:B368"/>
    <mergeCell ref="B371:B372"/>
    <mergeCell ref="B373:B374"/>
    <mergeCell ref="B352:B353"/>
    <mergeCell ref="E352:E353"/>
    <mergeCell ref="B357:E357"/>
    <mergeCell ref="C358:D358"/>
    <mergeCell ref="B359:B360"/>
    <mergeCell ref="B399:B400"/>
    <mergeCell ref="B389:B390"/>
    <mergeCell ref="C389:C390"/>
    <mergeCell ref="B391:B392"/>
    <mergeCell ref="C391:C392"/>
    <mergeCell ref="B396:B397"/>
    <mergeCell ref="C396:C397"/>
    <mergeCell ref="E373:E374"/>
    <mergeCell ref="B375:B376"/>
    <mergeCell ref="B377:B378"/>
    <mergeCell ref="E377:E378"/>
    <mergeCell ref="B386:G386"/>
    <mergeCell ref="E437:G437"/>
    <mergeCell ref="B423:H423"/>
    <mergeCell ref="E424:G424"/>
    <mergeCell ref="B425:B426"/>
    <mergeCell ref="C425:C436"/>
    <mergeCell ref="D425:D436"/>
    <mergeCell ref="H425:H426"/>
    <mergeCell ref="B427:B428"/>
    <mergeCell ref="H427:H428"/>
    <mergeCell ref="B429:B430"/>
    <mergeCell ref="H429:H430"/>
    <mergeCell ref="B431:B432"/>
    <mergeCell ref="B433:B434"/>
    <mergeCell ref="B435:B436"/>
    <mergeCell ref="H435:H436"/>
    <mergeCell ref="B442:E442"/>
    <mergeCell ref="C443:D443"/>
    <mergeCell ref="B444:B445"/>
    <mergeCell ref="C444:C445"/>
    <mergeCell ref="D444:D445"/>
    <mergeCell ref="E444:E445"/>
    <mergeCell ref="B446:B449"/>
    <mergeCell ref="C446:C448"/>
    <mergeCell ref="D446:D448"/>
    <mergeCell ref="E446:E448"/>
    <mergeCell ref="B470:E470"/>
    <mergeCell ref="B473:B480"/>
    <mergeCell ref="C473:C480"/>
    <mergeCell ref="B481:B483"/>
    <mergeCell ref="C481:C483"/>
    <mergeCell ref="B450:B451"/>
    <mergeCell ref="B452:B455"/>
    <mergeCell ref="B456:B457"/>
    <mergeCell ref="B458:B459"/>
    <mergeCell ref="B460:B466"/>
    <mergeCell ref="C460:C465"/>
    <mergeCell ref="D460:D465"/>
    <mergeCell ref="E460:E465"/>
  </mergeCells>
  <phoneticPr fontId="45" type="noConversion"/>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CEF0E-FCCB-43CC-B5F2-2D7F3CE18F3F}">
  <sheetPr codeName="工作表21"/>
  <dimension ref="A1:L62"/>
  <sheetViews>
    <sheetView zoomScale="130" zoomScaleNormal="130" workbookViewId="0">
      <selection activeCell="C18" sqref="C18:E18"/>
    </sheetView>
  </sheetViews>
  <sheetFormatPr defaultColWidth="10.5" defaultRowHeight="12"/>
  <cols>
    <col min="1" max="1" width="8.25" style="34" customWidth="1"/>
    <col min="2" max="2" width="9.5" style="34" customWidth="1"/>
    <col min="3" max="3" width="39.875" style="34" customWidth="1"/>
    <col min="4" max="4" width="16" style="34" customWidth="1"/>
    <col min="5" max="5" width="13.875" style="34" hidden="1" customWidth="1"/>
    <col min="6" max="6" width="53.375" style="34" customWidth="1"/>
    <col min="7" max="25" width="9" style="34" customWidth="1"/>
    <col min="26" max="217" width="10.5" style="34" customWidth="1"/>
    <col min="218" max="242" width="9" style="34" customWidth="1"/>
    <col min="243" max="243" width="5.625" style="34" customWidth="1"/>
    <col min="244" max="245" width="9" style="34" customWidth="1"/>
    <col min="246" max="246" width="4.75" style="34" customWidth="1"/>
    <col min="247" max="16384" width="10.5" style="34"/>
  </cols>
  <sheetData>
    <row r="1" spans="1:12" s="35" customFormat="1" ht="15.75" customHeight="1">
      <c r="A1" s="121" t="s">
        <v>0</v>
      </c>
      <c r="E1" s="34"/>
      <c r="F1" s="34"/>
      <c r="G1" s="34"/>
      <c r="H1" s="34"/>
      <c r="I1" s="34"/>
      <c r="J1" s="34"/>
      <c r="K1" s="34"/>
      <c r="L1" s="34"/>
    </row>
    <row r="2" spans="1:12" s="35" customFormat="1" ht="15.75" customHeight="1">
      <c r="A2" s="1037" t="s">
        <v>6431</v>
      </c>
      <c r="B2" s="1037"/>
      <c r="C2" s="1037"/>
      <c r="D2" s="1037"/>
      <c r="E2" s="1037"/>
      <c r="F2" s="130"/>
      <c r="G2" s="34"/>
      <c r="H2" s="34"/>
      <c r="I2" s="34"/>
      <c r="J2" s="34"/>
      <c r="K2" s="34"/>
      <c r="L2" s="34"/>
    </row>
    <row r="3" spans="1:12" s="35" customFormat="1" ht="17.25" customHeight="1">
      <c r="A3" s="1037"/>
      <c r="B3" s="1037"/>
      <c r="C3" s="1037"/>
      <c r="D3" s="130"/>
      <c r="E3" s="130"/>
      <c r="F3" s="130"/>
      <c r="G3" s="34"/>
      <c r="H3" s="34"/>
      <c r="I3" s="34"/>
      <c r="J3" s="34"/>
      <c r="K3" s="34"/>
      <c r="L3" s="34"/>
    </row>
    <row r="4" spans="1:12" ht="12" customHeight="1">
      <c r="A4" s="1036" t="s">
        <v>2</v>
      </c>
      <c r="B4" s="1036" t="s">
        <v>6432</v>
      </c>
      <c r="C4" s="1036" t="s">
        <v>6433</v>
      </c>
      <c r="D4" s="1036"/>
      <c r="E4" s="1036"/>
      <c r="F4" s="1036" t="s">
        <v>6434</v>
      </c>
    </row>
    <row r="5" spans="1:12">
      <c r="A5" s="1036"/>
      <c r="B5" s="1036"/>
      <c r="C5" s="1036"/>
      <c r="D5" s="1036"/>
      <c r="E5" s="1036"/>
      <c r="F5" s="1036"/>
    </row>
    <row r="6" spans="1:12" ht="12.95" customHeight="1">
      <c r="A6" s="1033" t="s">
        <v>1861</v>
      </c>
      <c r="B6" s="131"/>
      <c r="C6" s="1034"/>
      <c r="D6" s="1034"/>
      <c r="E6" s="1034"/>
      <c r="F6" s="132"/>
    </row>
    <row r="7" spans="1:12" ht="12.95" customHeight="1">
      <c r="A7" s="1033"/>
      <c r="B7" s="133"/>
      <c r="C7" s="1035"/>
      <c r="D7" s="1035"/>
      <c r="E7" s="1035"/>
      <c r="F7" s="134"/>
    </row>
    <row r="8" spans="1:12" ht="12.95" customHeight="1">
      <c r="A8" s="1033"/>
      <c r="B8" s="131"/>
      <c r="C8" s="1034"/>
      <c r="D8" s="1034"/>
      <c r="E8" s="1034"/>
      <c r="F8" s="135"/>
    </row>
    <row r="9" spans="1:12" ht="12.95" customHeight="1">
      <c r="A9" s="1033" t="s">
        <v>2005</v>
      </c>
      <c r="B9" s="131"/>
      <c r="C9" s="1034"/>
      <c r="D9" s="1034"/>
      <c r="E9" s="1034"/>
      <c r="F9" s="136"/>
    </row>
    <row r="10" spans="1:12" ht="12.95" customHeight="1">
      <c r="A10" s="1033"/>
      <c r="B10" s="131"/>
      <c r="C10" s="1034"/>
      <c r="D10" s="1034"/>
      <c r="E10" s="1034"/>
      <c r="F10" s="136"/>
    </row>
    <row r="11" spans="1:12" ht="12.95" customHeight="1">
      <c r="A11" s="1033"/>
      <c r="B11" s="131"/>
      <c r="C11" s="1034"/>
      <c r="D11" s="1034"/>
      <c r="E11" s="1034"/>
      <c r="F11" s="135"/>
    </row>
    <row r="12" spans="1:12" ht="12.95" customHeight="1">
      <c r="A12" s="1033" t="s">
        <v>6435</v>
      </c>
      <c r="B12" s="131"/>
      <c r="C12" s="1034"/>
      <c r="D12" s="1034"/>
      <c r="E12" s="1034"/>
      <c r="F12" s="132"/>
    </row>
    <row r="13" spans="1:12" ht="12.95" customHeight="1">
      <c r="A13" s="1033"/>
      <c r="B13" s="131"/>
      <c r="C13" s="1034"/>
      <c r="D13" s="1034"/>
      <c r="E13" s="1034"/>
      <c r="F13" s="135"/>
    </row>
    <row r="14" spans="1:12" ht="12.95" customHeight="1">
      <c r="A14" s="1033"/>
      <c r="B14" s="131"/>
      <c r="C14" s="1034"/>
      <c r="D14" s="1034"/>
      <c r="E14" s="1034"/>
      <c r="F14" s="135"/>
    </row>
    <row r="15" spans="1:12" ht="12.95" customHeight="1">
      <c r="A15" s="1033" t="s">
        <v>1871</v>
      </c>
      <c r="B15" s="131"/>
      <c r="C15" s="1034"/>
      <c r="D15" s="1034"/>
      <c r="E15" s="1034"/>
      <c r="F15" s="136"/>
    </row>
    <row r="16" spans="1:12" ht="12.95" customHeight="1">
      <c r="A16" s="1033"/>
      <c r="B16" s="131"/>
      <c r="C16" s="1034"/>
      <c r="D16" s="1034"/>
      <c r="E16" s="1034"/>
      <c r="F16" s="136"/>
    </row>
    <row r="17" spans="1:11" ht="12.95" customHeight="1">
      <c r="A17" s="1033"/>
      <c r="B17" s="131"/>
      <c r="C17" s="1034"/>
      <c r="D17" s="1034"/>
      <c r="E17" s="1034"/>
      <c r="F17" s="135"/>
    </row>
    <row r="18" spans="1:11" ht="12.95" customHeight="1">
      <c r="A18" s="1033" t="s">
        <v>2009</v>
      </c>
      <c r="B18" s="131"/>
      <c r="C18" s="1034"/>
      <c r="D18" s="1034"/>
      <c r="E18" s="1034"/>
      <c r="F18" s="136"/>
    </row>
    <row r="19" spans="1:11" ht="12.95" customHeight="1">
      <c r="A19" s="1033"/>
      <c r="B19" s="131"/>
      <c r="C19" s="1034"/>
      <c r="D19" s="1034"/>
      <c r="E19" s="1034"/>
      <c r="F19" s="136"/>
    </row>
    <row r="20" spans="1:11" ht="12.95" customHeight="1">
      <c r="A20" s="1033"/>
      <c r="B20" s="131"/>
      <c r="C20" s="1034"/>
      <c r="D20" s="1034"/>
      <c r="E20" s="1034"/>
      <c r="F20" s="135"/>
    </row>
    <row r="21" spans="1:11" ht="12.95" customHeight="1">
      <c r="A21" s="1033" t="s">
        <v>2346</v>
      </c>
      <c r="B21" s="131"/>
      <c r="C21" s="1034"/>
      <c r="D21" s="1034"/>
      <c r="E21" s="1034"/>
      <c r="F21" s="136"/>
    </row>
    <row r="22" spans="1:11" s="35" customFormat="1" ht="12.95" customHeight="1">
      <c r="A22" s="1033"/>
      <c r="B22" s="133"/>
      <c r="C22" s="1035"/>
      <c r="D22" s="1035"/>
      <c r="E22" s="1035"/>
      <c r="F22" s="134"/>
      <c r="G22" s="34"/>
      <c r="H22" s="34"/>
      <c r="I22" s="34"/>
      <c r="J22" s="34"/>
      <c r="K22" s="34"/>
    </row>
    <row r="23" spans="1:11" s="35" customFormat="1" ht="12.95" customHeight="1">
      <c r="A23" s="1033"/>
      <c r="B23" s="131"/>
      <c r="C23" s="1034"/>
      <c r="D23" s="1034"/>
      <c r="E23" s="1034"/>
      <c r="F23" s="135"/>
      <c r="G23" s="34"/>
      <c r="H23" s="34"/>
      <c r="I23" s="34"/>
      <c r="J23" s="34"/>
      <c r="K23" s="34"/>
    </row>
    <row r="24" spans="1:11" ht="14.25" customHeight="1">
      <c r="A24" s="1033" t="s">
        <v>1985</v>
      </c>
      <c r="B24" s="131"/>
      <c r="C24" s="1034"/>
      <c r="D24" s="1034"/>
      <c r="E24" s="1034"/>
      <c r="F24" s="136"/>
    </row>
    <row r="25" spans="1:11" ht="14.25" customHeight="1">
      <c r="A25" s="1033"/>
      <c r="B25" s="131"/>
      <c r="C25" s="1034"/>
      <c r="D25" s="1034"/>
      <c r="E25" s="1034"/>
      <c r="F25" s="136"/>
    </row>
    <row r="26" spans="1:11" ht="14.25" customHeight="1">
      <c r="A26" s="1033"/>
      <c r="B26" s="131"/>
      <c r="C26" s="1034"/>
      <c r="D26" s="1034"/>
      <c r="E26" s="1034"/>
      <c r="F26" s="135"/>
    </row>
    <row r="27" spans="1:11" ht="14.25" customHeight="1">
      <c r="A27" s="1033" t="s">
        <v>6436</v>
      </c>
      <c r="B27" s="131"/>
      <c r="C27" s="1034"/>
      <c r="D27" s="1034"/>
      <c r="E27" s="1034"/>
      <c r="F27" s="136"/>
    </row>
    <row r="28" spans="1:11" ht="14.25" customHeight="1">
      <c r="A28" s="1033"/>
      <c r="B28" s="131"/>
      <c r="C28" s="1034"/>
      <c r="D28" s="1034"/>
      <c r="E28" s="1034"/>
      <c r="F28" s="136"/>
    </row>
    <row r="29" spans="1:11" ht="14.25" customHeight="1">
      <c r="A29" s="1033"/>
      <c r="B29" s="131"/>
      <c r="C29" s="1034"/>
      <c r="D29" s="1034"/>
      <c r="E29" s="1034"/>
      <c r="F29" s="135"/>
    </row>
    <row r="30" spans="1:11" ht="14.25" customHeight="1">
      <c r="A30" s="1033" t="s">
        <v>1956</v>
      </c>
      <c r="B30" s="131"/>
      <c r="C30" s="1034"/>
      <c r="D30" s="1034"/>
      <c r="E30" s="1034"/>
      <c r="F30" s="132"/>
    </row>
    <row r="31" spans="1:11" ht="14.25" customHeight="1">
      <c r="A31" s="1033"/>
      <c r="B31" s="133"/>
      <c r="C31" s="1035"/>
      <c r="D31" s="1035"/>
      <c r="E31" s="1035"/>
      <c r="F31" s="134"/>
    </row>
    <row r="32" spans="1:11" ht="14.25" customHeight="1">
      <c r="A32" s="1033"/>
      <c r="B32" s="131"/>
      <c r="C32" s="1034"/>
      <c r="D32" s="1034"/>
      <c r="E32" s="1034"/>
      <c r="F32" s="135"/>
    </row>
    <row r="33" spans="1:6">
      <c r="A33" s="1033" t="s">
        <v>1902</v>
      </c>
      <c r="B33" s="131"/>
      <c r="C33" s="1034"/>
      <c r="D33" s="1034"/>
      <c r="E33" s="1034"/>
      <c r="F33" s="136"/>
    </row>
    <row r="34" spans="1:6" ht="13.5" customHeight="1">
      <c r="A34" s="1033"/>
      <c r="B34" s="131"/>
      <c r="C34" s="1034"/>
      <c r="D34" s="1034"/>
      <c r="E34" s="1034"/>
      <c r="F34" s="136"/>
    </row>
    <row r="35" spans="1:6" ht="14.25" customHeight="1">
      <c r="A35" s="1033"/>
      <c r="B35" s="131"/>
      <c r="C35" s="1034"/>
      <c r="D35" s="1034"/>
      <c r="E35" s="1034"/>
      <c r="F35" s="135"/>
    </row>
    <row r="36" spans="1:6">
      <c r="A36" s="1033" t="s">
        <v>6437</v>
      </c>
      <c r="B36" s="131"/>
      <c r="C36" s="1034"/>
      <c r="D36" s="1034"/>
      <c r="E36" s="1034"/>
      <c r="F36" s="136"/>
    </row>
    <row r="37" spans="1:6" ht="13.5" customHeight="1">
      <c r="A37" s="1033"/>
      <c r="B37" s="131"/>
      <c r="C37" s="1034"/>
      <c r="D37" s="1034"/>
      <c r="E37" s="1034"/>
      <c r="F37" s="136"/>
    </row>
    <row r="38" spans="1:6" ht="13.5" customHeight="1">
      <c r="A38" s="1033"/>
      <c r="B38" s="131"/>
      <c r="C38" s="1034"/>
      <c r="D38" s="1034"/>
      <c r="E38" s="1034"/>
      <c r="F38" s="135"/>
    </row>
    <row r="39" spans="1:6" ht="14.25" customHeight="1">
      <c r="A39" s="1033" t="s">
        <v>2021</v>
      </c>
      <c r="B39" s="131"/>
      <c r="C39" s="1034"/>
      <c r="D39" s="1034"/>
      <c r="E39" s="1034"/>
      <c r="F39" s="136"/>
    </row>
    <row r="40" spans="1:6">
      <c r="A40" s="1033"/>
      <c r="B40" s="131"/>
      <c r="C40" s="1034"/>
      <c r="D40" s="1034"/>
      <c r="E40" s="1034"/>
      <c r="F40" s="136"/>
    </row>
    <row r="41" spans="1:6">
      <c r="A41" s="1033"/>
      <c r="B41" s="131"/>
      <c r="C41" s="1034"/>
      <c r="D41" s="1034"/>
      <c r="E41" s="1034"/>
      <c r="F41" s="136"/>
    </row>
    <row r="42" spans="1:6">
      <c r="A42" s="1033">
        <v>34</v>
      </c>
      <c r="B42" s="131"/>
      <c r="C42" s="1034"/>
      <c r="D42" s="1034"/>
      <c r="E42" s="1034"/>
      <c r="F42" s="136"/>
    </row>
    <row r="43" spans="1:6">
      <c r="A43" s="1033"/>
      <c r="B43" s="131"/>
      <c r="C43" s="1034"/>
      <c r="D43" s="1034"/>
      <c r="E43" s="1034"/>
      <c r="F43" s="136"/>
    </row>
    <row r="44" spans="1:6">
      <c r="A44" s="1033"/>
      <c r="B44" s="131"/>
      <c r="C44" s="1034"/>
      <c r="D44" s="1034"/>
      <c r="E44" s="1034"/>
      <c r="F44" s="136"/>
    </row>
    <row r="45" spans="1:6">
      <c r="A45" s="1033">
        <v>36</v>
      </c>
      <c r="B45" s="131"/>
      <c r="C45" s="1034"/>
      <c r="D45" s="1034"/>
      <c r="E45" s="1034"/>
      <c r="F45" s="136"/>
    </row>
    <row r="46" spans="1:6">
      <c r="A46" s="1033"/>
      <c r="B46" s="133"/>
      <c r="C46" s="1035"/>
      <c r="D46" s="1035"/>
      <c r="E46" s="1035"/>
      <c r="F46" s="134"/>
    </row>
    <row r="47" spans="1:6">
      <c r="A47" s="1033"/>
      <c r="B47" s="133"/>
      <c r="C47" s="1035"/>
      <c r="D47" s="1035"/>
      <c r="E47" s="1035"/>
      <c r="F47" s="134"/>
    </row>
    <row r="48" spans="1:6">
      <c r="A48" s="1033" t="s">
        <v>2072</v>
      </c>
      <c r="B48" s="131"/>
      <c r="C48" s="1034"/>
      <c r="D48" s="1034"/>
      <c r="E48" s="1034"/>
      <c r="F48" s="136"/>
    </row>
    <row r="49" spans="1:6">
      <c r="A49" s="1033"/>
      <c r="B49" s="133"/>
      <c r="C49" s="1035"/>
      <c r="D49" s="1035"/>
      <c r="E49" s="1035"/>
      <c r="F49" s="134"/>
    </row>
    <row r="50" spans="1:6">
      <c r="A50" s="1033"/>
      <c r="B50" s="131"/>
      <c r="C50" s="1034"/>
      <c r="D50" s="1034"/>
      <c r="E50" s="1034"/>
      <c r="F50" s="136"/>
    </row>
    <row r="51" spans="1:6">
      <c r="A51" s="1031" t="s">
        <v>1989</v>
      </c>
      <c r="B51" s="137"/>
      <c r="C51" s="1032"/>
      <c r="D51" s="1032"/>
      <c r="E51" s="1032"/>
      <c r="F51" s="138" t="s">
        <v>15</v>
      </c>
    </row>
    <row r="52" spans="1:6">
      <c r="A52" s="1031"/>
      <c r="B52" s="137"/>
      <c r="C52" s="1032"/>
      <c r="D52" s="1032"/>
      <c r="E52" s="1032"/>
      <c r="F52" s="138" t="s">
        <v>15</v>
      </c>
    </row>
    <row r="53" spans="1:6">
      <c r="A53" s="1031"/>
      <c r="B53" s="137"/>
      <c r="C53" s="1032"/>
      <c r="D53" s="1032"/>
      <c r="E53" s="1032"/>
      <c r="F53" s="137" t="s">
        <v>15</v>
      </c>
    </row>
    <row r="54" spans="1:6">
      <c r="A54" s="1031" t="s">
        <v>6438</v>
      </c>
      <c r="B54" s="137"/>
      <c r="C54" s="1032"/>
      <c r="D54" s="1032"/>
      <c r="E54" s="1032"/>
      <c r="F54" s="137" t="s">
        <v>15</v>
      </c>
    </row>
    <row r="55" spans="1:6">
      <c r="A55" s="1031"/>
      <c r="B55" s="137"/>
      <c r="C55" s="1032"/>
      <c r="D55" s="1032"/>
      <c r="E55" s="1032"/>
      <c r="F55" s="139"/>
    </row>
    <row r="56" spans="1:6">
      <c r="A56" s="1031"/>
      <c r="B56" s="137"/>
      <c r="C56" s="1032"/>
      <c r="D56" s="1032"/>
      <c r="E56" s="1032"/>
      <c r="F56" s="140" t="s">
        <v>15</v>
      </c>
    </row>
    <row r="57" spans="1:6">
      <c r="A57" s="1031" t="s">
        <v>6439</v>
      </c>
      <c r="B57" s="137"/>
      <c r="C57" s="1032"/>
      <c r="D57" s="1032"/>
      <c r="E57" s="1032"/>
      <c r="F57" s="137" t="s">
        <v>15</v>
      </c>
    </row>
    <row r="58" spans="1:6">
      <c r="A58" s="1031"/>
      <c r="B58" s="137"/>
      <c r="C58" s="1032"/>
      <c r="D58" s="1032"/>
      <c r="E58" s="1032"/>
      <c r="F58" s="137" t="s">
        <v>15</v>
      </c>
    </row>
    <row r="59" spans="1:6">
      <c r="A59" s="1031"/>
      <c r="B59" s="137"/>
      <c r="C59" s="1032"/>
      <c r="D59" s="1032"/>
      <c r="E59" s="1032"/>
      <c r="F59" s="138" t="s">
        <v>15</v>
      </c>
    </row>
    <row r="60" spans="1:6">
      <c r="A60" s="1031" t="s">
        <v>6440</v>
      </c>
      <c r="B60" s="137"/>
      <c r="C60" s="1032"/>
      <c r="D60" s="1032"/>
      <c r="E60" s="1032"/>
      <c r="F60" s="137" t="s">
        <v>15</v>
      </c>
    </row>
    <row r="61" spans="1:6">
      <c r="A61" s="1031"/>
      <c r="B61" s="137"/>
      <c r="C61" s="1032"/>
      <c r="D61" s="1032"/>
      <c r="E61" s="1032"/>
      <c r="F61" s="137" t="s">
        <v>15</v>
      </c>
    </row>
    <row r="62" spans="1:6">
      <c r="A62" s="1031"/>
      <c r="B62" s="137"/>
      <c r="C62" s="1032"/>
      <c r="D62" s="1032"/>
      <c r="E62" s="1032"/>
      <c r="F62" s="137" t="s">
        <v>15</v>
      </c>
    </row>
  </sheetData>
  <protectedRanges>
    <protectedRange sqref="A28:F28 A34 A6:F6 A24:F24 A19:F21 A13:F15 A37:F39 A10:F12 A33:F33 A46:A47 A51:F62 A7:A8 B8:F8 A16:F18 A22:A23 B23:F23 A29:F30 A25:F27 A31:A32 B32:F32 A35 B35:F35 A36:F36 A43:F45 A40:F42 A9:F9 A49:A50 B50:F50 A48:F48" name="範圍1"/>
    <protectedRange sqref="B7:F7" name="範圍1_2"/>
    <protectedRange sqref="B22:F22" name="範圍1_4"/>
    <protectedRange sqref="B31:F31" name="範圍1_6"/>
    <protectedRange sqref="B34:F34" name="範圍1_7"/>
    <protectedRange sqref="B46:F47" name="範圍1_10"/>
    <protectedRange sqref="B49:F49" name="範圍1_11"/>
  </protectedRanges>
  <mergeCells count="82">
    <mergeCell ref="A2:E2"/>
    <mergeCell ref="A3:C3"/>
    <mergeCell ref="A4:A5"/>
    <mergeCell ref="B4:B5"/>
    <mergeCell ref="C4:E5"/>
    <mergeCell ref="F4:F5"/>
    <mergeCell ref="C11:E11"/>
    <mergeCell ref="A12:A14"/>
    <mergeCell ref="C12:E12"/>
    <mergeCell ref="C14:E14"/>
    <mergeCell ref="A6:A8"/>
    <mergeCell ref="C6:E6"/>
    <mergeCell ref="C8:E8"/>
    <mergeCell ref="A9:A11"/>
    <mergeCell ref="C9:E9"/>
    <mergeCell ref="C7:E7"/>
    <mergeCell ref="C10:E10"/>
    <mergeCell ref="C13:E13"/>
    <mergeCell ref="A18:A20"/>
    <mergeCell ref="C18:E18"/>
    <mergeCell ref="C20:E20"/>
    <mergeCell ref="A15:A17"/>
    <mergeCell ref="C15:E15"/>
    <mergeCell ref="C16:E16"/>
    <mergeCell ref="C17:E17"/>
    <mergeCell ref="C19:E19"/>
    <mergeCell ref="A27:A29"/>
    <mergeCell ref="C27:E27"/>
    <mergeCell ref="C28:E28"/>
    <mergeCell ref="C29:E29"/>
    <mergeCell ref="A21:A23"/>
    <mergeCell ref="C21:E21"/>
    <mergeCell ref="C23:E23"/>
    <mergeCell ref="A24:A26"/>
    <mergeCell ref="C24:E24"/>
    <mergeCell ref="C26:E26"/>
    <mergeCell ref="C22:E22"/>
    <mergeCell ref="C25:E25"/>
    <mergeCell ref="A36:A38"/>
    <mergeCell ref="C36:E36"/>
    <mergeCell ref="C38:E38"/>
    <mergeCell ref="A30:A32"/>
    <mergeCell ref="C30:E30"/>
    <mergeCell ref="C32:E32"/>
    <mergeCell ref="A33:A35"/>
    <mergeCell ref="C33:E33"/>
    <mergeCell ref="C35:E35"/>
    <mergeCell ref="C34:E34"/>
    <mergeCell ref="C31:E31"/>
    <mergeCell ref="C37:E37"/>
    <mergeCell ref="A39:A41"/>
    <mergeCell ref="C39:E39"/>
    <mergeCell ref="C40:E40"/>
    <mergeCell ref="C41:E41"/>
    <mergeCell ref="C43:E43"/>
    <mergeCell ref="A51:A53"/>
    <mergeCell ref="C51:E51"/>
    <mergeCell ref="C52:E52"/>
    <mergeCell ref="C53:E53"/>
    <mergeCell ref="A42:A44"/>
    <mergeCell ref="C42:E42"/>
    <mergeCell ref="C44:E44"/>
    <mergeCell ref="A45:A47"/>
    <mergeCell ref="C45:E45"/>
    <mergeCell ref="C46:E46"/>
    <mergeCell ref="C47:E47"/>
    <mergeCell ref="C49:E49"/>
    <mergeCell ref="A48:A50"/>
    <mergeCell ref="C48:E48"/>
    <mergeCell ref="C50:E50"/>
    <mergeCell ref="A60:A62"/>
    <mergeCell ref="C60:E60"/>
    <mergeCell ref="C61:E61"/>
    <mergeCell ref="C62:E62"/>
    <mergeCell ref="A54:A56"/>
    <mergeCell ref="C54:E54"/>
    <mergeCell ref="C55:E55"/>
    <mergeCell ref="C56:E56"/>
    <mergeCell ref="A57:A59"/>
    <mergeCell ref="C57:E57"/>
    <mergeCell ref="C58:E58"/>
    <mergeCell ref="C59:E59"/>
  </mergeCells>
  <phoneticPr fontId="45" type="noConversion"/>
  <hyperlinks>
    <hyperlink ref="A1" location="Support_Customized_NRC_支持的自定义否定响应码" display="Return" xr:uid="{A14E5041-B460-4428-BE70-3AF92D19F395}"/>
  </hyperlinks>
  <pageMargins left="0.69930555555555596" right="0.69930555555555596" top="0.75" bottom="0.75" header="0.3" footer="0.3"/>
  <pageSetup paperSize="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工作表22"/>
  <dimension ref="A2:K20"/>
  <sheetViews>
    <sheetView workbookViewId="0">
      <selection activeCell="H33" sqref="A1:XFD1048576"/>
    </sheetView>
  </sheetViews>
  <sheetFormatPr defaultColWidth="9" defaultRowHeight="12.75"/>
  <cols>
    <col min="1" max="1" width="10.25" style="3" customWidth="1"/>
    <col min="2" max="2" width="27.375" style="2" customWidth="1"/>
    <col min="3" max="3" width="9.875" style="1" customWidth="1"/>
    <col min="4" max="4" width="12.125" style="1" customWidth="1"/>
    <col min="5" max="5" width="9.75" style="3" customWidth="1"/>
    <col min="6" max="6" width="12.375" style="1" customWidth="1"/>
    <col min="7" max="7" width="9.25" style="1" customWidth="1"/>
    <col min="8" max="8" width="13.5" style="3" customWidth="1"/>
    <col min="9" max="9" width="27.375" style="1" customWidth="1"/>
    <col min="10" max="10" width="7.625" style="4" customWidth="1"/>
    <col min="11" max="11" width="11.625" style="3" customWidth="1"/>
    <col min="12" max="12" width="4.5" style="3" customWidth="1"/>
    <col min="13" max="16384" width="9" style="3"/>
  </cols>
  <sheetData>
    <row r="2" spans="1:11" ht="15.75">
      <c r="A2" s="1038" t="s">
        <v>6441</v>
      </c>
      <c r="B2" s="1038"/>
      <c r="C2" s="1038"/>
      <c r="D2" s="1038"/>
      <c r="E2" s="1038"/>
      <c r="F2" s="1038"/>
      <c r="G2" s="1038"/>
      <c r="H2" s="1038"/>
      <c r="I2" s="1038"/>
      <c r="J2" s="1038"/>
      <c r="K2" s="1038"/>
    </row>
    <row r="3" spans="1:11" ht="15.75">
      <c r="A3" s="1038"/>
      <c r="B3" s="1038"/>
      <c r="C3" s="1038"/>
      <c r="D3" s="1038"/>
      <c r="E3" s="1038"/>
      <c r="F3" s="1038"/>
      <c r="G3" s="1038"/>
      <c r="H3" s="1038"/>
      <c r="I3" s="1038"/>
      <c r="J3" s="1038"/>
      <c r="K3" s="1038"/>
    </row>
    <row r="5" spans="1:11" s="1" customFormat="1">
      <c r="A5" s="5" t="s">
        <v>6442</v>
      </c>
      <c r="B5" s="6" t="s">
        <v>6443</v>
      </c>
      <c r="C5" s="6" t="s">
        <v>6444</v>
      </c>
      <c r="D5" s="6" t="s">
        <v>6445</v>
      </c>
      <c r="E5" s="6" t="s">
        <v>6446</v>
      </c>
      <c r="F5" s="6" t="s">
        <v>6447</v>
      </c>
      <c r="G5" s="6" t="s">
        <v>6448</v>
      </c>
      <c r="H5" s="6" t="s">
        <v>6449</v>
      </c>
      <c r="I5" s="6" t="s">
        <v>6450</v>
      </c>
      <c r="J5" s="6" t="s">
        <v>6451</v>
      </c>
      <c r="K5" s="13" t="s">
        <v>6452</v>
      </c>
    </row>
    <row r="6" spans="1:11" s="2" customFormat="1">
      <c r="A6" s="7">
        <v>1</v>
      </c>
      <c r="B6" s="9"/>
      <c r="C6" s="8"/>
      <c r="D6" s="8"/>
      <c r="E6" s="8"/>
      <c r="F6" s="8"/>
      <c r="G6" s="8"/>
      <c r="H6" s="8"/>
      <c r="I6" s="9"/>
      <c r="J6" s="14"/>
      <c r="K6" s="15"/>
    </row>
    <row r="7" spans="1:11" s="2" customFormat="1">
      <c r="A7" s="7">
        <v>2</v>
      </c>
      <c r="B7" s="9"/>
      <c r="C7" s="8"/>
      <c r="D7" s="8"/>
      <c r="E7" s="8"/>
      <c r="F7" s="8"/>
      <c r="G7" s="8"/>
      <c r="H7" s="8"/>
      <c r="I7" s="9"/>
      <c r="J7" s="14"/>
      <c r="K7" s="15"/>
    </row>
    <row r="8" spans="1:11" s="2" customFormat="1" ht="15">
      <c r="A8" s="7"/>
      <c r="B8" s="9"/>
      <c r="C8" s="8"/>
      <c r="D8" s="129"/>
      <c r="E8" s="8"/>
      <c r="F8" s="8"/>
      <c r="G8" s="8"/>
      <c r="H8" s="8"/>
      <c r="I8" s="9"/>
      <c r="J8" s="14"/>
      <c r="K8" s="15"/>
    </row>
    <row r="9" spans="1:11" s="2" customFormat="1">
      <c r="A9" s="7"/>
      <c r="B9" s="9"/>
      <c r="C9" s="8"/>
      <c r="D9" s="8"/>
      <c r="E9" s="8"/>
      <c r="F9" s="8"/>
      <c r="G9" s="8"/>
      <c r="H9" s="8"/>
      <c r="I9" s="9"/>
      <c r="J9" s="14"/>
      <c r="K9" s="15"/>
    </row>
    <row r="10" spans="1:11" s="2" customFormat="1">
      <c r="A10" s="7"/>
      <c r="B10" s="9"/>
      <c r="C10" s="8"/>
      <c r="D10" s="8"/>
      <c r="E10" s="8"/>
      <c r="F10" s="8"/>
      <c r="G10" s="8"/>
      <c r="H10" s="8"/>
      <c r="I10" s="9"/>
      <c r="J10" s="14"/>
      <c r="K10" s="15"/>
    </row>
    <row r="11" spans="1:11" s="2" customFormat="1">
      <c r="A11" s="7"/>
      <c r="B11" s="9"/>
      <c r="C11" s="8"/>
      <c r="D11" s="8"/>
      <c r="E11" s="8"/>
      <c r="F11" s="8"/>
      <c r="G11" s="8"/>
      <c r="H11" s="8"/>
      <c r="I11" s="9"/>
      <c r="J11" s="14"/>
      <c r="K11" s="15"/>
    </row>
    <row r="12" spans="1:11" s="2" customFormat="1">
      <c r="A12" s="7"/>
      <c r="B12" s="9"/>
      <c r="C12" s="8"/>
      <c r="D12" s="8"/>
      <c r="E12" s="8"/>
      <c r="F12" s="8"/>
      <c r="G12" s="8"/>
      <c r="H12" s="8"/>
      <c r="I12" s="9"/>
      <c r="J12" s="14"/>
      <c r="K12" s="15"/>
    </row>
    <row r="13" spans="1:11" s="2" customFormat="1">
      <c r="A13" s="7"/>
      <c r="B13" s="9"/>
      <c r="C13" s="8"/>
      <c r="D13" s="8"/>
      <c r="E13" s="8"/>
      <c r="F13" s="8"/>
      <c r="G13" s="8"/>
      <c r="H13" s="8"/>
      <c r="I13" s="9"/>
      <c r="J13" s="14"/>
      <c r="K13" s="15"/>
    </row>
    <row r="14" spans="1:11" s="2" customFormat="1">
      <c r="A14" s="7"/>
      <c r="B14" s="9"/>
      <c r="C14" s="8"/>
      <c r="D14" s="8"/>
      <c r="E14" s="8"/>
      <c r="F14" s="8"/>
      <c r="G14" s="8"/>
      <c r="H14" s="8"/>
      <c r="I14" s="8"/>
      <c r="J14" s="14"/>
      <c r="K14" s="15"/>
    </row>
    <row r="15" spans="1:11">
      <c r="A15" s="7"/>
      <c r="B15" s="9"/>
      <c r="C15" s="8"/>
      <c r="D15" s="8"/>
      <c r="E15" s="8"/>
      <c r="F15" s="8"/>
      <c r="G15" s="8"/>
      <c r="H15" s="8"/>
      <c r="I15" s="8"/>
      <c r="J15" s="14"/>
      <c r="K15" s="15"/>
    </row>
    <row r="16" spans="1:11">
      <c r="A16" s="7"/>
      <c r="B16" s="9"/>
      <c r="C16" s="8"/>
      <c r="D16" s="8"/>
      <c r="E16" s="8"/>
      <c r="F16" s="8"/>
      <c r="G16" s="8"/>
      <c r="H16" s="8"/>
      <c r="I16" s="8"/>
      <c r="J16" s="14"/>
      <c r="K16" s="15"/>
    </row>
    <row r="17" spans="1:11">
      <c r="A17" s="7"/>
      <c r="B17" s="9"/>
      <c r="C17" s="8"/>
      <c r="D17" s="8"/>
      <c r="E17" s="8"/>
      <c r="F17" s="8"/>
      <c r="G17" s="8"/>
      <c r="H17" s="8"/>
      <c r="I17" s="8"/>
      <c r="J17" s="14"/>
      <c r="K17" s="15"/>
    </row>
    <row r="18" spans="1:11">
      <c r="A18" s="7"/>
      <c r="B18" s="9"/>
      <c r="C18" s="8"/>
      <c r="D18" s="8"/>
      <c r="E18" s="8"/>
      <c r="F18" s="8"/>
      <c r="G18" s="8"/>
      <c r="H18" s="8"/>
      <c r="I18" s="8"/>
      <c r="J18" s="14"/>
      <c r="K18" s="15"/>
    </row>
    <row r="19" spans="1:11">
      <c r="A19" s="7"/>
      <c r="B19" s="9"/>
      <c r="C19" s="8"/>
      <c r="D19" s="8"/>
      <c r="E19" s="8"/>
      <c r="F19" s="8"/>
      <c r="G19" s="8"/>
      <c r="H19" s="8"/>
      <c r="I19" s="8"/>
      <c r="J19" s="14"/>
      <c r="K19" s="15"/>
    </row>
    <row r="20" spans="1:11">
      <c r="A20" s="10"/>
      <c r="B20" s="11"/>
      <c r="C20" s="12"/>
      <c r="D20" s="12"/>
      <c r="E20" s="12"/>
      <c r="F20" s="12"/>
      <c r="G20" s="12"/>
      <c r="H20" s="12"/>
      <c r="I20" s="12"/>
      <c r="J20" s="16"/>
      <c r="K20" s="17"/>
    </row>
  </sheetData>
  <mergeCells count="2">
    <mergeCell ref="A2:K2"/>
    <mergeCell ref="A3:K3"/>
  </mergeCells>
  <phoneticPr fontId="28" type="noConversion"/>
  <conditionalFormatting sqref="C1 C4:C65536">
    <cfRule type="cellIs" dxfId="4" priority="3" stopIfTrue="1" operator="equal">
      <formula>"High"</formula>
    </cfRule>
    <cfRule type="cellIs" dxfId="3" priority="4" stopIfTrue="1" operator="equal">
      <formula>"Mid"</formula>
    </cfRule>
    <cfRule type="cellIs" dxfId="2" priority="5" stopIfTrue="1" operator="equal">
      <formula>"Low"</formula>
    </cfRule>
  </conditionalFormatting>
  <conditionalFormatting sqref="J1 J4:J65536">
    <cfRule type="cellIs" dxfId="1" priority="1" stopIfTrue="1" operator="equal">
      <formula>"Open"</formula>
    </cfRule>
    <cfRule type="cellIs" dxfId="0" priority="2" stopIfTrue="1" operator="equal">
      <formula>"Closed"</formula>
    </cfRule>
  </conditionalFormatting>
  <dataValidations count="4">
    <dataValidation type="list" allowBlank="1" showInputMessage="1" showErrorMessage="1" sqref="C6:C65536" xr:uid="{00000000-0002-0000-1200-000000000000}">
      <formula1>"High,Mid,Low"</formula1>
    </dataValidation>
    <dataValidation type="list" allowBlank="1" showInputMessage="1" showErrorMessage="1" sqref="E6:E20" xr:uid="{00000000-0002-0000-1200-000001000000}">
      <formula1>"CAN,LIN,OSEK NM,Diagnostics,ECU Function,n.a."</formula1>
    </dataValidation>
    <dataValidation type="list" allowBlank="1" showInputMessage="1" showErrorMessage="1" sqref="E21:E65536" xr:uid="{00000000-0002-0000-1200-000002000000}">
      <formula1>"CAN,LIN,J1939,OSEK NM,Diagnostics,FlexRay,AutoSar,MOST,ECU Function,n.a."</formula1>
    </dataValidation>
    <dataValidation type="list" allowBlank="1" showInputMessage="1" showErrorMessage="1" sqref="J6:J65536" xr:uid="{00000000-0002-0000-1200-000003000000}">
      <formula1>"Open,Closed"</formula1>
    </dataValidation>
  </dataValidations>
  <pageMargins left="0.69930555555555596" right="0.69930555555555596" top="0.75" bottom="0.75" header="0.3" footer="0.3"/>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工作表</vt:lpstr>
      </vt:variant>
      <vt:variant>
        <vt:i4>26</vt:i4>
      </vt:variant>
      <vt:variant>
        <vt:lpstr>具名範圍</vt:lpstr>
      </vt:variant>
      <vt:variant>
        <vt:i4>13</vt:i4>
      </vt:variant>
    </vt:vector>
  </HeadingPairs>
  <TitlesOfParts>
    <vt:vector size="39" baseType="lpstr">
      <vt:lpstr>DTCInfo</vt:lpstr>
      <vt:lpstr>GeneralInfo</vt:lpstr>
      <vt:lpstr>Cover</vt:lpstr>
      <vt:lpstr>Introduction</vt:lpstr>
      <vt:lpstr>Revision</vt:lpstr>
      <vt:lpstr>GeneralInfo2</vt:lpstr>
      <vt:lpstr>Services</vt:lpstr>
      <vt:lpstr>27Service</vt:lpstr>
      <vt:lpstr>28Service</vt:lpstr>
      <vt:lpstr>DTCInfo2</vt:lpstr>
      <vt:lpstr>DTCList</vt:lpstr>
      <vt:lpstr>DTCData</vt:lpstr>
      <vt:lpstr>Snapshot</vt:lpstr>
      <vt:lpstr>SnapshotList</vt:lpstr>
      <vt:lpstr>ExtendedData</vt:lpstr>
      <vt:lpstr>DIDList</vt:lpstr>
      <vt:lpstr>DIDData</vt:lpstr>
      <vt:lpstr>2FService</vt:lpstr>
      <vt:lpstr>31Service</vt:lpstr>
      <vt:lpstr>23_3DService</vt:lpstr>
      <vt:lpstr>2AService</vt:lpstr>
      <vt:lpstr>Bootloader</vt:lpstr>
      <vt:lpstr>EOL</vt:lpstr>
      <vt:lpstr>Calibration</vt:lpstr>
      <vt:lpstr>NRC</vt:lpstr>
      <vt:lpstr>OIL</vt:lpstr>
      <vt:lpstr>_0x04_ReportDTCSnapshotRecordByDTCNumber_0x04_通过DTC报告Snapshot的记录</vt:lpstr>
      <vt:lpstr>_0x06_ReportDTCExtendedDataRecordByDTCNumber_0x06_通过DTC报告扩展数据记录</vt:lpstr>
      <vt:lpstr>_0x14</vt:lpstr>
      <vt:lpstr>_0x22</vt:lpstr>
      <vt:lpstr>_0x23</vt:lpstr>
      <vt:lpstr>_0x27</vt:lpstr>
      <vt:lpstr>_0x28</vt:lpstr>
      <vt:lpstr>_0x2A</vt:lpstr>
      <vt:lpstr>_0x2E</vt:lpstr>
      <vt:lpstr>_0x2F</vt:lpstr>
      <vt:lpstr>_0x31</vt:lpstr>
      <vt:lpstr>_0x3D</vt:lpstr>
      <vt:lpstr>Support_Customized_NRC_支持的自定义否定响应码</vt:lpstr>
    </vt:vector>
  </TitlesOfParts>
  <Manager/>
  <Company>FVT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diagnostic questionnaire</dc:title>
  <dc:subject/>
  <dc:creator>sam.tso@foxtronev.com</dc:creator>
  <cp:keywords/>
  <dc:description/>
  <cp:lastModifiedBy>林柏毅(Boki.BY.Lin)</cp:lastModifiedBy>
  <cp:revision/>
  <dcterms:created xsi:type="dcterms:W3CDTF">2015-07-09T17:20:00Z</dcterms:created>
  <dcterms:modified xsi:type="dcterms:W3CDTF">2025-05-26T03:33:18Z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y fmtid="{D5CDD505-2E9C-101B-9397-08002B2CF9AE}" pid="3" name="KSOReadingLayout">
    <vt:bool>true</vt:bool>
  </property>
  <property fmtid="{D5CDD505-2E9C-101B-9397-08002B2CF9AE}" pid="4" name="ICV">
    <vt:lpwstr>A5ECE8F059144EEAB5928E9C9E73252F</vt:lpwstr>
  </property>
  <property fmtid="{D5CDD505-2E9C-101B-9397-08002B2CF9AE}" pid="5" name="Generator">
    <vt:lpwstr>NPOI</vt:lpwstr>
  </property>
  <property fmtid="{D5CDD505-2E9C-101B-9397-08002B2CF9AE}" pid="6" name="Generator Version">
    <vt:lpwstr>2.5.4</vt:lpwstr>
  </property>
</Properties>
</file>