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CDD\fdc-bsp-m7-autosar\app\d31l-fdc\documents\"/>
    </mc:Choice>
  </mc:AlternateContent>
  <xr:revisionPtr revIDLastSave="0" documentId="13_ncr:1_{7780B347-5ED2-4B29-B78A-0D8E143EBEE7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N21" i="1"/>
  <c r="M10" i="1"/>
  <c r="M12" i="1"/>
  <c r="M14" i="1"/>
  <c r="M16" i="1"/>
  <c r="M18" i="1"/>
  <c r="M20" i="1"/>
  <c r="R5" i="1"/>
  <c r="R7" i="1"/>
  <c r="R3" i="1"/>
  <c r="Q5" i="1"/>
  <c r="Q7" i="1"/>
  <c r="Q3" i="1"/>
  <c r="O4" i="1"/>
  <c r="O21" i="1"/>
  <c r="O9" i="1"/>
  <c r="O10" i="1"/>
  <c r="O11" i="1"/>
  <c r="O12" i="1"/>
  <c r="O13" i="1"/>
  <c r="O14" i="1"/>
  <c r="O15" i="1"/>
  <c r="O16" i="1"/>
  <c r="O17" i="1"/>
  <c r="O18" i="1"/>
  <c r="O19" i="1"/>
  <c r="O20" i="1"/>
  <c r="O6" i="1"/>
  <c r="O8" i="1"/>
  <c r="N4" i="1"/>
  <c r="N6" i="1"/>
  <c r="N8" i="1"/>
  <c r="N9" i="1"/>
  <c r="N10" i="1"/>
  <c r="N11" i="1"/>
  <c r="N12" i="1"/>
  <c r="N13" i="1"/>
  <c r="N14" i="1"/>
  <c r="N15" i="1"/>
  <c r="N16" i="1"/>
  <c r="N17" i="1"/>
  <c r="N18" i="1"/>
  <c r="N19" i="1"/>
  <c r="P3" i="1"/>
  <c r="P5" i="1"/>
  <c r="P7" i="1"/>
  <c r="M3" i="1"/>
  <c r="H3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6" i="1"/>
  <c r="L8" i="1"/>
  <c r="L4" i="1"/>
  <c r="M5" i="1"/>
  <c r="M7" i="1"/>
  <c r="H4" i="1"/>
  <c r="I3" i="1"/>
  <c r="J3" i="1"/>
  <c r="K3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" i="1"/>
  <c r="K2" i="1"/>
  <c r="I2" i="1"/>
  <c r="J2" i="1"/>
</calcChain>
</file>

<file path=xl/sharedStrings.xml><?xml version="1.0" encoding="utf-8"?>
<sst xmlns="http://schemas.openxmlformats.org/spreadsheetml/2006/main" count="135" uniqueCount="79">
  <si>
    <t>0x0203</t>
  </si>
  <si>
    <t>Dyno mode switch</t>
  </si>
  <si>
    <t>VCU</t>
    <phoneticPr fontId="1" type="noConversion"/>
  </si>
  <si>
    <t>TPM</t>
    <phoneticPr fontId="1" type="noConversion"/>
  </si>
  <si>
    <t>0x0B01</t>
    <phoneticPr fontId="2" type="noConversion"/>
  </si>
  <si>
    <t>0x0B02</t>
  </si>
  <si>
    <t>readRightForwardSensorID</t>
  </si>
  <si>
    <t>0x0B03</t>
  </si>
  <si>
    <t>readLeftRearSensorID</t>
  </si>
  <si>
    <t>0x0B04</t>
  </si>
  <si>
    <t>readRightRearSensorID</t>
  </si>
  <si>
    <t>0x0B05</t>
  </si>
  <si>
    <t>readWheelPressure</t>
    <phoneticPr fontId="2" type="noConversion"/>
  </si>
  <si>
    <t>0x0B06</t>
  </si>
  <si>
    <t>readWheelTemperature</t>
    <phoneticPr fontId="2" type="noConversion"/>
  </si>
  <si>
    <t>0x0B07</t>
  </si>
  <si>
    <t>readWheelSensorBatteryStatus</t>
    <phoneticPr fontId="2" type="noConversion"/>
  </si>
  <si>
    <t>0x0B08</t>
  </si>
  <si>
    <t>readLeftForwardLowPressureThreshold</t>
  </si>
  <si>
    <t>0x0B09</t>
  </si>
  <si>
    <t>readRightForwardLowPressureThreshold</t>
  </si>
  <si>
    <t>0x0B0A</t>
    <phoneticPr fontId="2" type="noConversion"/>
  </si>
  <si>
    <t>readLeftRearLowPressureThreshold</t>
  </si>
  <si>
    <t>0x0B0B</t>
    <phoneticPr fontId="2" type="noConversion"/>
  </si>
  <si>
    <t>readRightRearLowPressureThreshold</t>
  </si>
  <si>
    <t>0x0B0C</t>
    <phoneticPr fontId="2" type="noConversion"/>
  </si>
  <si>
    <t>readSensorMode</t>
    <phoneticPr fontId="2" type="noConversion"/>
  </si>
  <si>
    <t>0x0B0D</t>
    <phoneticPr fontId="2" type="noConversion"/>
  </si>
  <si>
    <t>DID Num</t>
    <phoneticPr fontId="1" type="noConversion"/>
  </si>
  <si>
    <t>DID Description</t>
    <phoneticPr fontId="1" type="noConversion"/>
  </si>
  <si>
    <t>Module</t>
    <phoneticPr fontId="1" type="noConversion"/>
  </si>
  <si>
    <t>0x0202</t>
  </si>
  <si>
    <t>0x0201</t>
    <phoneticPr fontId="2" type="noConversion"/>
  </si>
  <si>
    <t>XWD switch</t>
    <phoneticPr fontId="2" type="noConversion"/>
  </si>
  <si>
    <t>WriteRandomNumberDKC</t>
    <phoneticPr fontId="2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</si>
  <si>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</si>
  <si>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</si>
  <si>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</si>
  <si>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CDD Function Name</t>
    <phoneticPr fontId="1" type="noConversion"/>
  </si>
  <si>
    <t>Sub Data Name Abbr.</t>
    <phoneticPr fontId="1" type="noConversion"/>
  </si>
  <si>
    <t>DKCKey</t>
    <phoneticPr fontId="1" type="noConversion"/>
  </si>
  <si>
    <t>DynoMode</t>
  </si>
  <si>
    <t>readLeftForwardSensorID</t>
    <phoneticPr fontId="1" type="noConversion"/>
  </si>
  <si>
    <t>LFSensorID</t>
    <phoneticPr fontId="1" type="noConversion"/>
  </si>
  <si>
    <t>RFSensorID</t>
    <phoneticPr fontId="1" type="noConversion"/>
  </si>
  <si>
    <t>LRSensorID</t>
    <phoneticPr fontId="1" type="noConversion"/>
  </si>
  <si>
    <t>RRSensorID</t>
    <phoneticPr fontId="1" type="noConversion"/>
  </si>
  <si>
    <t>WhlPres</t>
    <phoneticPr fontId="1" type="noConversion"/>
  </si>
  <si>
    <t>WhlTmp</t>
    <phoneticPr fontId="1" type="noConversion"/>
  </si>
  <si>
    <t>WhlSensorBattSta</t>
    <phoneticPr fontId="1" type="noConversion"/>
  </si>
  <si>
    <t>LFLowPresThre</t>
    <phoneticPr fontId="1" type="noConversion"/>
  </si>
  <si>
    <t>RFLowPresThre</t>
    <phoneticPr fontId="1" type="noConversion"/>
  </si>
  <si>
    <t>LRLowPresThre</t>
    <phoneticPr fontId="1" type="noConversion"/>
  </si>
  <si>
    <t>RRLowPresThre</t>
    <phoneticPr fontId="1" type="noConversion"/>
  </si>
  <si>
    <t>readTPMSLearnStatus</t>
    <phoneticPr fontId="1" type="noConversion"/>
  </si>
  <si>
    <t>TPMSLearnSta</t>
    <phoneticPr fontId="1" type="noConversion"/>
  </si>
  <si>
    <t>XWDMode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</si>
  <si>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</si>
  <si>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</si>
  <si>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</si>
  <si>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</si>
  <si>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</si>
  <si>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</si>
  <si>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</si>
  <si>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</si>
  <si>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</si>
  <si>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</si>
  <si>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SensorMode</t>
    <phoneticPr fontId="1" type="noConversion"/>
  </si>
  <si>
    <t>HALOUT Variable Name</t>
    <phoneticPr fontId="1" type="noConversion"/>
  </si>
  <si>
    <t>HALIN Variable Name</t>
    <phoneticPr fontId="1" type="noConversion"/>
  </si>
  <si>
    <t>DynoMode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</si>
  <si>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</si>
  <si>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</si>
  <si>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</si>
  <si>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</si>
  <si>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uint8</t>
    <phoneticPr fontId="1" type="noConversion"/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</si>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</sst>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3" fillId="0" borderId="0">
      <alignment vertical="center"/>
    </xf>
  </cellStyleXfs>
  <cellXfs count="3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1" xfId="1" applyNumberFormat="1" applyFont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2">
    <cellStyle name="一般" xfId="0" builtinId="0"/>
    <cellStyle name="一般 10" xfId="1" xr:uid="{2686D65A-1568-4131-B532-D70941E252E9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21"/>
  <sheetViews>
    <sheetView tabSelected="1" topLeftCell="Q1" workbookViewId="0">
      <selection activeCell="W4" sqref="W4"/>
    </sheetView>
  </sheetViews>
  <sheetFormatPr defaultRowHeight="15.75"/>
  <cols>
    <col min="1" max="1" width="12.125" style="4" bestFit="1" customWidth="1"/>
    <col min="2" max="2" width="44.75" style="6" bestFit="1" customWidth="1"/>
    <col min="3" max="3" width="10.375" style="4" bestFit="1" customWidth="1"/>
    <col min="4" max="4" width="12.75" style="4" customWidth="1"/>
    <col min="5" max="5" width="8.875" style="4" bestFit="1" customWidth="1"/>
    <col min="6" max="6" width="17.375" style="4" customWidth="1"/>
    <col min="7" max="7" width="25.75" style="6" bestFit="1" customWidth="1"/>
    <col min="8" max="8" width="37.875" style="33" customWidth="1"/>
    <col min="9" max="9" width="36.375" style="6" customWidth="1"/>
    <col min="10" max="10" width="37.875" style="6" customWidth="1"/>
    <col min="11" max="11" width="40.75" style="6" customWidth="1"/>
    <col min="12" max="12" width="26.25" style="6" customWidth="1"/>
    <col min="13" max="13" width="28.625" style="34" bestFit="1" customWidth="1"/>
    <col min="14" max="15" width="44.625" style="6" customWidth="1"/>
    <col min="16" max="16" width="46.625" style="4" customWidth="1"/>
    <col min="17" max="17" width="46" style="4" customWidth="1"/>
    <col min="18" max="18" width="46.625" style="4" customWidth="1"/>
    <col min="19" max="19" width="23" style="4" customWidth="1"/>
    <col min="20" max="16384" width="9" style="4"/>
  </cols>
  <sheetData>
    <row r="1" spans="1:37" s="3" customFormat="1" ht="37.5">
      <c r="A1" s="1" t="s">
        <v>28</v>
      </c>
      <c r="B1" s="2" t="s">
        <v>29</v>
      </c>
      <c r="C1" s="1" t="s">
        <v>30</v>
      </c>
      <c r="D1" s="13" t="s">
        <v>73</v>
      </c>
      <c r="E1" s="13" t="s">
        <v>35</v>
      </c>
      <c r="F1" s="1" t="s">
        <v>36</v>
      </c>
      <c r="G1" s="19" t="s">
        <v>39</v>
      </c>
      <c r="H1" s="25" t="s">
        <v>38</v>
      </c>
      <c r="I1" s="26" t="s">
        <v>57</v>
      </c>
      <c r="J1" s="26" t="s">
        <v>58</v>
      </c>
      <c r="K1" s="26" t="s">
        <v>61</v>
      </c>
      <c r="L1" s="27" t="s">
        <v>62</v>
      </c>
      <c r="M1" s="28" t="s">
        <v>63</v>
      </c>
      <c r="N1" s="22" t="s">
        <v>68</v>
      </c>
      <c r="O1" s="26" t="s">
        <v>76</v>
      </c>
      <c r="P1" s="2" t="s">
        <v>69</v>
      </c>
      <c r="Q1" s="26" t="s">
        <v>76</v>
      </c>
      <c r="R1" s="2" t="s">
        <v>69</v>
      </c>
      <c r="S1" s="2"/>
    </row>
    <row r="2" spans="1:37" s="18" customFormat="1" ht="39">
      <c r="A2" s="15"/>
      <c r="B2" s="16"/>
      <c r="C2" s="15"/>
      <c r="D2" s="15"/>
      <c r="E2" s="17"/>
      <c r="F2" s="17" t="s">
        <v>66</v>
      </c>
      <c r="G2" s="20" t="s">
        <v>59</v>
      </c>
      <c r="H2" s="29" t="str">
        <f>IF(F2="W", "CSOP_DIDGet_" &amp; G2, "CSOP_DIDSet_" &amp; G2)</f>
        <v>CSOP_DIDSet_XXX</v>
      </c>
      <c r="I2" s="16" t="str">
        <f xml:space="preserve"> "u16_DIDLen_" &amp; G2</f>
        <v>u16_DIDLen_XXX</v>
      </c>
      <c r="J2" s="16" t="str">
        <f xml:space="preserve"> "u16_DIDNum_" &amp; G2</f>
        <v>u16_DIDNum_XXX</v>
      </c>
      <c r="K2" s="16" t="str">
        <f xml:space="preserve"> "u8_DIDSta_" &amp; G2</f>
        <v>u8_DIDSta_XXX</v>
      </c>
      <c r="L2" s="20" t="s">
        <v>64</v>
      </c>
      <c r="M2" s="30" t="s">
        <v>65</v>
      </c>
      <c r="N2" s="23" t="s">
        <v>71</v>
      </c>
      <c r="O2" s="23" t="s">
        <v>77</v>
      </c>
      <c r="P2" s="16" t="s">
        <v>72</v>
      </c>
      <c r="Q2" s="23" t="s">
        <v>77</v>
      </c>
      <c r="R2" s="16" t="s">
        <v>78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</row>
    <row r="3" spans="1:37" ht="18.75">
      <c r="A3" s="7" t="s">
        <v>32</v>
      </c>
      <c r="B3" s="8" t="s">
        <v>33</v>
      </c>
      <c r="C3" s="9" t="s">
        <v>2</v>
      </c>
      <c r="D3" s="9" t="s">
        <v>75</v>
      </c>
      <c r="E3" s="9">
        <v>1</v>
      </c>
      <c r="F3" s="9" t="s">
        <v>60</v>
      </c>
      <c r="G3" s="21" t="s">
        <v>56</v>
      </c>
      <c r="H3" s="31" t="str">
        <f>IF(F3="W", "CSOP_DIDGet_" &amp; G3, "CSOP_DIDSet_" &amp; G3)</f>
        <v>CSOP_DIDGet_XWDMode</v>
      </c>
      <c r="I3" s="14" t="str">
        <f t="shared" ref="I3:I21" si="0" xml:space="preserve"> "u16_DIDLen_" &amp; G3</f>
        <v>u16_DIDLen_XWDMode</v>
      </c>
      <c r="J3" s="14" t="str">
        <f t="shared" ref="J3:J21" si="1" xml:space="preserve"> "u16_DIDNum_" &amp; G3</f>
        <v>u16_DIDNum_XWDMode</v>
      </c>
      <c r="K3" s="14" t="str">
        <f t="shared" ref="K3:K21" si="2" xml:space="preserve"> "u8_DIDSta_" &amp; G3</f>
        <v>u8_DIDSta_XWDMode</v>
      </c>
      <c r="M3" s="32" t="str">
        <f>IF((MID(D3, 5,LEN(D3)-4)/8 &lt; E3), ("u" &amp; MID(D3, 5,LEN(D3)-4) &amp; "Array" &amp; E3*8/MID(D3, 5,LEN(D3)-4) &amp; "_" &amp; G3),  ("u" &amp; MID(D3, 5,LEN(D3)-4) &amp; "_" &amp; G3))</f>
        <v>u8_XWDMode</v>
      </c>
      <c r="O3" s="5"/>
      <c r="P3" s="14" t="str">
        <f>"VHAL_DIDGet" &amp; G3 &amp; "_raw" &amp; MID(D3, 5,LEN(D3)-4)</f>
        <v>VHAL_DIDGetXWDMode_raw8</v>
      </c>
      <c r="Q3" s="24" t="str">
        <f>"VHAL_DIDSta" &amp; G3 &amp; "_flg"</f>
        <v>VHAL_DIDStaXWDMode_flg</v>
      </c>
      <c r="R3" s="14" t="str">
        <f>"VHAL_DIDFlash" &amp; G3 &amp; "_raw" &amp; MID(D3, 5,LEN(D3)-4)</f>
        <v>VHAL_DIDFlashXWDMode_raw8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ht="18.75">
      <c r="A4" s="7"/>
      <c r="B4" s="8"/>
      <c r="C4" s="9" t="s">
        <v>2</v>
      </c>
      <c r="D4" s="9" t="s">
        <v>75</v>
      </c>
      <c r="E4" s="9">
        <v>1</v>
      </c>
      <c r="F4" s="9" t="s">
        <v>37</v>
      </c>
      <c r="G4" s="21" t="s">
        <v>56</v>
      </c>
      <c r="H4" s="31" t="str">
        <f>IF(F4="W", "CSOP_DIDGet_" &amp; G4, "CSOP_DIDSet_" &amp; G4)</f>
        <v>CSOP_DIDSet_XWDMode</v>
      </c>
      <c r="I4" s="14" t="str">
        <f t="shared" si="0"/>
        <v>u16_DIDLen_XWDMode</v>
      </c>
      <c r="J4" s="14" t="str">
        <f t="shared" si="1"/>
        <v>u16_DIDNum_XWDMode</v>
      </c>
      <c r="K4" s="14" t="str">
        <f t="shared" si="2"/>
        <v>u8_DIDSta_XWDMode</v>
      </c>
      <c r="L4" s="21" t="str">
        <f>IF((MID(D3, 5,LEN(D3)-4)/8 &lt; E3), ("u" &amp; MID(D3, 5,LEN(D3)-4) &amp; "Array" &amp; E3*8/MID(D3, 5,LEN(D3)-4) &amp; "_" &amp; G3),  ("u" &amp; MID(D3, 5,LEN(D3)-4) &amp; "_" &amp; G3))</f>
        <v>u8_XWDMode</v>
      </c>
      <c r="M4" s="32"/>
      <c r="N4" s="24" t="str">
        <f>"VHAL_DIDSet" &amp; G3 &amp; "_raw" &amp; MID(D3, 5,LEN(D3)-4)</f>
        <v>VHAL_DIDSetXWDMode_raw8</v>
      </c>
      <c r="O4" s="24" t="str">
        <f>"VHAL_DIDSta" &amp; G3 &amp; "_flg"</f>
        <v>VHAL_DIDStaXWDMode_flg</v>
      </c>
      <c r="P4" s="14"/>
      <c r="Q4" s="24"/>
      <c r="R4" s="1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</row>
    <row r="5" spans="1:37" ht="18.75">
      <c r="A5" s="7" t="s">
        <v>31</v>
      </c>
      <c r="B5" s="8" t="s">
        <v>34</v>
      </c>
      <c r="C5" s="9" t="s">
        <v>2</v>
      </c>
      <c r="D5" s="9" t="s">
        <v>75</v>
      </c>
      <c r="E5" s="9">
        <v>8</v>
      </c>
      <c r="F5" s="9" t="s">
        <v>60</v>
      </c>
      <c r="G5" s="21" t="s">
        <v>40</v>
      </c>
      <c r="H5" s="31" t="str">
        <f t="shared" ref="H5:H21" si="3">IF(F5="W", "CSOP_DIDGet_" &amp; G5, "CSOP_DIDSet_" &amp; G5)</f>
        <v>CSOP_DIDGet_DKCKey</v>
      </c>
      <c r="I5" s="14" t="str">
        <f t="shared" si="0"/>
        <v>u16_DIDLen_DKCKey</v>
      </c>
      <c r="J5" s="14" t="str">
        <f t="shared" si="1"/>
        <v>u16_DIDNum_DKCKey</v>
      </c>
      <c r="K5" s="14" t="str">
        <f t="shared" si="2"/>
        <v>u8_DIDSta_DKCKey</v>
      </c>
      <c r="L5" s="21"/>
      <c r="M5" s="32" t="str">
        <f t="shared" ref="M5:M20" si="4">IF((MID(D5, 5,LEN(D5)-4)/8 &lt; E5), ("u" &amp; MID(D5, 5,LEN(D5)-4) &amp; "Array" &amp; E5*8/MID(D5, 5,LEN(D5)-4) &amp; "_" &amp; G5),  ("u" &amp; MID(D5, 5,LEN(D5)-4) &amp; "_" &amp; G5))</f>
        <v>u8Array8_DKCKey</v>
      </c>
      <c r="N5" s="24"/>
      <c r="O5" s="24"/>
      <c r="P5" s="14" t="str">
        <f t="shared" ref="P5:P7" si="5">"VHAL_DIDGet" &amp; G5 &amp; "_raw" &amp; MID(D5, 5,LEN(D5)-4)</f>
        <v>VHAL_DIDGetDKCKey_raw8</v>
      </c>
      <c r="Q5" s="24" t="str">
        <f>"VHAL_DIDSta" &amp; G5 &amp; "_flg"</f>
        <v>VHAL_DIDStaDKCKey_flg</v>
      </c>
      <c r="R5" s="14" t="str">
        <f t="shared" ref="R5:R7" si="6">"VHAL_DIDFlash" &amp; G5 &amp; "_raw" &amp; MID(D5, 5,LEN(D5)-4)</f>
        <v>VHAL_DIDFlashDKCKey_raw8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</row>
    <row r="6" spans="1:37" ht="18.75">
      <c r="A6" s="7"/>
      <c r="B6" s="8"/>
      <c r="C6" s="9" t="s">
        <v>2</v>
      </c>
      <c r="D6" s="9" t="s">
        <v>75</v>
      </c>
      <c r="E6" s="9">
        <v>8</v>
      </c>
      <c r="F6" s="9" t="s">
        <v>37</v>
      </c>
      <c r="G6" s="21" t="s">
        <v>40</v>
      </c>
      <c r="H6" s="31" t="str">
        <f t="shared" si="3"/>
        <v>CSOP_DIDSet_DKCKey</v>
      </c>
      <c r="I6" s="14" t="str">
        <f t="shared" si="0"/>
        <v>u16_DIDLen_DKCKey</v>
      </c>
      <c r="J6" s="14" t="str">
        <f t="shared" si="1"/>
        <v>u16_DIDNum_DKCKey</v>
      </c>
      <c r="K6" s="14" t="str">
        <f t="shared" si="2"/>
        <v>u8_DIDSta_DKCKey</v>
      </c>
      <c r="L6" s="21" t="str">
        <f>IF((MID(D5, 5,LEN(D5)-4)/8 &lt; E5), ("u" &amp; MID(D5, 5,LEN(D5)-4) &amp; "Array" &amp; E5*8/MID(D5, 5,LEN(D5)-4) &amp; "_" &amp; G5),  ("u" &amp; MID(D5, 5,LEN(D5)-4) &amp; "_" &amp; G5))</f>
        <v>u8Array8_DKCKey</v>
      </c>
      <c r="M6" s="32"/>
      <c r="N6" s="24" t="str">
        <f>"VHAL_DIDSet" &amp; G5 &amp; "_raw" &amp; MID(D5, 5,LEN(D5)-4)</f>
        <v>VHAL_DIDSetDKCKey_raw8</v>
      </c>
      <c r="O6" s="24" t="str">
        <f t="shared" ref="O6:O8" si="7">"VHAL_DIDSta" &amp; G5 &amp; "_flg"</f>
        <v>VHAL_DIDStaDKCKey_flg</v>
      </c>
      <c r="P6" s="14"/>
      <c r="Q6" s="24"/>
      <c r="R6" s="1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1:37" ht="18.75">
      <c r="A7" s="7" t="s">
        <v>0</v>
      </c>
      <c r="B7" s="8" t="s">
        <v>1</v>
      </c>
      <c r="C7" s="9" t="s">
        <v>2</v>
      </c>
      <c r="D7" s="9" t="s">
        <v>75</v>
      </c>
      <c r="E7" s="9">
        <v>1</v>
      </c>
      <c r="F7" s="9" t="s">
        <v>60</v>
      </c>
      <c r="G7" s="21" t="s">
        <v>70</v>
      </c>
      <c r="H7" s="31" t="str">
        <f t="shared" si="3"/>
        <v>CSOP_DIDGet_DynoMode</v>
      </c>
      <c r="I7" s="14" t="str">
        <f t="shared" si="0"/>
        <v>u16_DIDLen_DynoMode</v>
      </c>
      <c r="J7" s="14" t="str">
        <f t="shared" si="1"/>
        <v>u16_DIDNum_DynoMode</v>
      </c>
      <c r="K7" s="14" t="str">
        <f t="shared" si="2"/>
        <v>u8_DIDSta_DynoMode</v>
      </c>
      <c r="L7" s="21"/>
      <c r="M7" s="32" t="str">
        <f t="shared" si="4"/>
        <v>u8_DynoMode</v>
      </c>
      <c r="N7" s="24"/>
      <c r="O7" s="24"/>
      <c r="P7" s="14" t="str">
        <f t="shared" si="5"/>
        <v>VHAL_DIDGetDynoMode_raw8</v>
      </c>
      <c r="Q7" s="24" t="str">
        <f t="shared" ref="Q7" si="8">"VHAL_DIDSta" &amp; G7 &amp; "_flg"</f>
        <v>VHAL_DIDStaDynoMode_flg</v>
      </c>
      <c r="R7" s="14" t="str">
        <f t="shared" si="6"/>
        <v>VHAL_DIDFlashDynoMode_raw8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1:37" ht="18.75">
      <c r="A8" s="7"/>
      <c r="B8" s="8"/>
      <c r="C8" s="9" t="s">
        <v>2</v>
      </c>
      <c r="D8" s="9" t="s">
        <v>75</v>
      </c>
      <c r="E8" s="9">
        <v>1</v>
      </c>
      <c r="F8" s="9" t="s">
        <v>37</v>
      </c>
      <c r="G8" s="21" t="s">
        <v>41</v>
      </c>
      <c r="H8" s="31" t="str">
        <f t="shared" si="3"/>
        <v>CSOP_DIDSet_DynoMode</v>
      </c>
      <c r="I8" s="14" t="str">
        <f t="shared" si="0"/>
        <v>u16_DIDLen_DynoMode</v>
      </c>
      <c r="J8" s="14" t="str">
        <f t="shared" si="1"/>
        <v>u16_DIDNum_DynoMode</v>
      </c>
      <c r="K8" s="14" t="str">
        <f t="shared" si="2"/>
        <v>u8_DIDSta_DynoMode</v>
      </c>
      <c r="L8" s="21" t="str">
        <f>IF((MID(D7, 5,LEN(D7)-4)/8 &lt; E7), ("u" &amp; MID(D7, 5,LEN(D7)-4) &amp; "Array" &amp; E7*8/MID(D7, 5,LEN(D7)-4) &amp; "_" &amp; G7),  ("u" &amp; MID(D7, 5,LEN(D7)-4) &amp; "_" &amp; G7))</f>
        <v>u8_DynoMode</v>
      </c>
      <c r="M8" s="32"/>
      <c r="N8" s="24" t="str">
        <f>"VHAL_DIDSet" &amp; G7 &amp; "_raw" &amp; MID(D7, 5,LEN(D7)-4)</f>
        <v>VHAL_DIDSetDynoMode_raw8</v>
      </c>
      <c r="O8" s="24" t="str">
        <f t="shared" si="7"/>
        <v>VHAL_DIDStaDynoMode_flg</v>
      </c>
      <c r="P8" s="14"/>
      <c r="Q8" s="24"/>
      <c r="R8" s="1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1:37" ht="18.75">
      <c r="A9" s="10" t="s">
        <v>4</v>
      </c>
      <c r="B9" s="12" t="s">
        <v>42</v>
      </c>
      <c r="C9" s="9" t="s">
        <v>3</v>
      </c>
      <c r="D9" s="9" t="s">
        <v>75</v>
      </c>
      <c r="E9" s="9">
        <v>4</v>
      </c>
      <c r="F9" s="9" t="s">
        <v>37</v>
      </c>
      <c r="G9" s="21" t="s">
        <v>43</v>
      </c>
      <c r="H9" s="31" t="str">
        <f t="shared" si="3"/>
        <v>CSOP_DIDSet_LFSensorID</v>
      </c>
      <c r="I9" s="14" t="str">
        <f t="shared" si="0"/>
        <v>u16_DIDLen_LFSensorID</v>
      </c>
      <c r="J9" s="14" t="str">
        <f t="shared" si="1"/>
        <v>u16_DIDNum_LFSensorID</v>
      </c>
      <c r="K9" s="14" t="str">
        <f t="shared" si="2"/>
        <v>u8_DIDSta_LFSensorID</v>
      </c>
      <c r="L9" s="21" t="str">
        <f>IF((MID(D9, 5,LEN(D9)-4)/8 &lt; E9), ("u" &amp; MID(D9, 5,LEN(D9)-4) &amp; "Array" &amp; E9*8/MID(D9, 5,LEN(D9)-4) &amp; "_" &amp; G9),  ("u" &amp; MID(D9, 5,LEN(D9)-4) &amp; "_" &amp; G9))</f>
        <v>u8Array4_LFSensorID</v>
      </c>
      <c r="M9" s="32"/>
      <c r="N9" s="24" t="str">
        <f t="shared" ref="N9:N21" si="9">"VHAL_DIDSet" &amp; G9 &amp; "_raw" &amp; MID(D9, 5,LEN(D9)-4)</f>
        <v>VHAL_DIDSetLFSensorID_raw8</v>
      </c>
      <c r="O9" s="24" t="str">
        <f t="shared" ref="O9:O21" si="10">"VHAL_DIDSta" &amp; G9 &amp; "_flg"</f>
        <v>VHAL_DIDStaLFSensorID_flg</v>
      </c>
      <c r="P9" s="14"/>
      <c r="Q9" s="24"/>
      <c r="R9" s="1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1:37" ht="18.75">
      <c r="A10" s="10" t="s">
        <v>5</v>
      </c>
      <c r="B10" s="12" t="s">
        <v>6</v>
      </c>
      <c r="C10" s="9" t="s">
        <v>3</v>
      </c>
      <c r="D10" s="9" t="s">
        <v>75</v>
      </c>
      <c r="E10" s="9">
        <v>4</v>
      </c>
      <c r="F10" s="9" t="s">
        <v>37</v>
      </c>
      <c r="G10" s="21" t="s">
        <v>44</v>
      </c>
      <c r="H10" s="31" t="str">
        <f t="shared" si="3"/>
        <v>CSOP_DIDSet_RFSensorID</v>
      </c>
      <c r="I10" s="14" t="str">
        <f t="shared" si="0"/>
        <v>u16_DIDLen_RFSensorID</v>
      </c>
      <c r="J10" s="14" t="str">
        <f t="shared" si="1"/>
        <v>u16_DIDNum_RFSensorID</v>
      </c>
      <c r="K10" s="14" t="str">
        <f t="shared" si="2"/>
        <v>u8_DIDSta_RFSensorID</v>
      </c>
      <c r="L10" s="21" t="str">
        <f t="shared" ref="L10:L21" si="11">IF((MID(D10, 5,LEN(D10)-4)/8 &lt; E10), ("u" &amp; MID(D10, 5,LEN(D10)-4) &amp; "Array" &amp; E10*8/MID(D10, 5,LEN(D10)-4) &amp; "_" &amp; G10),  ("u" &amp; MID(D10, 5,LEN(D10)-4) &amp; "_" &amp; G10))</f>
        <v>u8Array4_RFSensorID</v>
      </c>
      <c r="M10" s="32" t="str">
        <f t="shared" si="4"/>
        <v>u8Array4_RFSensorID</v>
      </c>
      <c r="N10" s="24" t="str">
        <f t="shared" si="9"/>
        <v>VHAL_DIDSetRFSensorID_raw8</v>
      </c>
      <c r="O10" s="24" t="str">
        <f t="shared" si="10"/>
        <v>VHAL_DIDStaRFSensorID_flg</v>
      </c>
      <c r="P10" s="14"/>
      <c r="Q10" s="24"/>
      <c r="R10" s="1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1:37" ht="18.75">
      <c r="A11" s="10" t="s">
        <v>7</v>
      </c>
      <c r="B11" s="12" t="s">
        <v>8</v>
      </c>
      <c r="C11" s="9" t="s">
        <v>3</v>
      </c>
      <c r="D11" s="9" t="s">
        <v>75</v>
      </c>
      <c r="E11" s="9">
        <v>4</v>
      </c>
      <c r="F11" s="9" t="s">
        <v>37</v>
      </c>
      <c r="G11" s="21" t="s">
        <v>45</v>
      </c>
      <c r="H11" s="31" t="str">
        <f t="shared" si="3"/>
        <v>CSOP_DIDSet_LRSensorID</v>
      </c>
      <c r="I11" s="14" t="str">
        <f t="shared" si="0"/>
        <v>u16_DIDLen_LRSensorID</v>
      </c>
      <c r="J11" s="14" t="str">
        <f t="shared" si="1"/>
        <v>u16_DIDNum_LRSensorID</v>
      </c>
      <c r="K11" s="14" t="str">
        <f t="shared" si="2"/>
        <v>u8_DIDSta_LRSensorID</v>
      </c>
      <c r="L11" s="21" t="str">
        <f t="shared" si="11"/>
        <v>u8Array4_LRSensorID</v>
      </c>
      <c r="M11" s="32"/>
      <c r="N11" s="24" t="str">
        <f t="shared" si="9"/>
        <v>VHAL_DIDSetLRSensorID_raw8</v>
      </c>
      <c r="O11" s="24" t="str">
        <f t="shared" si="10"/>
        <v>VHAL_DIDStaLRSensorID_flg</v>
      </c>
      <c r="P11" s="14"/>
      <c r="Q11" s="24"/>
      <c r="R11" s="1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</row>
    <row r="12" spans="1:37" ht="18.75">
      <c r="A12" s="10" t="s">
        <v>9</v>
      </c>
      <c r="B12" s="12" t="s">
        <v>10</v>
      </c>
      <c r="C12" s="9" t="s">
        <v>3</v>
      </c>
      <c r="D12" s="9" t="s">
        <v>75</v>
      </c>
      <c r="E12" s="9">
        <v>4</v>
      </c>
      <c r="F12" s="9" t="s">
        <v>37</v>
      </c>
      <c r="G12" s="21" t="s">
        <v>46</v>
      </c>
      <c r="H12" s="31" t="str">
        <f t="shared" si="3"/>
        <v>CSOP_DIDSet_RRSensorID</v>
      </c>
      <c r="I12" s="14" t="str">
        <f t="shared" si="0"/>
        <v>u16_DIDLen_RRSensorID</v>
      </c>
      <c r="J12" s="14" t="str">
        <f t="shared" si="1"/>
        <v>u16_DIDNum_RRSensorID</v>
      </c>
      <c r="K12" s="14" t="str">
        <f t="shared" si="2"/>
        <v>u8_DIDSta_RRSensorID</v>
      </c>
      <c r="L12" s="21" t="str">
        <f t="shared" si="11"/>
        <v>u8Array4_RRSensorID</v>
      </c>
      <c r="M12" s="32" t="str">
        <f t="shared" si="4"/>
        <v>u8Array4_RRSensorID</v>
      </c>
      <c r="N12" s="24" t="str">
        <f t="shared" si="9"/>
        <v>VHAL_DIDSetRRSensorID_raw8</v>
      </c>
      <c r="O12" s="24" t="str">
        <f t="shared" si="10"/>
        <v>VHAL_DIDStaRRSensorID_flg</v>
      </c>
      <c r="P12" s="14"/>
      <c r="Q12" s="24"/>
      <c r="R12" s="1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</row>
    <row r="13" spans="1:37" ht="18.75">
      <c r="A13" s="10" t="s">
        <v>11</v>
      </c>
      <c r="B13" s="11" t="s">
        <v>12</v>
      </c>
      <c r="C13" s="9" t="s">
        <v>3</v>
      </c>
      <c r="D13" s="9" t="s">
        <v>75</v>
      </c>
      <c r="E13" s="9">
        <v>4</v>
      </c>
      <c r="F13" s="9" t="s">
        <v>37</v>
      </c>
      <c r="G13" s="21" t="s">
        <v>47</v>
      </c>
      <c r="H13" s="31" t="str">
        <f t="shared" si="3"/>
        <v>CSOP_DIDSet_WhlPres</v>
      </c>
      <c r="I13" s="14" t="str">
        <f t="shared" si="0"/>
        <v>u16_DIDLen_WhlPres</v>
      </c>
      <c r="J13" s="14" t="str">
        <f t="shared" si="1"/>
        <v>u16_DIDNum_WhlPres</v>
      </c>
      <c r="K13" s="14" t="str">
        <f t="shared" si="2"/>
        <v>u8_DIDSta_WhlPres</v>
      </c>
      <c r="L13" s="21" t="str">
        <f t="shared" si="11"/>
        <v>u8Array4_WhlPres</v>
      </c>
      <c r="M13" s="32"/>
      <c r="N13" s="24" t="str">
        <f t="shared" si="9"/>
        <v>VHAL_DIDSetWhlPres_raw8</v>
      </c>
      <c r="O13" s="24" t="str">
        <f t="shared" si="10"/>
        <v>VHAL_DIDStaWhlPres_flg</v>
      </c>
      <c r="P13" s="14"/>
      <c r="Q13" s="24"/>
      <c r="R13" s="1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</row>
    <row r="14" spans="1:37" ht="18.75">
      <c r="A14" s="10" t="s">
        <v>13</v>
      </c>
      <c r="B14" s="11" t="s">
        <v>14</v>
      </c>
      <c r="C14" s="9" t="s">
        <v>3</v>
      </c>
      <c r="D14" s="9" t="s">
        <v>75</v>
      </c>
      <c r="E14" s="9">
        <v>4</v>
      </c>
      <c r="F14" s="9" t="s">
        <v>37</v>
      </c>
      <c r="G14" s="21" t="s">
        <v>48</v>
      </c>
      <c r="H14" s="31" t="str">
        <f t="shared" si="3"/>
        <v>CSOP_DIDSet_WhlTmp</v>
      </c>
      <c r="I14" s="14" t="str">
        <f t="shared" si="0"/>
        <v>u16_DIDLen_WhlTmp</v>
      </c>
      <c r="J14" s="14" t="str">
        <f t="shared" si="1"/>
        <v>u16_DIDNum_WhlTmp</v>
      </c>
      <c r="K14" s="14" t="str">
        <f t="shared" si="2"/>
        <v>u8_DIDSta_WhlTmp</v>
      </c>
      <c r="L14" s="21" t="str">
        <f t="shared" si="11"/>
        <v>u8Array4_WhlTmp</v>
      </c>
      <c r="M14" s="32" t="str">
        <f t="shared" si="4"/>
        <v>u8Array4_WhlTmp</v>
      </c>
      <c r="N14" s="24" t="str">
        <f t="shared" si="9"/>
        <v>VHAL_DIDSetWhlTmp_raw8</v>
      </c>
      <c r="O14" s="24" t="str">
        <f t="shared" si="10"/>
        <v>VHAL_DIDStaWhlTmp_flg</v>
      </c>
      <c r="P14" s="14"/>
      <c r="Q14" s="24"/>
      <c r="R14" s="1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</row>
    <row r="15" spans="1:37" ht="18.75">
      <c r="A15" s="10" t="s">
        <v>15</v>
      </c>
      <c r="B15" s="11" t="s">
        <v>16</v>
      </c>
      <c r="C15" s="9" t="s">
        <v>3</v>
      </c>
      <c r="D15" s="9" t="s">
        <v>74</v>
      </c>
      <c r="E15" s="9">
        <v>1</v>
      </c>
      <c r="F15" s="9" t="s">
        <v>37</v>
      </c>
      <c r="G15" s="21" t="s">
        <v>49</v>
      </c>
      <c r="H15" s="31" t="str">
        <f t="shared" si="3"/>
        <v>CSOP_DIDSet_WhlSensorBattSta</v>
      </c>
      <c r="I15" s="14" t="str">
        <f t="shared" si="0"/>
        <v>u16_DIDLen_WhlSensorBattSta</v>
      </c>
      <c r="J15" s="14" t="str">
        <f t="shared" si="1"/>
        <v>u16_DIDNum_WhlSensorBattSta</v>
      </c>
      <c r="K15" s="14" t="str">
        <f t="shared" si="2"/>
        <v>u8_DIDSta_WhlSensorBattSta</v>
      </c>
      <c r="L15" s="21" t="str">
        <f t="shared" si="11"/>
        <v>u8_WhlSensorBattSta</v>
      </c>
      <c r="M15" s="32"/>
      <c r="N15" s="24" t="str">
        <f t="shared" si="9"/>
        <v>VHAL_DIDSetWhlSensorBattSta_raw8</v>
      </c>
      <c r="O15" s="24" t="str">
        <f t="shared" si="10"/>
        <v>VHAL_DIDStaWhlSensorBattSta_flg</v>
      </c>
      <c r="P15" s="14"/>
      <c r="Q15" s="24"/>
      <c r="R15" s="1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</row>
    <row r="16" spans="1:37" ht="18.75">
      <c r="A16" s="10" t="s">
        <v>17</v>
      </c>
      <c r="B16" s="12" t="s">
        <v>18</v>
      </c>
      <c r="C16" s="9" t="s">
        <v>3</v>
      </c>
      <c r="D16" s="9" t="s">
        <v>74</v>
      </c>
      <c r="E16" s="9">
        <v>1</v>
      </c>
      <c r="F16" s="9" t="s">
        <v>37</v>
      </c>
      <c r="G16" s="21" t="s">
        <v>50</v>
      </c>
      <c r="H16" s="31" t="str">
        <f t="shared" si="3"/>
        <v>CSOP_DIDSet_LFLowPresThre</v>
      </c>
      <c r="I16" s="14" t="str">
        <f t="shared" si="0"/>
        <v>u16_DIDLen_LFLowPresThre</v>
      </c>
      <c r="J16" s="14" t="str">
        <f t="shared" si="1"/>
        <v>u16_DIDNum_LFLowPresThre</v>
      </c>
      <c r="K16" s="14" t="str">
        <f t="shared" si="2"/>
        <v>u8_DIDSta_LFLowPresThre</v>
      </c>
      <c r="L16" s="21" t="str">
        <f t="shared" si="11"/>
        <v>u8_LFLowPresThre</v>
      </c>
      <c r="M16" s="32" t="str">
        <f t="shared" si="4"/>
        <v>u8_LFLowPresThre</v>
      </c>
      <c r="N16" s="24" t="str">
        <f t="shared" si="9"/>
        <v>VHAL_DIDSetLFLowPresThre_raw8</v>
      </c>
      <c r="O16" s="24" t="str">
        <f t="shared" si="10"/>
        <v>VHAL_DIDStaLFLowPresThre_flg</v>
      </c>
      <c r="P16" s="14"/>
      <c r="Q16" s="24"/>
      <c r="R16" s="1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</row>
    <row r="17" spans="1:37" ht="18.75">
      <c r="A17" s="10" t="s">
        <v>19</v>
      </c>
      <c r="B17" s="12" t="s">
        <v>20</v>
      </c>
      <c r="C17" s="9" t="s">
        <v>3</v>
      </c>
      <c r="D17" s="9" t="s">
        <v>74</v>
      </c>
      <c r="E17" s="9">
        <v>1</v>
      </c>
      <c r="F17" s="9" t="s">
        <v>37</v>
      </c>
      <c r="G17" s="21" t="s">
        <v>51</v>
      </c>
      <c r="H17" s="31" t="str">
        <f t="shared" si="3"/>
        <v>CSOP_DIDSet_RFLowPresThre</v>
      </c>
      <c r="I17" s="14" t="str">
        <f t="shared" si="0"/>
        <v>u16_DIDLen_RFLowPresThre</v>
      </c>
      <c r="J17" s="14" t="str">
        <f t="shared" si="1"/>
        <v>u16_DIDNum_RFLowPresThre</v>
      </c>
      <c r="K17" s="14" t="str">
        <f t="shared" si="2"/>
        <v>u8_DIDSta_RFLowPresThre</v>
      </c>
      <c r="L17" s="21" t="str">
        <f t="shared" si="11"/>
        <v>u8_RFLowPresThre</v>
      </c>
      <c r="M17" s="32"/>
      <c r="N17" s="24" t="str">
        <f t="shared" si="9"/>
        <v>VHAL_DIDSetRFLowPresThre_raw8</v>
      </c>
      <c r="O17" s="24" t="str">
        <f t="shared" si="10"/>
        <v>VHAL_DIDStaRFLowPresThre_flg</v>
      </c>
      <c r="P17" s="14"/>
      <c r="Q17" s="24"/>
      <c r="R17" s="1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18.75">
      <c r="A18" s="10" t="s">
        <v>21</v>
      </c>
      <c r="B18" s="12" t="s">
        <v>22</v>
      </c>
      <c r="C18" s="9" t="s">
        <v>3</v>
      </c>
      <c r="D18" s="9" t="s">
        <v>74</v>
      </c>
      <c r="E18" s="9">
        <v>1</v>
      </c>
      <c r="F18" s="9" t="s">
        <v>37</v>
      </c>
      <c r="G18" s="21" t="s">
        <v>52</v>
      </c>
      <c r="H18" s="31" t="str">
        <f t="shared" si="3"/>
        <v>CSOP_DIDSet_LRLowPresThre</v>
      </c>
      <c r="I18" s="14" t="str">
        <f t="shared" si="0"/>
        <v>u16_DIDLen_LRLowPresThre</v>
      </c>
      <c r="J18" s="14" t="str">
        <f t="shared" si="1"/>
        <v>u16_DIDNum_LRLowPresThre</v>
      </c>
      <c r="K18" s="14" t="str">
        <f t="shared" si="2"/>
        <v>u8_DIDSta_LRLowPresThre</v>
      </c>
      <c r="L18" s="21" t="str">
        <f t="shared" si="11"/>
        <v>u8_LRLowPresThre</v>
      </c>
      <c r="M18" s="32" t="str">
        <f t="shared" si="4"/>
        <v>u8_LRLowPresThre</v>
      </c>
      <c r="N18" s="24" t="str">
        <f t="shared" si="9"/>
        <v>VHAL_DIDSetLRLowPresThre_raw8</v>
      </c>
      <c r="O18" s="24" t="str">
        <f t="shared" si="10"/>
        <v>VHAL_DIDStaLRLowPresThre_flg</v>
      </c>
      <c r="P18" s="14"/>
      <c r="Q18" s="24"/>
      <c r="R18" s="1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ht="18.75">
      <c r="A19" s="10" t="s">
        <v>23</v>
      </c>
      <c r="B19" s="12" t="s">
        <v>24</v>
      </c>
      <c r="C19" s="9" t="s">
        <v>3</v>
      </c>
      <c r="D19" s="9" t="s">
        <v>74</v>
      </c>
      <c r="E19" s="9">
        <v>1</v>
      </c>
      <c r="F19" s="9" t="s">
        <v>37</v>
      </c>
      <c r="G19" s="21" t="s">
        <v>53</v>
      </c>
      <c r="H19" s="31" t="str">
        <f t="shared" si="3"/>
        <v>CSOP_DIDSet_RRLowPresThre</v>
      </c>
      <c r="I19" s="14" t="str">
        <f t="shared" si="0"/>
        <v>u16_DIDLen_RRLowPresThre</v>
      </c>
      <c r="J19" s="14" t="str">
        <f t="shared" si="1"/>
        <v>u16_DIDNum_RRLowPresThre</v>
      </c>
      <c r="K19" s="14" t="str">
        <f t="shared" si="2"/>
        <v>u8_DIDSta_RRLowPresThre</v>
      </c>
      <c r="L19" s="21" t="str">
        <f t="shared" si="11"/>
        <v>u8_RRLowPresThre</v>
      </c>
      <c r="M19" s="32"/>
      <c r="N19" s="24" t="str">
        <f t="shared" si="9"/>
        <v>VHAL_DIDSetRRLowPresThre_raw8</v>
      </c>
      <c r="O19" s="24" t="str">
        <f t="shared" si="10"/>
        <v>VHAL_DIDStaRRLowPresThre_flg</v>
      </c>
      <c r="P19" s="14"/>
      <c r="Q19" s="24"/>
      <c r="R19" s="1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</row>
    <row r="20" spans="1:37" ht="18.75">
      <c r="A20" s="10" t="s">
        <v>25</v>
      </c>
      <c r="B20" s="11" t="s">
        <v>26</v>
      </c>
      <c r="C20" s="9" t="s">
        <v>3</v>
      </c>
      <c r="D20" s="9" t="s">
        <v>74</v>
      </c>
      <c r="E20" s="9">
        <v>1</v>
      </c>
      <c r="F20" s="9" t="s">
        <v>37</v>
      </c>
      <c r="G20" s="21" t="s">
        <v>67</v>
      </c>
      <c r="H20" s="31" t="str">
        <f t="shared" si="3"/>
        <v>CSOP_DIDSet_SensorMode</v>
      </c>
      <c r="I20" s="14" t="str">
        <f t="shared" si="0"/>
        <v>u16_DIDLen_SensorMode</v>
      </c>
      <c r="J20" s="14" t="str">
        <f t="shared" si="1"/>
        <v>u16_DIDNum_SensorMode</v>
      </c>
      <c r="K20" s="14" t="str">
        <f t="shared" si="2"/>
        <v>u8_DIDSta_SensorMode</v>
      </c>
      <c r="L20" s="21" t="str">
        <f t="shared" si="11"/>
        <v>u8_SensorMode</v>
      </c>
      <c r="M20" s="32" t="str">
        <f t="shared" si="4"/>
        <v>u8_SensorMode</v>
      </c>
      <c r="N20" s="24" t="str">
        <f t="shared" si="9"/>
        <v>VHAL_DIDSetSensorMode_raw8</v>
      </c>
      <c r="O20" s="24" t="str">
        <f t="shared" si="10"/>
        <v>VHAL_DIDStaSensorMode_flg</v>
      </c>
      <c r="P20" s="14"/>
      <c r="Q20" s="24"/>
      <c r="R20" s="1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</row>
    <row r="21" spans="1:37" ht="18.75">
      <c r="A21" s="10" t="s">
        <v>27</v>
      </c>
      <c r="B21" s="11" t="s">
        <v>54</v>
      </c>
      <c r="C21" s="9" t="s">
        <v>3</v>
      </c>
      <c r="D21" s="9" t="s">
        <v>74</v>
      </c>
      <c r="E21" s="9">
        <v>1</v>
      </c>
      <c r="F21" s="9" t="s">
        <v>37</v>
      </c>
      <c r="G21" s="21" t="s">
        <v>55</v>
      </c>
      <c r="H21" s="31" t="str">
        <f t="shared" si="3"/>
        <v>CSOP_DIDSet_TPMSLearnSta</v>
      </c>
      <c r="I21" s="14" t="str">
        <f t="shared" si="0"/>
        <v>u16_DIDLen_TPMSLearnSta</v>
      </c>
      <c r="J21" s="14" t="str">
        <f t="shared" si="1"/>
        <v>u16_DIDNum_TPMSLearnSta</v>
      </c>
      <c r="K21" s="14" t="str">
        <f t="shared" si="2"/>
        <v>u8_DIDSta_TPMSLearnSta</v>
      </c>
      <c r="L21" s="21" t="str">
        <f t="shared" si="11"/>
        <v>u8_TPMSLearnSta</v>
      </c>
      <c r="M21" s="32"/>
      <c r="N21" s="24" t="str">
        <f t="shared" si="9"/>
        <v>VHAL_DIDSetTPMSLearnSta_raw8</v>
      </c>
      <c r="O21" s="24" t="str">
        <f t="shared" si="10"/>
        <v>VHAL_DIDStaTPMSLearnSta_flg</v>
      </c>
      <c r="P21" s="14"/>
      <c r="Q21" s="24"/>
      <c r="R21" s="1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</sheetData>
  <phoneticPr fontId="1" type="noConversion"/>
  <conditionalFormatting sqref="A9:B21">
    <cfRule type="cellIs" dxfId="0" priority="1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2025-04-07T03:46:15Z</dcterms:modified>
</cp:coreProperties>
</file>